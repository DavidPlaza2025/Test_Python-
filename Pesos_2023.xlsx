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7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gs-my.sharepoint.com/personal/david_plazamorales_sgs_com/Documents/DEPORTE/PESOS/Pesos/"/>
    </mc:Choice>
  </mc:AlternateContent>
  <xr:revisionPtr revIDLastSave="898" documentId="13_ncr:1_{7047ECDB-25D9-425F-B6BD-C9820E74697B}" xr6:coauthVersionLast="47" xr6:coauthVersionMax="47" xr10:uidLastSave="{562F7BB0-9499-4B9D-B9C8-725475911D35}"/>
  <bookViews>
    <workbookView xWindow="-108" yWindow="-108" windowWidth="23256" windowHeight="13896" activeTab="7" xr2:uid="{CBC0F3EB-A24F-4FA2-9376-7785D01890C1}"/>
  </bookViews>
  <sheets>
    <sheet name="Dispersión" sheetId="12" r:id="rId1"/>
    <sheet name="Gráfico1" sheetId="3" r:id="rId2"/>
    <sheet name="AVG_7Days" sheetId="5" r:id="rId3"/>
    <sheet name="Real" sheetId="6" r:id="rId4"/>
    <sheet name="Histograma" sheetId="15" r:id="rId5"/>
    <sheet name="agua vs musculo " sheetId="16" r:id="rId6"/>
    <sheet name="Pesos_R" sheetId="1" r:id="rId7"/>
    <sheet name="TD" sheetId="2" r:id="rId8"/>
    <sheet name="%Musculo" sheetId="13" r:id="rId9"/>
    <sheet name="Tour de Mallorca" sheetId="10" r:id="rId10"/>
    <sheet name="Tour de Mallorca Datos" sheetId="17" r:id="rId11"/>
  </sheets>
  <definedNames>
    <definedName name="_xlnm._FilterDatabase" localSheetId="6" hidden="1">Pesos_R!$A$1:$AM$287</definedName>
    <definedName name="_xlnm._FilterDatabase" localSheetId="9" hidden="1">'Tour de Mallorca'!$A$23:$M$52</definedName>
    <definedName name="_xlchart.v1.0" hidden="1">Pesos_R!$A$2:$D$798</definedName>
    <definedName name="_xlchart.v1.1" hidden="1">Pesos_R!$AA$1</definedName>
    <definedName name="_xlchart.v1.10" hidden="1">Pesos_R!$F$2:$F$798</definedName>
    <definedName name="_xlchart.v1.11" hidden="1">Pesos_R!$G$1</definedName>
    <definedName name="_xlchart.v1.12" hidden="1">Pesos_R!$G$2:$G$798</definedName>
    <definedName name="_xlchart.v1.13" hidden="1">Pesos_R!$H$1</definedName>
    <definedName name="_xlchart.v1.14" hidden="1">Pesos_R!$H$2:$H$798</definedName>
    <definedName name="_xlchart.v1.15" hidden="1">Pesos_R!$I$1</definedName>
    <definedName name="_xlchart.v1.16" hidden="1">Pesos_R!$I$2:$I$798</definedName>
    <definedName name="_xlchart.v1.17" hidden="1">Pesos_R!$J$1</definedName>
    <definedName name="_xlchart.v1.18" hidden="1">Pesos_R!$J$2:$J$798</definedName>
    <definedName name="_xlchart.v1.19" hidden="1">Pesos_R!$K$1</definedName>
    <definedName name="_xlchart.v1.2" hidden="1">Pesos_R!$AA$2:$AA$798</definedName>
    <definedName name="_xlchart.v1.20" hidden="1">Pesos_R!$K$2:$K$798</definedName>
    <definedName name="_xlchart.v1.21" hidden="1">Pesos_R!$L$1</definedName>
    <definedName name="_xlchart.v1.22" hidden="1">Pesos_R!$L$2:$L$798</definedName>
    <definedName name="_xlchart.v1.23" hidden="1">Pesos_R!$M$1</definedName>
    <definedName name="_xlchart.v1.24" hidden="1">Pesos_R!$M$2:$M$798</definedName>
    <definedName name="_xlchart.v1.25" hidden="1">Pesos_R!$N$1</definedName>
    <definedName name="_xlchart.v1.26" hidden="1">Pesos_R!$N$2:$N$798</definedName>
    <definedName name="_xlchart.v1.27" hidden="1">Pesos_R!$O$1</definedName>
    <definedName name="_xlchart.v1.28" hidden="1">Pesos_R!$O$2:$O$798</definedName>
    <definedName name="_xlchart.v1.29" hidden="1">Pesos_R!$Q$1</definedName>
    <definedName name="_xlchart.v1.3" hidden="1">Pesos_R!$AB$1</definedName>
    <definedName name="_xlchart.v1.30" hidden="1">Pesos_R!$Q$2:$Q$798</definedName>
    <definedName name="_xlchart.v1.31" hidden="1">Pesos_R!$R$1</definedName>
    <definedName name="_xlchart.v1.32" hidden="1">Pesos_R!$R$2:$R$798</definedName>
    <definedName name="_xlchart.v1.33" hidden="1">Pesos_R!$S$1</definedName>
    <definedName name="_xlchart.v1.34" hidden="1">Pesos_R!$S$2:$S$798</definedName>
    <definedName name="_xlchart.v1.35" hidden="1">Pesos_R!$T$1</definedName>
    <definedName name="_xlchart.v1.36" hidden="1">Pesos_R!$T$2:$T$798</definedName>
    <definedName name="_xlchart.v1.37" hidden="1">Pesos_R!$U$1</definedName>
    <definedName name="_xlchart.v1.38" hidden="1">Pesos_R!$U$2:$U$798</definedName>
    <definedName name="_xlchart.v1.39" hidden="1">Pesos_R!$V$1</definedName>
    <definedName name="_xlchart.v1.4" hidden="1">Pesos_R!$AB$2:$AB$798</definedName>
    <definedName name="_xlchart.v1.40" hidden="1">Pesos_R!$V$2:$V$798</definedName>
    <definedName name="_xlchart.v1.41" hidden="1">Pesos_R!$W$1</definedName>
    <definedName name="_xlchart.v1.42" hidden="1">Pesos_R!$W$2:$W$798</definedName>
    <definedName name="_xlchart.v1.43" hidden="1">Pesos_R!$X$1</definedName>
    <definedName name="_xlchart.v1.44" hidden="1">Pesos_R!$X$2:$X$798</definedName>
    <definedName name="_xlchart.v1.45" hidden="1">Pesos_R!$Y$1</definedName>
    <definedName name="_xlchart.v1.46" hidden="1">Pesos_R!$Y$2:$Y$798</definedName>
    <definedName name="_xlchart.v1.47" hidden="1">Pesos_R!$Z$1</definedName>
    <definedName name="_xlchart.v1.48" hidden="1">Pesos_R!$Z$2:$Z$798</definedName>
    <definedName name="_xlchart.v1.5" hidden="1">Pesos_R!$AC$1</definedName>
    <definedName name="_xlchart.v1.6" hidden="1">Pesos_R!$AC$2:$AC$798</definedName>
    <definedName name="_xlchart.v1.7" hidden="1">Pesos_R!$E$1</definedName>
    <definedName name="_xlchart.v1.8" hidden="1">Pesos_R!$E$2:$E$798</definedName>
    <definedName name="_xlchart.v1.9" hidden="1">Pesos_R!$F$1</definedName>
  </definedNames>
  <calcPr calcId="191029"/>
  <pivotCaches>
    <pivotCache cacheId="0" r:id="rId12"/>
    <pivotCache cacheId="7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798" i="1" l="1"/>
  <c r="AA798" i="1"/>
  <c r="AB798" i="1"/>
  <c r="X798" i="1"/>
  <c r="P798" i="1"/>
  <c r="AD798" i="1" s="1"/>
  <c r="F798" i="1"/>
  <c r="N798" i="1"/>
  <c r="U798" i="1" s="1"/>
  <c r="O798" i="1"/>
  <c r="S798" i="1"/>
  <c r="V798" i="1"/>
  <c r="AC798" i="1"/>
  <c r="Z797" i="1"/>
  <c r="AA797" i="1"/>
  <c r="AB797" i="1"/>
  <c r="P797" i="1"/>
  <c r="AD797" i="1" s="1"/>
  <c r="F797" i="1"/>
  <c r="N797" i="1"/>
  <c r="H797" i="1" s="1"/>
  <c r="O797" i="1"/>
  <c r="S797" i="1"/>
  <c r="V797" i="1"/>
  <c r="AC797" i="1"/>
  <c r="Z796" i="1"/>
  <c r="AA796" i="1"/>
  <c r="AB796" i="1"/>
  <c r="P796" i="1"/>
  <c r="F796" i="1"/>
  <c r="N796" i="1"/>
  <c r="O796" i="1"/>
  <c r="S796" i="1"/>
  <c r="U796" i="1"/>
  <c r="V796" i="1"/>
  <c r="AC796" i="1"/>
  <c r="Z795" i="1"/>
  <c r="AA795" i="1"/>
  <c r="AB795" i="1"/>
  <c r="P795" i="1"/>
  <c r="F795" i="1"/>
  <c r="N795" i="1"/>
  <c r="H795" i="1" s="1"/>
  <c r="O795" i="1"/>
  <c r="AD795" i="1"/>
  <c r="S795" i="1"/>
  <c r="U795" i="1"/>
  <c r="V795" i="1"/>
  <c r="AC795" i="1"/>
  <c r="Z794" i="1"/>
  <c r="AA794" i="1"/>
  <c r="AB794" i="1"/>
  <c r="P794" i="1"/>
  <c r="F794" i="1"/>
  <c r="N794" i="1"/>
  <c r="H794" i="1" s="1"/>
  <c r="O794" i="1"/>
  <c r="AD794" i="1"/>
  <c r="S794" i="1"/>
  <c r="U794" i="1"/>
  <c r="V794" i="1"/>
  <c r="AC794" i="1"/>
  <c r="Z792" i="1"/>
  <c r="AA792" i="1"/>
  <c r="AB792" i="1"/>
  <c r="Z793" i="1"/>
  <c r="AA793" i="1"/>
  <c r="AB793" i="1"/>
  <c r="AC793" i="1" s="1"/>
  <c r="P792" i="1"/>
  <c r="AD792" i="1" s="1"/>
  <c r="P793" i="1"/>
  <c r="AD793" i="1" s="1"/>
  <c r="F793" i="1"/>
  <c r="N793" i="1"/>
  <c r="H793" i="1" s="1"/>
  <c r="O793" i="1"/>
  <c r="S793" i="1"/>
  <c r="V793" i="1"/>
  <c r="F792" i="1"/>
  <c r="N792" i="1"/>
  <c r="H792" i="1" s="1"/>
  <c r="O792" i="1"/>
  <c r="S792" i="1"/>
  <c r="V792" i="1"/>
  <c r="AC792" i="1"/>
  <c r="N21" i="2"/>
  <c r="Z791" i="1"/>
  <c r="AA791" i="1"/>
  <c r="AB791" i="1"/>
  <c r="P791" i="1"/>
  <c r="F791" i="1"/>
  <c r="N791" i="1"/>
  <c r="H791" i="1" s="1"/>
  <c r="O791" i="1"/>
  <c r="AD791" i="1"/>
  <c r="S791" i="1"/>
  <c r="U791" i="1"/>
  <c r="V791" i="1"/>
  <c r="AC791" i="1"/>
  <c r="Z790" i="1"/>
  <c r="AA790" i="1"/>
  <c r="AB790" i="1"/>
  <c r="AD790" i="1" s="1"/>
  <c r="P790" i="1"/>
  <c r="F790" i="1"/>
  <c r="N790" i="1"/>
  <c r="H790" i="1" s="1"/>
  <c r="O790" i="1"/>
  <c r="S790" i="1"/>
  <c r="V790" i="1"/>
  <c r="AC790" i="1"/>
  <c r="Z789" i="1"/>
  <c r="AA789" i="1"/>
  <c r="AB789" i="1"/>
  <c r="P789" i="1"/>
  <c r="F789" i="1"/>
  <c r="N789" i="1"/>
  <c r="H789" i="1" s="1"/>
  <c r="O789" i="1"/>
  <c r="AD789" i="1"/>
  <c r="S789" i="1"/>
  <c r="U789" i="1"/>
  <c r="V789" i="1"/>
  <c r="AC789" i="1"/>
  <c r="Z788" i="1"/>
  <c r="AA788" i="1"/>
  <c r="AB788" i="1"/>
  <c r="P788" i="1"/>
  <c r="F788" i="1"/>
  <c r="N788" i="1"/>
  <c r="U788" i="1" s="1"/>
  <c r="O788" i="1"/>
  <c r="AD788" i="1"/>
  <c r="S788" i="1"/>
  <c r="V788" i="1"/>
  <c r="AC788" i="1"/>
  <c r="Z787" i="1"/>
  <c r="AA787" i="1"/>
  <c r="AB787" i="1"/>
  <c r="P787" i="1"/>
  <c r="F787" i="1"/>
  <c r="N787" i="1"/>
  <c r="H787" i="1" s="1"/>
  <c r="O787" i="1"/>
  <c r="AD787" i="1"/>
  <c r="S787" i="1"/>
  <c r="U787" i="1"/>
  <c r="V787" i="1"/>
  <c r="AC787" i="1"/>
  <c r="Z786" i="1"/>
  <c r="AA786" i="1"/>
  <c r="AB786" i="1"/>
  <c r="P786" i="1"/>
  <c r="F786" i="1"/>
  <c r="N786" i="1"/>
  <c r="H786" i="1" s="1"/>
  <c r="O786" i="1"/>
  <c r="AD786" i="1"/>
  <c r="S786" i="1"/>
  <c r="V786" i="1"/>
  <c r="AC786" i="1"/>
  <c r="AB785" i="1"/>
  <c r="Z785" i="1"/>
  <c r="AA785" i="1"/>
  <c r="P785" i="1"/>
  <c r="F785" i="1"/>
  <c r="N785" i="1"/>
  <c r="O785" i="1"/>
  <c r="S785" i="1"/>
  <c r="U785" i="1"/>
  <c r="V785" i="1"/>
  <c r="AC785" i="1"/>
  <c r="AD785" i="1"/>
  <c r="Z784" i="1"/>
  <c r="AA784" i="1"/>
  <c r="AB784" i="1"/>
  <c r="P784" i="1"/>
  <c r="F784" i="1"/>
  <c r="N784" i="1"/>
  <c r="H784" i="1" s="1"/>
  <c r="O784" i="1"/>
  <c r="AD784" i="1"/>
  <c r="S784" i="1"/>
  <c r="U784" i="1"/>
  <c r="V784" i="1"/>
  <c r="AC784" i="1"/>
  <c r="Z780" i="1"/>
  <c r="AA780" i="1"/>
  <c r="AB780" i="1"/>
  <c r="Z781" i="1"/>
  <c r="AA781" i="1"/>
  <c r="AB781" i="1"/>
  <c r="AC781" i="1" s="1"/>
  <c r="Z782" i="1"/>
  <c r="AA782" i="1"/>
  <c r="AB782" i="1"/>
  <c r="AD782" i="1" s="1"/>
  <c r="Z783" i="1"/>
  <c r="AA783" i="1"/>
  <c r="AB783" i="1"/>
  <c r="AD783" i="1" s="1"/>
  <c r="P780" i="1"/>
  <c r="P781" i="1"/>
  <c r="P782" i="1"/>
  <c r="P783" i="1"/>
  <c r="F783" i="1"/>
  <c r="N783" i="1"/>
  <c r="H783" i="1" s="1"/>
  <c r="O783" i="1"/>
  <c r="S783" i="1"/>
  <c r="U783" i="1"/>
  <c r="V783" i="1"/>
  <c r="F782" i="1"/>
  <c r="N782" i="1"/>
  <c r="H782" i="1" s="1"/>
  <c r="O782" i="1"/>
  <c r="S782" i="1"/>
  <c r="U782" i="1"/>
  <c r="V782" i="1"/>
  <c r="F781" i="1"/>
  <c r="N781" i="1"/>
  <c r="H781" i="1" s="1"/>
  <c r="O781" i="1"/>
  <c r="AD781" i="1"/>
  <c r="S781" i="1"/>
  <c r="U781" i="1"/>
  <c r="V781" i="1"/>
  <c r="F780" i="1"/>
  <c r="N780" i="1"/>
  <c r="H780" i="1" s="1"/>
  <c r="O780" i="1"/>
  <c r="S780" i="1"/>
  <c r="U780" i="1"/>
  <c r="V780" i="1"/>
  <c r="AC780" i="1"/>
  <c r="AD780" i="1"/>
  <c r="Z779" i="1"/>
  <c r="AA779" i="1"/>
  <c r="AB779" i="1"/>
  <c r="P779" i="1"/>
  <c r="F779" i="1"/>
  <c r="N779" i="1"/>
  <c r="H779" i="1" s="1"/>
  <c r="O779" i="1"/>
  <c r="S779" i="1"/>
  <c r="U779" i="1"/>
  <c r="V779" i="1"/>
  <c r="AC779" i="1"/>
  <c r="AD779" i="1"/>
  <c r="Z778" i="1"/>
  <c r="AA778" i="1"/>
  <c r="AB778" i="1"/>
  <c r="P778" i="1"/>
  <c r="F778" i="1"/>
  <c r="N778" i="1"/>
  <c r="H778" i="1" s="1"/>
  <c r="O778" i="1"/>
  <c r="S778" i="1"/>
  <c r="U778" i="1"/>
  <c r="V778" i="1"/>
  <c r="AC778" i="1"/>
  <c r="AD778" i="1"/>
  <c r="Z777" i="1"/>
  <c r="AA777" i="1"/>
  <c r="AB777" i="1"/>
  <c r="P777" i="1"/>
  <c r="F777" i="1"/>
  <c r="N777" i="1"/>
  <c r="H777" i="1" s="1"/>
  <c r="O777" i="1"/>
  <c r="I777" i="1" s="1"/>
  <c r="AD777" i="1"/>
  <c r="S777" i="1"/>
  <c r="U777" i="1"/>
  <c r="V777" i="1"/>
  <c r="AC777" i="1"/>
  <c r="Z776" i="1"/>
  <c r="AA776" i="1"/>
  <c r="AB776" i="1"/>
  <c r="P776" i="1"/>
  <c r="F776" i="1"/>
  <c r="H776" i="1"/>
  <c r="N776" i="1"/>
  <c r="O776" i="1"/>
  <c r="I776" i="1" s="1"/>
  <c r="S776" i="1"/>
  <c r="U776" i="1"/>
  <c r="V776" i="1"/>
  <c r="AC776" i="1"/>
  <c r="AD776" i="1"/>
  <c r="Z775" i="1"/>
  <c r="AA775" i="1"/>
  <c r="AB775" i="1"/>
  <c r="P775" i="1"/>
  <c r="F775" i="1"/>
  <c r="N775" i="1"/>
  <c r="O775" i="1"/>
  <c r="AD775" i="1"/>
  <c r="S775" i="1"/>
  <c r="V775" i="1"/>
  <c r="AC775" i="1"/>
  <c r="Z774" i="1"/>
  <c r="AA774" i="1"/>
  <c r="AB774" i="1"/>
  <c r="P774" i="1"/>
  <c r="F774" i="1"/>
  <c r="N774" i="1"/>
  <c r="H774" i="1" s="1"/>
  <c r="O774" i="1"/>
  <c r="S774" i="1"/>
  <c r="V774" i="1"/>
  <c r="AC774" i="1"/>
  <c r="AD774" i="1"/>
  <c r="Z773" i="1"/>
  <c r="AA773" i="1"/>
  <c r="AB773" i="1"/>
  <c r="P773" i="1"/>
  <c r="F773" i="1"/>
  <c r="N773" i="1"/>
  <c r="H773" i="1" s="1"/>
  <c r="O773" i="1"/>
  <c r="S773" i="1"/>
  <c r="V773" i="1"/>
  <c r="AC773" i="1"/>
  <c r="AD773" i="1"/>
  <c r="Z772" i="1"/>
  <c r="AA772" i="1"/>
  <c r="AB772" i="1"/>
  <c r="AD772" i="1" s="1"/>
  <c r="P772" i="1"/>
  <c r="F772" i="1"/>
  <c r="N772" i="1"/>
  <c r="H772" i="1" s="1"/>
  <c r="O772" i="1"/>
  <c r="S772" i="1"/>
  <c r="V772" i="1"/>
  <c r="Z771" i="1"/>
  <c r="AA771" i="1"/>
  <c r="AB771" i="1"/>
  <c r="AC771" i="1" s="1"/>
  <c r="P771" i="1"/>
  <c r="Z770" i="1"/>
  <c r="AA770" i="1"/>
  <c r="AB770" i="1"/>
  <c r="P770" i="1"/>
  <c r="Z769" i="1"/>
  <c r="AA769" i="1"/>
  <c r="AB769" i="1"/>
  <c r="AC769" i="1" s="1"/>
  <c r="P769" i="1"/>
  <c r="AD769" i="1" s="1"/>
  <c r="F771" i="1"/>
  <c r="N771" i="1"/>
  <c r="H771" i="1" s="1"/>
  <c r="O771" i="1"/>
  <c r="S771" i="1"/>
  <c r="V771" i="1"/>
  <c r="F770" i="1"/>
  <c r="N770" i="1"/>
  <c r="H770" i="1" s="1"/>
  <c r="O770" i="1"/>
  <c r="AD770" i="1"/>
  <c r="S770" i="1"/>
  <c r="V770" i="1"/>
  <c r="AC770" i="1"/>
  <c r="F769" i="1"/>
  <c r="N769" i="1"/>
  <c r="H769" i="1" s="1"/>
  <c r="O769" i="1"/>
  <c r="S769" i="1"/>
  <c r="V769" i="1"/>
  <c r="F18" i="10"/>
  <c r="G18" i="10"/>
  <c r="F13" i="17"/>
  <c r="F19" i="17"/>
  <c r="Z768" i="1"/>
  <c r="AA768" i="1"/>
  <c r="AB768" i="1"/>
  <c r="AD768" i="1" s="1"/>
  <c r="P768" i="1"/>
  <c r="F768" i="1"/>
  <c r="N768" i="1"/>
  <c r="H768" i="1" s="1"/>
  <c r="O768" i="1"/>
  <c r="S768" i="1"/>
  <c r="V768" i="1"/>
  <c r="AC768" i="1"/>
  <c r="Z767" i="1"/>
  <c r="AA767" i="1"/>
  <c r="AB767" i="1"/>
  <c r="P767" i="1"/>
  <c r="F767" i="1"/>
  <c r="N767" i="1"/>
  <c r="H767" i="1" s="1"/>
  <c r="O767" i="1"/>
  <c r="S767" i="1"/>
  <c r="V767" i="1"/>
  <c r="AC767" i="1"/>
  <c r="AD767" i="1"/>
  <c r="Z766" i="1"/>
  <c r="AA766" i="1"/>
  <c r="AB766" i="1"/>
  <c r="P766" i="1"/>
  <c r="F766" i="1"/>
  <c r="N766" i="1"/>
  <c r="H766" i="1" s="1"/>
  <c r="O766" i="1"/>
  <c r="AD766" i="1"/>
  <c r="S766" i="1"/>
  <c r="U766" i="1"/>
  <c r="V766" i="1"/>
  <c r="AC766" i="1"/>
  <c r="F43" i="17"/>
  <c r="Z765" i="1"/>
  <c r="AA765" i="1"/>
  <c r="AB765" i="1"/>
  <c r="AD765" i="1" s="1"/>
  <c r="P765" i="1"/>
  <c r="F765" i="1"/>
  <c r="N765" i="1"/>
  <c r="H765" i="1" s="1"/>
  <c r="O765" i="1"/>
  <c r="S765" i="1"/>
  <c r="V765" i="1"/>
  <c r="AC765" i="1"/>
  <c r="F55" i="17"/>
  <c r="Z764" i="1"/>
  <c r="AA764" i="1"/>
  <c r="AB764" i="1"/>
  <c r="P764" i="1"/>
  <c r="AD764" i="1" s="1"/>
  <c r="F764" i="1"/>
  <c r="N764" i="1"/>
  <c r="H764" i="1" s="1"/>
  <c r="O764" i="1"/>
  <c r="S764" i="1"/>
  <c r="U764" i="1"/>
  <c r="V764" i="1"/>
  <c r="AC764" i="1"/>
  <c r="Z763" i="1"/>
  <c r="AA763" i="1"/>
  <c r="AB763" i="1"/>
  <c r="P763" i="1"/>
  <c r="AD763" i="1" s="1"/>
  <c r="Z762" i="1"/>
  <c r="AA762" i="1"/>
  <c r="AB762" i="1"/>
  <c r="P762" i="1"/>
  <c r="AD762" i="1" s="1"/>
  <c r="F763" i="1"/>
  <c r="N763" i="1"/>
  <c r="H763" i="1" s="1"/>
  <c r="O763" i="1"/>
  <c r="S763" i="1"/>
  <c r="V763" i="1"/>
  <c r="AC763" i="1"/>
  <c r="F762" i="1"/>
  <c r="N762" i="1"/>
  <c r="H762" i="1" s="1"/>
  <c r="O762" i="1"/>
  <c r="S762" i="1"/>
  <c r="V762" i="1"/>
  <c r="AC762" i="1"/>
  <c r="Z761" i="1"/>
  <c r="AA761" i="1"/>
  <c r="AB761" i="1"/>
  <c r="AD761" i="1" s="1"/>
  <c r="P761" i="1"/>
  <c r="Z760" i="1"/>
  <c r="AA760" i="1"/>
  <c r="AB760" i="1"/>
  <c r="P760" i="1"/>
  <c r="F761" i="1"/>
  <c r="N761" i="1"/>
  <c r="H761" i="1" s="1"/>
  <c r="O761" i="1"/>
  <c r="S761" i="1"/>
  <c r="V761" i="1"/>
  <c r="AC761" i="1"/>
  <c r="F760" i="1"/>
  <c r="N760" i="1"/>
  <c r="H760" i="1" s="1"/>
  <c r="O760" i="1"/>
  <c r="AD760" i="1"/>
  <c r="S760" i="1"/>
  <c r="V760" i="1"/>
  <c r="AC760" i="1"/>
  <c r="Z759" i="1"/>
  <c r="AA759" i="1"/>
  <c r="AB759" i="1"/>
  <c r="P759" i="1"/>
  <c r="F759" i="1"/>
  <c r="N759" i="1"/>
  <c r="U759" i="1" s="1"/>
  <c r="O759" i="1"/>
  <c r="AD759" i="1"/>
  <c r="S759" i="1"/>
  <c r="V759" i="1"/>
  <c r="AC759" i="1"/>
  <c r="Z757" i="1"/>
  <c r="AA757" i="1"/>
  <c r="AB757" i="1"/>
  <c r="Z758" i="1"/>
  <c r="AA758" i="1"/>
  <c r="AB758" i="1"/>
  <c r="AC758" i="1" s="1"/>
  <c r="S757" i="1"/>
  <c r="S758" i="1"/>
  <c r="P757" i="1"/>
  <c r="P758" i="1"/>
  <c r="AD758" i="1" s="1"/>
  <c r="F758" i="1"/>
  <c r="N758" i="1"/>
  <c r="H758" i="1" s="1"/>
  <c r="O758" i="1"/>
  <c r="V758" i="1"/>
  <c r="F757" i="1"/>
  <c r="N757" i="1"/>
  <c r="H757" i="1" s="1"/>
  <c r="O757" i="1"/>
  <c r="AD757" i="1"/>
  <c r="V757" i="1"/>
  <c r="AC757" i="1"/>
  <c r="J6" i="10"/>
  <c r="J7" i="10"/>
  <c r="J8" i="10"/>
  <c r="J9" i="10"/>
  <c r="J10" i="10"/>
  <c r="J11" i="10"/>
  <c r="J12" i="10"/>
  <c r="J13" i="10"/>
  <c r="J14" i="10"/>
  <c r="J15" i="10"/>
  <c r="F54" i="17"/>
  <c r="F53" i="17"/>
  <c r="F52" i="17"/>
  <c r="F51" i="17"/>
  <c r="F50" i="17"/>
  <c r="F49" i="17"/>
  <c r="F48" i="17"/>
  <c r="F47" i="17"/>
  <c r="F46" i="17"/>
  <c r="F45" i="17"/>
  <c r="F44" i="17"/>
  <c r="F42" i="17"/>
  <c r="F41" i="17"/>
  <c r="F40" i="17"/>
  <c r="F39" i="17"/>
  <c r="F38" i="17"/>
  <c r="F37" i="17"/>
  <c r="F36" i="17"/>
  <c r="F35" i="17"/>
  <c r="F34" i="17"/>
  <c r="F33" i="17"/>
  <c r="F32" i="17"/>
  <c r="F31" i="17"/>
  <c r="F30" i="17"/>
  <c r="F29" i="17"/>
  <c r="F28" i="17"/>
  <c r="F27" i="17"/>
  <c r="F26" i="17"/>
  <c r="F25" i="17"/>
  <c r="F24" i="17"/>
  <c r="F23" i="17"/>
  <c r="F22" i="17"/>
  <c r="F21" i="17"/>
  <c r="F20" i="17"/>
  <c r="F18" i="17"/>
  <c r="F17" i="17"/>
  <c r="F16" i="17"/>
  <c r="F15" i="17"/>
  <c r="F14" i="17"/>
  <c r="F12" i="17"/>
  <c r="F11" i="17"/>
  <c r="F10" i="17"/>
  <c r="F9" i="17"/>
  <c r="F8" i="17"/>
  <c r="F7" i="17"/>
  <c r="F6" i="17"/>
  <c r="F5" i="17"/>
  <c r="F4" i="17"/>
  <c r="F3" i="17"/>
  <c r="F2" i="17"/>
  <c r="Z756" i="1"/>
  <c r="AA756" i="1"/>
  <c r="AB756" i="1"/>
  <c r="AC756" i="1" s="1"/>
  <c r="P756" i="1"/>
  <c r="F756" i="1"/>
  <c r="N756" i="1"/>
  <c r="H756" i="1" s="1"/>
  <c r="O756" i="1"/>
  <c r="S756" i="1"/>
  <c r="U756" i="1"/>
  <c r="V756" i="1"/>
  <c r="Z755" i="1"/>
  <c r="AA755" i="1"/>
  <c r="AB755" i="1"/>
  <c r="P755" i="1"/>
  <c r="AD755" i="1" s="1"/>
  <c r="F755" i="1"/>
  <c r="N755" i="1"/>
  <c r="O755" i="1"/>
  <c r="S755" i="1"/>
  <c r="U755" i="1"/>
  <c r="V755" i="1"/>
  <c r="AC755" i="1"/>
  <c r="Z754" i="1"/>
  <c r="AA754" i="1"/>
  <c r="AB754" i="1"/>
  <c r="P754" i="1"/>
  <c r="AD754" i="1" s="1"/>
  <c r="F754" i="1"/>
  <c r="N754" i="1"/>
  <c r="H754" i="1" s="1"/>
  <c r="O754" i="1"/>
  <c r="S754" i="1"/>
  <c r="V754" i="1"/>
  <c r="AC754" i="1"/>
  <c r="K7" i="10"/>
  <c r="K8" i="10"/>
  <c r="K9" i="10"/>
  <c r="K10" i="10"/>
  <c r="K11" i="10"/>
  <c r="K12" i="10"/>
  <c r="K13" i="10"/>
  <c r="K14" i="10"/>
  <c r="K15" i="10"/>
  <c r="K6" i="10"/>
  <c r="Z746" i="1"/>
  <c r="Z747" i="1"/>
  <c r="Z748" i="1"/>
  <c r="Z749" i="1"/>
  <c r="Z750" i="1"/>
  <c r="Z751" i="1"/>
  <c r="Z752" i="1"/>
  <c r="Z753" i="1"/>
  <c r="AA753" i="1"/>
  <c r="AB753" i="1"/>
  <c r="AA752" i="1"/>
  <c r="AB752" i="1"/>
  <c r="AA751" i="1"/>
  <c r="AB751" i="1"/>
  <c r="AA750" i="1"/>
  <c r="AB750" i="1"/>
  <c r="AC751" i="1" s="1"/>
  <c r="P750" i="1"/>
  <c r="F753" i="1"/>
  <c r="N753" i="1"/>
  <c r="H753" i="1" s="1"/>
  <c r="O753" i="1"/>
  <c r="S753" i="1"/>
  <c r="V753" i="1"/>
  <c r="AC753" i="1"/>
  <c r="F752" i="1"/>
  <c r="N752" i="1"/>
  <c r="H752" i="1" s="1"/>
  <c r="O752" i="1"/>
  <c r="S752" i="1"/>
  <c r="V752" i="1"/>
  <c r="AC752" i="1"/>
  <c r="F751" i="1"/>
  <c r="N751" i="1"/>
  <c r="H751" i="1" s="1"/>
  <c r="O751" i="1"/>
  <c r="P751" i="1" s="1"/>
  <c r="AD751" i="1" s="1"/>
  <c r="S751" i="1"/>
  <c r="V751" i="1"/>
  <c r="F750" i="1"/>
  <c r="N750" i="1"/>
  <c r="H750" i="1" s="1"/>
  <c r="O750" i="1"/>
  <c r="AD750" i="1"/>
  <c r="S750" i="1"/>
  <c r="V750" i="1"/>
  <c r="AC750" i="1"/>
  <c r="AA748" i="1"/>
  <c r="AB748" i="1"/>
  <c r="AD748" i="1" s="1"/>
  <c r="AA749" i="1"/>
  <c r="AB749" i="1"/>
  <c r="AD749" i="1" s="1"/>
  <c r="P748" i="1"/>
  <c r="P749" i="1"/>
  <c r="F749" i="1"/>
  <c r="N749" i="1"/>
  <c r="H749" i="1" s="1"/>
  <c r="O749" i="1"/>
  <c r="S749" i="1"/>
  <c r="V749" i="1"/>
  <c r="F748" i="1"/>
  <c r="N748" i="1"/>
  <c r="H748" i="1" s="1"/>
  <c r="O748" i="1"/>
  <c r="S748" i="1"/>
  <c r="U748" i="1"/>
  <c r="V748" i="1"/>
  <c r="AA747" i="1"/>
  <c r="AB747" i="1"/>
  <c r="AD747" i="1" s="1"/>
  <c r="P747" i="1"/>
  <c r="F747" i="1"/>
  <c r="N747" i="1"/>
  <c r="H747" i="1" s="1"/>
  <c r="O747" i="1"/>
  <c r="S747" i="1"/>
  <c r="V747" i="1"/>
  <c r="AA746" i="1"/>
  <c r="AB746" i="1"/>
  <c r="P746" i="1"/>
  <c r="F746" i="1"/>
  <c r="N746" i="1"/>
  <c r="H746" i="1" s="1"/>
  <c r="O746" i="1"/>
  <c r="AD746" i="1"/>
  <c r="S746" i="1"/>
  <c r="V746" i="1"/>
  <c r="AC746" i="1"/>
  <c r="Z745" i="1"/>
  <c r="AA745" i="1"/>
  <c r="AB745" i="1"/>
  <c r="P745" i="1"/>
  <c r="F745" i="1"/>
  <c r="N745" i="1"/>
  <c r="H745" i="1" s="1"/>
  <c r="O745" i="1"/>
  <c r="S745" i="1"/>
  <c r="V745" i="1"/>
  <c r="AC745" i="1"/>
  <c r="Z744" i="1"/>
  <c r="AA744" i="1"/>
  <c r="AB744" i="1"/>
  <c r="P744" i="1"/>
  <c r="F744" i="1"/>
  <c r="N744" i="1"/>
  <c r="H744" i="1" s="1"/>
  <c r="O744" i="1"/>
  <c r="AD744" i="1"/>
  <c r="S744" i="1"/>
  <c r="V744" i="1"/>
  <c r="AC744" i="1"/>
  <c r="Z743" i="1"/>
  <c r="AA743" i="1"/>
  <c r="AB743" i="1"/>
  <c r="P743" i="1"/>
  <c r="F743" i="1"/>
  <c r="N743" i="1"/>
  <c r="H743" i="1" s="1"/>
  <c r="O743" i="1"/>
  <c r="AD743" i="1"/>
  <c r="S743" i="1"/>
  <c r="V743" i="1"/>
  <c r="AC743" i="1"/>
  <c r="Z741" i="1"/>
  <c r="AA741" i="1"/>
  <c r="AB741" i="1"/>
  <c r="AD741" i="1" s="1"/>
  <c r="Z742" i="1"/>
  <c r="AA742" i="1"/>
  <c r="AB742" i="1"/>
  <c r="P741" i="1"/>
  <c r="P742" i="1"/>
  <c r="F742" i="1"/>
  <c r="N742" i="1"/>
  <c r="O742" i="1"/>
  <c r="AD742" i="1"/>
  <c r="S742" i="1"/>
  <c r="V742" i="1"/>
  <c r="AC742" i="1"/>
  <c r="F741" i="1"/>
  <c r="N741" i="1"/>
  <c r="H741" i="1" s="1"/>
  <c r="O741" i="1"/>
  <c r="S741" i="1"/>
  <c r="U741" i="1"/>
  <c r="V741" i="1"/>
  <c r="Z740" i="1"/>
  <c r="AA740" i="1"/>
  <c r="AB740" i="1"/>
  <c r="P740" i="1"/>
  <c r="F740" i="1"/>
  <c r="N740" i="1"/>
  <c r="H740" i="1" s="1"/>
  <c r="O740" i="1"/>
  <c r="AD740" i="1"/>
  <c r="S740" i="1"/>
  <c r="V740" i="1"/>
  <c r="AC740" i="1"/>
  <c r="Z739" i="1"/>
  <c r="AA739" i="1"/>
  <c r="AB739" i="1"/>
  <c r="AD739" i="1" s="1"/>
  <c r="P739" i="1"/>
  <c r="Z738" i="1"/>
  <c r="AA738" i="1"/>
  <c r="AB738" i="1"/>
  <c r="AC738" i="1" s="1"/>
  <c r="P738" i="1"/>
  <c r="F739" i="1"/>
  <c r="N739" i="1"/>
  <c r="H739" i="1" s="1"/>
  <c r="O739" i="1"/>
  <c r="S739" i="1"/>
  <c r="V739" i="1"/>
  <c r="F738" i="1"/>
  <c r="N738" i="1"/>
  <c r="H738" i="1" s="1"/>
  <c r="O738" i="1"/>
  <c r="S738" i="1"/>
  <c r="V738" i="1"/>
  <c r="Z737" i="1"/>
  <c r="AA737" i="1"/>
  <c r="AB737" i="1"/>
  <c r="P737" i="1"/>
  <c r="AD737" i="1" s="1"/>
  <c r="F737" i="1"/>
  <c r="N737" i="1"/>
  <c r="H737" i="1" s="1"/>
  <c r="O737" i="1"/>
  <c r="S737" i="1"/>
  <c r="V737" i="1"/>
  <c r="AC737" i="1"/>
  <c r="Z736" i="1"/>
  <c r="AA736" i="1"/>
  <c r="AB736" i="1"/>
  <c r="P736" i="1"/>
  <c r="Z735" i="1"/>
  <c r="AA735" i="1"/>
  <c r="AB735" i="1"/>
  <c r="P735" i="1"/>
  <c r="AD735" i="1" s="1"/>
  <c r="Z734" i="1"/>
  <c r="AA734" i="1"/>
  <c r="AB734" i="1"/>
  <c r="P734" i="1"/>
  <c r="F736" i="1"/>
  <c r="N736" i="1"/>
  <c r="H736" i="1" s="1"/>
  <c r="O736" i="1"/>
  <c r="AD736" i="1"/>
  <c r="S736" i="1"/>
  <c r="V736" i="1"/>
  <c r="AC736" i="1"/>
  <c r="F735" i="1"/>
  <c r="N735" i="1"/>
  <c r="H735" i="1" s="1"/>
  <c r="O735" i="1"/>
  <c r="S735" i="1"/>
  <c r="U735" i="1"/>
  <c r="V735" i="1"/>
  <c r="AC735" i="1"/>
  <c r="F734" i="1"/>
  <c r="N734" i="1"/>
  <c r="H734" i="1" s="1"/>
  <c r="O734" i="1"/>
  <c r="AD734" i="1"/>
  <c r="S734" i="1"/>
  <c r="V734" i="1"/>
  <c r="AC734" i="1"/>
  <c r="Z733" i="1"/>
  <c r="AA733" i="1"/>
  <c r="AB733" i="1"/>
  <c r="AC733" i="1" s="1"/>
  <c r="P733" i="1"/>
  <c r="AD733" i="1" s="1"/>
  <c r="F733" i="1"/>
  <c r="N733" i="1"/>
  <c r="H733" i="1" s="1"/>
  <c r="O733" i="1"/>
  <c r="S733" i="1"/>
  <c r="V733" i="1"/>
  <c r="Z732" i="1"/>
  <c r="AA732" i="1"/>
  <c r="AB732" i="1"/>
  <c r="P732" i="1"/>
  <c r="AD732" i="1" s="1"/>
  <c r="F732" i="1"/>
  <c r="N732" i="1"/>
  <c r="O732" i="1"/>
  <c r="S732" i="1"/>
  <c r="U732" i="1"/>
  <c r="V732" i="1"/>
  <c r="AC732" i="1"/>
  <c r="Z731" i="1"/>
  <c r="AA731" i="1"/>
  <c r="AB731" i="1"/>
  <c r="AD731" i="1" s="1"/>
  <c r="P731" i="1"/>
  <c r="F731" i="1"/>
  <c r="N731" i="1"/>
  <c r="H731" i="1" s="1"/>
  <c r="O731" i="1"/>
  <c r="S731" i="1"/>
  <c r="V731" i="1"/>
  <c r="Z730" i="1"/>
  <c r="AA730" i="1"/>
  <c r="AB730" i="1"/>
  <c r="P730" i="1"/>
  <c r="F730" i="1"/>
  <c r="N730" i="1"/>
  <c r="H730" i="1" s="1"/>
  <c r="O730" i="1"/>
  <c r="AD730" i="1"/>
  <c r="S730" i="1"/>
  <c r="V730" i="1"/>
  <c r="AC730" i="1"/>
  <c r="Z729" i="1"/>
  <c r="AA729" i="1"/>
  <c r="AB729" i="1"/>
  <c r="P729" i="1"/>
  <c r="AD729" i="1" s="1"/>
  <c r="F729" i="1"/>
  <c r="N729" i="1"/>
  <c r="O729" i="1"/>
  <c r="S729" i="1"/>
  <c r="V729" i="1"/>
  <c r="AC729" i="1"/>
  <c r="Z728" i="1"/>
  <c r="AA728" i="1"/>
  <c r="AB728" i="1"/>
  <c r="P728" i="1"/>
  <c r="F728" i="1"/>
  <c r="N728" i="1"/>
  <c r="H728" i="1" s="1"/>
  <c r="O728" i="1"/>
  <c r="AD728" i="1"/>
  <c r="S728" i="1"/>
  <c r="V728" i="1"/>
  <c r="AC728" i="1"/>
  <c r="Z727" i="1"/>
  <c r="AA727" i="1"/>
  <c r="AB727" i="1"/>
  <c r="AC727" i="1" s="1"/>
  <c r="P727" i="1"/>
  <c r="AD727" i="1" s="1"/>
  <c r="F727" i="1"/>
  <c r="N727" i="1"/>
  <c r="H727" i="1" s="1"/>
  <c r="O727" i="1"/>
  <c r="S727" i="1"/>
  <c r="V727" i="1"/>
  <c r="Z726" i="1"/>
  <c r="AA726" i="1"/>
  <c r="AB726" i="1"/>
  <c r="P726" i="1"/>
  <c r="F726" i="1"/>
  <c r="N726" i="1"/>
  <c r="H726" i="1" s="1"/>
  <c r="O726" i="1"/>
  <c r="AD726" i="1"/>
  <c r="S726" i="1"/>
  <c r="V726" i="1"/>
  <c r="AC726" i="1"/>
  <c r="Z725" i="1"/>
  <c r="AA725" i="1"/>
  <c r="AB725" i="1"/>
  <c r="AD725" i="1" s="1"/>
  <c r="P725" i="1"/>
  <c r="F725" i="1"/>
  <c r="N725" i="1"/>
  <c r="H725" i="1" s="1"/>
  <c r="O725" i="1"/>
  <c r="S725" i="1"/>
  <c r="V725" i="1"/>
  <c r="AC725" i="1"/>
  <c r="Z722" i="1"/>
  <c r="AA722" i="1"/>
  <c r="AB722" i="1"/>
  <c r="Z723" i="1"/>
  <c r="AA723" i="1"/>
  <c r="AB723" i="1"/>
  <c r="AC723" i="1" s="1"/>
  <c r="Z724" i="1"/>
  <c r="AA724" i="1"/>
  <c r="AB724" i="1"/>
  <c r="AC724" i="1" s="1"/>
  <c r="P722" i="1"/>
  <c r="P723" i="1"/>
  <c r="AD723" i="1" s="1"/>
  <c r="P724" i="1"/>
  <c r="H724" i="1"/>
  <c r="F724" i="1"/>
  <c r="N724" i="1"/>
  <c r="O724" i="1"/>
  <c r="S724" i="1"/>
  <c r="V724" i="1"/>
  <c r="F723" i="1"/>
  <c r="N723" i="1"/>
  <c r="H723" i="1" s="1"/>
  <c r="O723" i="1"/>
  <c r="I723" i="1" s="1"/>
  <c r="S723" i="1"/>
  <c r="U723" i="1"/>
  <c r="V723" i="1"/>
  <c r="F722" i="1"/>
  <c r="N722" i="1"/>
  <c r="H722" i="1" s="1"/>
  <c r="O722" i="1"/>
  <c r="AD722" i="1"/>
  <c r="S722" i="1"/>
  <c r="V722" i="1"/>
  <c r="AC722" i="1"/>
  <c r="Z721" i="1"/>
  <c r="AA721" i="1"/>
  <c r="AB721" i="1"/>
  <c r="P721" i="1"/>
  <c r="F721" i="1"/>
  <c r="N721" i="1"/>
  <c r="H721" i="1" s="1"/>
  <c r="O721" i="1"/>
  <c r="S721" i="1"/>
  <c r="V721" i="1"/>
  <c r="AC721" i="1"/>
  <c r="AD721" i="1"/>
  <c r="Z720" i="1"/>
  <c r="AA720" i="1"/>
  <c r="AB720" i="1"/>
  <c r="P720" i="1"/>
  <c r="F720" i="1"/>
  <c r="N720" i="1"/>
  <c r="H720" i="1" s="1"/>
  <c r="O720" i="1"/>
  <c r="AD720" i="1"/>
  <c r="S720" i="1"/>
  <c r="U720" i="1"/>
  <c r="V720" i="1"/>
  <c r="AC720" i="1"/>
  <c r="Z719" i="1"/>
  <c r="AA719" i="1"/>
  <c r="AB719" i="1"/>
  <c r="AD719" i="1" s="1"/>
  <c r="P719" i="1"/>
  <c r="F719" i="1"/>
  <c r="N719" i="1"/>
  <c r="H719" i="1" s="1"/>
  <c r="O719" i="1"/>
  <c r="S719" i="1"/>
  <c r="V719" i="1"/>
  <c r="Z718" i="1"/>
  <c r="AA718" i="1"/>
  <c r="AB718" i="1"/>
  <c r="P718" i="1"/>
  <c r="F718" i="1"/>
  <c r="N718" i="1"/>
  <c r="H718" i="1" s="1"/>
  <c r="O718" i="1"/>
  <c r="AD718" i="1"/>
  <c r="S718" i="1"/>
  <c r="V718" i="1"/>
  <c r="AC718" i="1"/>
  <c r="Z717" i="1"/>
  <c r="F717" i="1"/>
  <c r="N717" i="1"/>
  <c r="H717" i="1" s="1"/>
  <c r="O717" i="1"/>
  <c r="S717" i="1"/>
  <c r="V717" i="1"/>
  <c r="Z716" i="1"/>
  <c r="F716" i="1"/>
  <c r="N716" i="1"/>
  <c r="H716" i="1" s="1"/>
  <c r="O716" i="1"/>
  <c r="S716" i="1"/>
  <c r="V716" i="1"/>
  <c r="Z715" i="1"/>
  <c r="P715" i="1"/>
  <c r="F715" i="1"/>
  <c r="N715" i="1"/>
  <c r="H715" i="1" s="1"/>
  <c r="O715" i="1"/>
  <c r="S715" i="1"/>
  <c r="V715" i="1"/>
  <c r="Z714" i="1"/>
  <c r="F714" i="1"/>
  <c r="N714" i="1"/>
  <c r="H714" i="1" s="1"/>
  <c r="O714" i="1"/>
  <c r="S714" i="1"/>
  <c r="V714" i="1"/>
  <c r="Z713" i="1"/>
  <c r="F713" i="1"/>
  <c r="N713" i="1"/>
  <c r="H713" i="1" s="1"/>
  <c r="O713" i="1"/>
  <c r="S713" i="1"/>
  <c r="U713" i="1"/>
  <c r="V713" i="1"/>
  <c r="Z712" i="1"/>
  <c r="F712" i="1"/>
  <c r="N712" i="1"/>
  <c r="H712" i="1" s="1"/>
  <c r="O712" i="1"/>
  <c r="S712" i="1"/>
  <c r="V712" i="1"/>
  <c r="Z711" i="1"/>
  <c r="AA711" i="1"/>
  <c r="F711" i="1"/>
  <c r="N711" i="1"/>
  <c r="H711" i="1" s="1"/>
  <c r="O711" i="1"/>
  <c r="P717" i="1" s="1"/>
  <c r="S711" i="1"/>
  <c r="V711" i="1"/>
  <c r="Z709" i="1"/>
  <c r="Z710" i="1"/>
  <c r="AA710" i="1"/>
  <c r="F710" i="1"/>
  <c r="N710" i="1"/>
  <c r="H710" i="1" s="1"/>
  <c r="O710" i="1"/>
  <c r="P716" i="1" s="1"/>
  <c r="S710" i="1"/>
  <c r="V710" i="1"/>
  <c r="F709" i="1"/>
  <c r="N709" i="1"/>
  <c r="H709" i="1" s="1"/>
  <c r="O709" i="1"/>
  <c r="S709" i="1"/>
  <c r="V709" i="1"/>
  <c r="Z708" i="1"/>
  <c r="F708" i="1"/>
  <c r="N708" i="1"/>
  <c r="H708" i="1" s="1"/>
  <c r="O708" i="1"/>
  <c r="P714" i="1" s="1"/>
  <c r="S708" i="1"/>
  <c r="V708" i="1"/>
  <c r="Z707" i="1"/>
  <c r="AA707" i="1"/>
  <c r="Z706" i="1"/>
  <c r="Z705" i="1"/>
  <c r="F707" i="1"/>
  <c r="N707" i="1"/>
  <c r="H707" i="1" s="1"/>
  <c r="O707" i="1"/>
  <c r="P713" i="1" s="1"/>
  <c r="S707" i="1"/>
  <c r="V707" i="1"/>
  <c r="F706" i="1"/>
  <c r="N706" i="1"/>
  <c r="O706" i="1"/>
  <c r="P710" i="1" s="1"/>
  <c r="S706" i="1"/>
  <c r="V706" i="1"/>
  <c r="F705" i="1"/>
  <c r="N705" i="1"/>
  <c r="O705" i="1"/>
  <c r="P711" i="1" s="1"/>
  <c r="S705" i="1"/>
  <c r="U705" i="1"/>
  <c r="V705" i="1"/>
  <c r="Z704" i="1"/>
  <c r="F704" i="1"/>
  <c r="N704" i="1"/>
  <c r="H704" i="1" s="1"/>
  <c r="O704" i="1"/>
  <c r="S704" i="1"/>
  <c r="V704" i="1"/>
  <c r="Z702" i="1"/>
  <c r="Z703" i="1"/>
  <c r="F703" i="1"/>
  <c r="N703" i="1"/>
  <c r="H703" i="1" s="1"/>
  <c r="O703" i="1"/>
  <c r="P709" i="1" s="1"/>
  <c r="S703" i="1"/>
  <c r="V703" i="1"/>
  <c r="F702" i="1"/>
  <c r="N702" i="1"/>
  <c r="H702" i="1" s="1"/>
  <c r="O702" i="1"/>
  <c r="P708" i="1" s="1"/>
  <c r="S702" i="1"/>
  <c r="V702" i="1"/>
  <c r="Z701" i="1"/>
  <c r="F701" i="1"/>
  <c r="N701" i="1"/>
  <c r="H701" i="1" s="1"/>
  <c r="O701" i="1"/>
  <c r="P707" i="1" s="1"/>
  <c r="S701" i="1"/>
  <c r="V701" i="1"/>
  <c r="Z700" i="1"/>
  <c r="F700" i="1"/>
  <c r="N700" i="1"/>
  <c r="H700" i="1" s="1"/>
  <c r="O700" i="1"/>
  <c r="P706" i="1" s="1"/>
  <c r="S700" i="1"/>
  <c r="V700" i="1"/>
  <c r="Z699" i="1"/>
  <c r="F699" i="1"/>
  <c r="N699" i="1"/>
  <c r="H699" i="1" s="1"/>
  <c r="O699" i="1"/>
  <c r="P702" i="1" s="1"/>
  <c r="S699" i="1"/>
  <c r="V699" i="1"/>
  <c r="Z698" i="1"/>
  <c r="F698" i="1"/>
  <c r="N698" i="1"/>
  <c r="H698" i="1" s="1"/>
  <c r="O698" i="1"/>
  <c r="S698" i="1"/>
  <c r="V698" i="1"/>
  <c r="Z697" i="1"/>
  <c r="V697" i="1"/>
  <c r="F697" i="1"/>
  <c r="N697" i="1"/>
  <c r="H697" i="1" s="1"/>
  <c r="O697" i="1"/>
  <c r="I697" i="1" s="1"/>
  <c r="S697" i="1"/>
  <c r="Z695" i="1"/>
  <c r="Z696" i="1"/>
  <c r="F696" i="1"/>
  <c r="N696" i="1"/>
  <c r="H696" i="1" s="1"/>
  <c r="O696" i="1"/>
  <c r="P701" i="1" s="1"/>
  <c r="S696" i="1"/>
  <c r="V696" i="1"/>
  <c r="F695" i="1"/>
  <c r="N695" i="1"/>
  <c r="H695" i="1" s="1"/>
  <c r="O695" i="1"/>
  <c r="S695" i="1"/>
  <c r="V695" i="1"/>
  <c r="Z693" i="1"/>
  <c r="Z694" i="1"/>
  <c r="P694" i="1"/>
  <c r="F694" i="1"/>
  <c r="N694" i="1"/>
  <c r="H694" i="1" s="1"/>
  <c r="O694" i="1"/>
  <c r="S694" i="1"/>
  <c r="V694" i="1"/>
  <c r="F693" i="1"/>
  <c r="N693" i="1"/>
  <c r="H693" i="1" s="1"/>
  <c r="O693" i="1"/>
  <c r="S693" i="1"/>
  <c r="V693" i="1"/>
  <c r="Z692" i="1"/>
  <c r="F692" i="1"/>
  <c r="N692" i="1"/>
  <c r="H692" i="1" s="1"/>
  <c r="O692" i="1"/>
  <c r="P698" i="1" s="1"/>
  <c r="S692" i="1"/>
  <c r="V692" i="1"/>
  <c r="Z691" i="1"/>
  <c r="F691" i="1"/>
  <c r="N691" i="1"/>
  <c r="H691" i="1" s="1"/>
  <c r="O691" i="1"/>
  <c r="P697" i="1" s="1"/>
  <c r="S691" i="1"/>
  <c r="V691" i="1"/>
  <c r="Z690" i="1"/>
  <c r="F690" i="1"/>
  <c r="N690" i="1"/>
  <c r="H690" i="1" s="1"/>
  <c r="O690" i="1"/>
  <c r="P696" i="1" s="1"/>
  <c r="S690" i="1"/>
  <c r="V690" i="1"/>
  <c r="Z687" i="1"/>
  <c r="Z688" i="1"/>
  <c r="Z689" i="1"/>
  <c r="F689" i="1"/>
  <c r="N689" i="1"/>
  <c r="H689" i="1" s="1"/>
  <c r="O689" i="1"/>
  <c r="P695" i="1" s="1"/>
  <c r="S689" i="1"/>
  <c r="V689" i="1"/>
  <c r="F688" i="1"/>
  <c r="N688" i="1"/>
  <c r="H688" i="1" s="1"/>
  <c r="O688" i="1"/>
  <c r="S688" i="1"/>
  <c r="V688" i="1"/>
  <c r="F687" i="1"/>
  <c r="N687" i="1"/>
  <c r="AA693" i="1" s="1"/>
  <c r="O687" i="1"/>
  <c r="S687" i="1"/>
  <c r="V687" i="1"/>
  <c r="Z685" i="1"/>
  <c r="Z686" i="1"/>
  <c r="F686" i="1"/>
  <c r="N686" i="1"/>
  <c r="AA692" i="1" s="1"/>
  <c r="O686" i="1"/>
  <c r="P692" i="1" s="1"/>
  <c r="S686" i="1"/>
  <c r="V686" i="1"/>
  <c r="F685" i="1"/>
  <c r="N685" i="1"/>
  <c r="H685" i="1" s="1"/>
  <c r="O685" i="1"/>
  <c r="S685" i="1"/>
  <c r="V685" i="1"/>
  <c r="Z684" i="1"/>
  <c r="F684" i="1"/>
  <c r="N684" i="1"/>
  <c r="H684" i="1" s="1"/>
  <c r="O684" i="1"/>
  <c r="S684" i="1"/>
  <c r="V684" i="1"/>
  <c r="Z683" i="1"/>
  <c r="F683" i="1"/>
  <c r="N683" i="1"/>
  <c r="O683" i="1"/>
  <c r="S683" i="1"/>
  <c r="V683" i="1"/>
  <c r="N19" i="2"/>
  <c r="N20" i="2"/>
  <c r="Z681" i="1"/>
  <c r="Z682" i="1"/>
  <c r="F682" i="1"/>
  <c r="N682" i="1"/>
  <c r="H682" i="1" s="1"/>
  <c r="O682" i="1"/>
  <c r="S682" i="1"/>
  <c r="V682" i="1"/>
  <c r="F681" i="1"/>
  <c r="N681" i="1"/>
  <c r="H681" i="1" s="1"/>
  <c r="O681" i="1"/>
  <c r="S681" i="1"/>
  <c r="V681" i="1"/>
  <c r="Z680" i="1"/>
  <c r="F680" i="1"/>
  <c r="N680" i="1"/>
  <c r="H680" i="1" s="1"/>
  <c r="O680" i="1"/>
  <c r="S680" i="1"/>
  <c r="V680" i="1"/>
  <c r="Z679" i="1"/>
  <c r="F679" i="1"/>
  <c r="N679" i="1"/>
  <c r="H679" i="1" s="1"/>
  <c r="O679" i="1"/>
  <c r="S679" i="1"/>
  <c r="V679" i="1"/>
  <c r="Z678" i="1"/>
  <c r="F678" i="1"/>
  <c r="N678" i="1"/>
  <c r="H678" i="1" s="1"/>
  <c r="O678" i="1"/>
  <c r="S678" i="1"/>
  <c r="V678" i="1"/>
  <c r="Z676" i="1"/>
  <c r="Z677" i="1"/>
  <c r="F677" i="1"/>
  <c r="N677" i="1"/>
  <c r="H677" i="1" s="1"/>
  <c r="O677" i="1"/>
  <c r="S677" i="1"/>
  <c r="V677" i="1"/>
  <c r="F676" i="1"/>
  <c r="N676" i="1"/>
  <c r="H676" i="1" s="1"/>
  <c r="O676" i="1"/>
  <c r="S676" i="1"/>
  <c r="V676" i="1"/>
  <c r="Z675" i="1"/>
  <c r="F675" i="1"/>
  <c r="N675" i="1"/>
  <c r="H675" i="1" s="1"/>
  <c r="O675" i="1"/>
  <c r="S675" i="1"/>
  <c r="V675" i="1"/>
  <c r="Z674" i="1"/>
  <c r="F674" i="1"/>
  <c r="N674" i="1"/>
  <c r="H674" i="1" s="1"/>
  <c r="O674" i="1"/>
  <c r="S674" i="1"/>
  <c r="V674" i="1"/>
  <c r="Z673" i="1"/>
  <c r="F673" i="1"/>
  <c r="N673" i="1"/>
  <c r="O673" i="1"/>
  <c r="S673" i="1"/>
  <c r="V673" i="1"/>
  <c r="Z672" i="1"/>
  <c r="F672" i="1"/>
  <c r="N672" i="1"/>
  <c r="H672" i="1" s="1"/>
  <c r="O672" i="1"/>
  <c r="S672" i="1"/>
  <c r="V672" i="1"/>
  <c r="Z671" i="1"/>
  <c r="F671" i="1"/>
  <c r="N671" i="1"/>
  <c r="H671" i="1" s="1"/>
  <c r="O671" i="1"/>
  <c r="S671" i="1"/>
  <c r="V671" i="1"/>
  <c r="Z670" i="1"/>
  <c r="F670" i="1"/>
  <c r="N670" i="1"/>
  <c r="O670" i="1"/>
  <c r="S670" i="1"/>
  <c r="V670" i="1"/>
  <c r="Z669" i="1"/>
  <c r="F669" i="1"/>
  <c r="N669" i="1"/>
  <c r="O669" i="1"/>
  <c r="S669" i="1"/>
  <c r="V669" i="1"/>
  <c r="Z668" i="1"/>
  <c r="F668" i="1"/>
  <c r="N668" i="1"/>
  <c r="H668" i="1" s="1"/>
  <c r="O668" i="1"/>
  <c r="S668" i="1"/>
  <c r="V668" i="1"/>
  <c r="Z666" i="1"/>
  <c r="Z667" i="1"/>
  <c r="F667" i="1"/>
  <c r="N667" i="1"/>
  <c r="H667" i="1" s="1"/>
  <c r="O667" i="1"/>
  <c r="S667" i="1"/>
  <c r="V667" i="1"/>
  <c r="F666" i="1"/>
  <c r="N666" i="1"/>
  <c r="H666" i="1" s="1"/>
  <c r="O666" i="1"/>
  <c r="S666" i="1"/>
  <c r="V666" i="1"/>
  <c r="Z665" i="1"/>
  <c r="F665" i="1"/>
  <c r="N665" i="1"/>
  <c r="H665" i="1" s="1"/>
  <c r="O665" i="1"/>
  <c r="S665" i="1"/>
  <c r="V665" i="1"/>
  <c r="Z664" i="1"/>
  <c r="F664" i="1"/>
  <c r="N664" i="1"/>
  <c r="H664" i="1" s="1"/>
  <c r="O664" i="1"/>
  <c r="S664" i="1"/>
  <c r="V664" i="1"/>
  <c r="Z663" i="1"/>
  <c r="F663" i="1"/>
  <c r="N663" i="1"/>
  <c r="H663" i="1" s="1"/>
  <c r="O663" i="1"/>
  <c r="S663" i="1"/>
  <c r="V663" i="1"/>
  <c r="Z662" i="1"/>
  <c r="F662" i="1"/>
  <c r="N662" i="1"/>
  <c r="H662" i="1" s="1"/>
  <c r="O662" i="1"/>
  <c r="S662" i="1"/>
  <c r="V662" i="1"/>
  <c r="Z661" i="1"/>
  <c r="F661" i="1"/>
  <c r="N661" i="1"/>
  <c r="U662" i="1" s="1"/>
  <c r="O661" i="1"/>
  <c r="S661" i="1"/>
  <c r="V661" i="1"/>
  <c r="Z660" i="1"/>
  <c r="F660" i="1"/>
  <c r="N660" i="1"/>
  <c r="H660" i="1" s="1"/>
  <c r="O660" i="1"/>
  <c r="S660" i="1"/>
  <c r="V660" i="1"/>
  <c r="Z658" i="1"/>
  <c r="Z659" i="1"/>
  <c r="F659" i="1"/>
  <c r="N659" i="1"/>
  <c r="H659" i="1" s="1"/>
  <c r="O659" i="1"/>
  <c r="S659" i="1"/>
  <c r="V659" i="1"/>
  <c r="F658" i="1"/>
  <c r="N658" i="1"/>
  <c r="H658" i="1" s="1"/>
  <c r="O658" i="1"/>
  <c r="S658" i="1"/>
  <c r="V658" i="1"/>
  <c r="Z657" i="1"/>
  <c r="F657" i="1"/>
  <c r="N657" i="1"/>
  <c r="H657" i="1" s="1"/>
  <c r="O657" i="1"/>
  <c r="S657" i="1"/>
  <c r="V657" i="1"/>
  <c r="Z656" i="1"/>
  <c r="F656" i="1"/>
  <c r="N656" i="1"/>
  <c r="H656" i="1" s="1"/>
  <c r="O656" i="1"/>
  <c r="S656" i="1"/>
  <c r="V656" i="1"/>
  <c r="Z655" i="1"/>
  <c r="F655" i="1"/>
  <c r="N655" i="1"/>
  <c r="O655" i="1"/>
  <c r="S655" i="1"/>
  <c r="V655" i="1"/>
  <c r="Z654" i="1"/>
  <c r="S654" i="1"/>
  <c r="F654" i="1"/>
  <c r="N654" i="1"/>
  <c r="O654" i="1"/>
  <c r="V654" i="1"/>
  <c r="Z653" i="1"/>
  <c r="F653" i="1"/>
  <c r="N653" i="1"/>
  <c r="H653" i="1" s="1"/>
  <c r="O653" i="1"/>
  <c r="S653" i="1"/>
  <c r="V653" i="1"/>
  <c r="Z652" i="1"/>
  <c r="F652" i="1"/>
  <c r="N652" i="1"/>
  <c r="H652" i="1" s="1"/>
  <c r="O652" i="1"/>
  <c r="S652" i="1"/>
  <c r="V652" i="1"/>
  <c r="F17" i="10"/>
  <c r="G17" i="10"/>
  <c r="P9" i="10"/>
  <c r="P10" i="10"/>
  <c r="P8" i="10"/>
  <c r="I798" i="1" l="1"/>
  <c r="T798" i="1" s="1"/>
  <c r="H798" i="1"/>
  <c r="U797" i="1"/>
  <c r="I797" i="1"/>
  <c r="AD796" i="1"/>
  <c r="I796" i="1"/>
  <c r="H796" i="1"/>
  <c r="R796" i="1"/>
  <c r="T796" i="1"/>
  <c r="I795" i="1"/>
  <c r="R795" i="1" s="1"/>
  <c r="Q795" i="1" s="1"/>
  <c r="I794" i="1"/>
  <c r="R794" i="1" s="1"/>
  <c r="Q794" i="1" s="1"/>
  <c r="W794" i="1"/>
  <c r="Y794" i="1"/>
  <c r="U793" i="1"/>
  <c r="I793" i="1"/>
  <c r="R793" i="1" s="1"/>
  <c r="T793" i="1"/>
  <c r="I792" i="1"/>
  <c r="U792" i="1"/>
  <c r="I791" i="1"/>
  <c r="U790" i="1"/>
  <c r="I790" i="1"/>
  <c r="I789" i="1"/>
  <c r="R789" i="1" s="1"/>
  <c r="Q789" i="1" s="1"/>
  <c r="I788" i="1"/>
  <c r="R788" i="1" s="1"/>
  <c r="Q788" i="1" s="1"/>
  <c r="H788" i="1"/>
  <c r="I787" i="1"/>
  <c r="I786" i="1"/>
  <c r="U786" i="1"/>
  <c r="I785" i="1"/>
  <c r="R785" i="1" s="1"/>
  <c r="H785" i="1"/>
  <c r="Q785" i="1"/>
  <c r="Y785" i="1"/>
  <c r="W785" i="1"/>
  <c r="T785" i="1"/>
  <c r="I784" i="1"/>
  <c r="R784" i="1" s="1"/>
  <c r="AC783" i="1"/>
  <c r="AC782" i="1"/>
  <c r="I783" i="1"/>
  <c r="I782" i="1"/>
  <c r="I781" i="1"/>
  <c r="I780" i="1"/>
  <c r="I779" i="1"/>
  <c r="I778" i="1"/>
  <c r="R778" i="1" s="1"/>
  <c r="R777" i="1"/>
  <c r="T777" i="1"/>
  <c r="R776" i="1"/>
  <c r="T776" i="1"/>
  <c r="I775" i="1"/>
  <c r="U775" i="1"/>
  <c r="H775" i="1"/>
  <c r="T775" i="1"/>
  <c r="R775" i="1"/>
  <c r="U774" i="1"/>
  <c r="I774" i="1"/>
  <c r="U773" i="1"/>
  <c r="I773" i="1"/>
  <c r="AC772" i="1"/>
  <c r="U772" i="1"/>
  <c r="I772" i="1"/>
  <c r="AD771" i="1"/>
  <c r="U771" i="1"/>
  <c r="U770" i="1"/>
  <c r="I771" i="1"/>
  <c r="I770" i="1"/>
  <c r="U769" i="1"/>
  <c r="I769" i="1"/>
  <c r="U768" i="1"/>
  <c r="I768" i="1"/>
  <c r="U767" i="1"/>
  <c r="I767" i="1"/>
  <c r="R767" i="1" s="1"/>
  <c r="Q767" i="1" s="1"/>
  <c r="I766" i="1"/>
  <c r="U765" i="1"/>
  <c r="I765" i="1"/>
  <c r="I764" i="1"/>
  <c r="I763" i="1"/>
  <c r="R763" i="1" s="1"/>
  <c r="Y763" i="1" s="1"/>
  <c r="U763" i="1"/>
  <c r="U762" i="1"/>
  <c r="I762" i="1"/>
  <c r="U760" i="1"/>
  <c r="U761" i="1"/>
  <c r="I761" i="1"/>
  <c r="I760" i="1"/>
  <c r="I759" i="1"/>
  <c r="R759" i="1" s="1"/>
  <c r="Q759" i="1" s="1"/>
  <c r="H759" i="1"/>
  <c r="W759" i="1"/>
  <c r="U758" i="1"/>
  <c r="I758" i="1"/>
  <c r="U757" i="1"/>
  <c r="I757" i="1"/>
  <c r="Q10" i="10"/>
  <c r="R10" i="10" s="1"/>
  <c r="AD756" i="1"/>
  <c r="I756" i="1"/>
  <c r="I755" i="1"/>
  <c r="R755" i="1" s="1"/>
  <c r="H755" i="1"/>
  <c r="T755" i="1"/>
  <c r="U754" i="1"/>
  <c r="I754" i="1"/>
  <c r="Q9" i="10"/>
  <c r="P753" i="1"/>
  <c r="AD753" i="1" s="1"/>
  <c r="P752" i="1"/>
  <c r="AD752" i="1" s="1"/>
  <c r="U752" i="1"/>
  <c r="U751" i="1"/>
  <c r="U750" i="1"/>
  <c r="U753" i="1"/>
  <c r="I753" i="1"/>
  <c r="I752" i="1"/>
  <c r="I751" i="1"/>
  <c r="I750" i="1"/>
  <c r="AC749" i="1"/>
  <c r="AC748" i="1"/>
  <c r="U749" i="1"/>
  <c r="I749" i="1"/>
  <c r="I748" i="1"/>
  <c r="AC747" i="1"/>
  <c r="I747" i="1"/>
  <c r="U747" i="1"/>
  <c r="U746" i="1"/>
  <c r="I746" i="1"/>
  <c r="AD745" i="1"/>
  <c r="U745" i="1"/>
  <c r="I745" i="1"/>
  <c r="U744" i="1"/>
  <c r="I744" i="1"/>
  <c r="U743" i="1"/>
  <c r="I743" i="1"/>
  <c r="AC741" i="1"/>
  <c r="U742" i="1"/>
  <c r="I742" i="1"/>
  <c r="H742" i="1"/>
  <c r="I741" i="1"/>
  <c r="U740" i="1"/>
  <c r="I740" i="1"/>
  <c r="I739" i="1"/>
  <c r="R739" i="1" s="1"/>
  <c r="Y739" i="1" s="1"/>
  <c r="AD738" i="1"/>
  <c r="AC739" i="1"/>
  <c r="U738" i="1"/>
  <c r="I738" i="1"/>
  <c r="R738" i="1" s="1"/>
  <c r="U739" i="1"/>
  <c r="Q738" i="1"/>
  <c r="Y738" i="1"/>
  <c r="W738" i="1"/>
  <c r="T738" i="1"/>
  <c r="I737" i="1"/>
  <c r="R737" i="1" s="1"/>
  <c r="Q737" i="1"/>
  <c r="W737" i="1"/>
  <c r="Y737" i="1"/>
  <c r="U737" i="1"/>
  <c r="T737" i="1"/>
  <c r="U736" i="1"/>
  <c r="I736" i="1"/>
  <c r="I735" i="1"/>
  <c r="U734" i="1"/>
  <c r="I734" i="1"/>
  <c r="I733" i="1"/>
  <c r="T733" i="1" s="1"/>
  <c r="R733" i="1"/>
  <c r="U733" i="1"/>
  <c r="I732" i="1"/>
  <c r="R732" i="1" s="1"/>
  <c r="H732" i="1"/>
  <c r="AC731" i="1"/>
  <c r="U731" i="1"/>
  <c r="I731" i="1"/>
  <c r="U730" i="1"/>
  <c r="I730" i="1"/>
  <c r="I729" i="1"/>
  <c r="R729" i="1" s="1"/>
  <c r="H729" i="1"/>
  <c r="U729" i="1"/>
  <c r="U728" i="1"/>
  <c r="I728" i="1"/>
  <c r="U727" i="1"/>
  <c r="I727" i="1"/>
  <c r="U726" i="1"/>
  <c r="I726" i="1"/>
  <c r="I725" i="1"/>
  <c r="U725" i="1"/>
  <c r="AD724" i="1"/>
  <c r="U724" i="1"/>
  <c r="I724" i="1"/>
  <c r="R723" i="1"/>
  <c r="U722" i="1"/>
  <c r="I722" i="1"/>
  <c r="T723" i="1" s="1"/>
  <c r="U721" i="1"/>
  <c r="I721" i="1"/>
  <c r="I720" i="1"/>
  <c r="AC719" i="1"/>
  <c r="U719" i="1"/>
  <c r="I719" i="1"/>
  <c r="U718" i="1"/>
  <c r="I718" i="1"/>
  <c r="AA699" i="1"/>
  <c r="AA716" i="1"/>
  <c r="P693" i="1"/>
  <c r="P700" i="1"/>
  <c r="AA694" i="1"/>
  <c r="P705" i="1"/>
  <c r="AA715" i="1"/>
  <c r="AA705" i="1"/>
  <c r="P699" i="1"/>
  <c r="AA709" i="1"/>
  <c r="AA714" i="1"/>
  <c r="AA702" i="1"/>
  <c r="P690" i="1"/>
  <c r="AA700" i="1"/>
  <c r="AA698" i="1"/>
  <c r="AA701" i="1"/>
  <c r="P712" i="1"/>
  <c r="AA696" i="1"/>
  <c r="AA697" i="1"/>
  <c r="P703" i="1"/>
  <c r="AA706" i="1"/>
  <c r="AA713" i="1"/>
  <c r="P704" i="1"/>
  <c r="AA712" i="1"/>
  <c r="AA717" i="1"/>
  <c r="AA708" i="1"/>
  <c r="AA695" i="1"/>
  <c r="AA703" i="1"/>
  <c r="AA704" i="1"/>
  <c r="U717" i="1"/>
  <c r="I717" i="1"/>
  <c r="U716" i="1"/>
  <c r="I716" i="1"/>
  <c r="U715" i="1"/>
  <c r="I715" i="1"/>
  <c r="U714" i="1"/>
  <c r="I714" i="1"/>
  <c r="I713" i="1"/>
  <c r="U712" i="1"/>
  <c r="I712" i="1"/>
  <c r="U711" i="1"/>
  <c r="I711" i="1"/>
  <c r="U710" i="1"/>
  <c r="I710" i="1"/>
  <c r="U709" i="1"/>
  <c r="I709" i="1"/>
  <c r="U708" i="1"/>
  <c r="I708" i="1"/>
  <c r="U707" i="1"/>
  <c r="I706" i="1"/>
  <c r="R706" i="1" s="1"/>
  <c r="H706" i="1"/>
  <c r="U706" i="1"/>
  <c r="I705" i="1"/>
  <c r="R705" i="1" s="1"/>
  <c r="H705" i="1"/>
  <c r="I707" i="1"/>
  <c r="U704" i="1"/>
  <c r="I704" i="1"/>
  <c r="U703" i="1"/>
  <c r="I702" i="1"/>
  <c r="R702" i="1" s="1"/>
  <c r="I703" i="1"/>
  <c r="W702" i="1"/>
  <c r="U702" i="1"/>
  <c r="U701" i="1"/>
  <c r="I701" i="1"/>
  <c r="T702" i="1" s="1"/>
  <c r="U700" i="1"/>
  <c r="I700" i="1"/>
  <c r="U699" i="1"/>
  <c r="I699" i="1"/>
  <c r="U698" i="1"/>
  <c r="I698" i="1"/>
  <c r="R697" i="1"/>
  <c r="U697" i="1"/>
  <c r="U696" i="1"/>
  <c r="I696" i="1"/>
  <c r="T697" i="1" s="1"/>
  <c r="U695" i="1"/>
  <c r="I695" i="1"/>
  <c r="U694" i="1"/>
  <c r="I694" i="1"/>
  <c r="U693" i="1"/>
  <c r="I693" i="1"/>
  <c r="U692" i="1"/>
  <c r="I692" i="1"/>
  <c r="P689" i="1"/>
  <c r="P663" i="1"/>
  <c r="P685" i="1"/>
  <c r="P687" i="1"/>
  <c r="P686" i="1"/>
  <c r="AA689" i="1"/>
  <c r="AA685" i="1"/>
  <c r="AA688" i="1"/>
  <c r="P679" i="1"/>
  <c r="AA687" i="1"/>
  <c r="AA677" i="1"/>
  <c r="P681" i="1"/>
  <c r="P667" i="1"/>
  <c r="P677" i="1"/>
  <c r="AA682" i="1"/>
  <c r="P691" i="1"/>
  <c r="P672" i="1"/>
  <c r="P675" i="1"/>
  <c r="P684" i="1"/>
  <c r="U690" i="1"/>
  <c r="P688" i="1"/>
  <c r="P664" i="1"/>
  <c r="P682" i="1"/>
  <c r="U688" i="1"/>
  <c r="AA675" i="1"/>
  <c r="P665" i="1"/>
  <c r="AA686" i="1"/>
  <c r="AA691" i="1"/>
  <c r="P674" i="1"/>
  <c r="AA690" i="1"/>
  <c r="P676" i="1"/>
  <c r="AA684" i="1"/>
  <c r="P683" i="1"/>
  <c r="U691" i="1"/>
  <c r="I691" i="1"/>
  <c r="I690" i="1"/>
  <c r="R690" i="1" s="1"/>
  <c r="Q690" i="1"/>
  <c r="I687" i="1"/>
  <c r="R687" i="1" s="1"/>
  <c r="H687" i="1"/>
  <c r="U689" i="1"/>
  <c r="I689" i="1"/>
  <c r="I688" i="1"/>
  <c r="U687" i="1"/>
  <c r="U686" i="1"/>
  <c r="I686" i="1"/>
  <c r="R686" i="1" s="1"/>
  <c r="H686" i="1"/>
  <c r="U685" i="1"/>
  <c r="I685" i="1"/>
  <c r="P678" i="1"/>
  <c r="AA679" i="1"/>
  <c r="AA681" i="1"/>
  <c r="P666" i="1"/>
  <c r="AA673" i="1"/>
  <c r="AA667" i="1"/>
  <c r="AA672" i="1"/>
  <c r="P680" i="1"/>
  <c r="P671" i="1"/>
  <c r="U683" i="1"/>
  <c r="AA670" i="1"/>
  <c r="P669" i="1"/>
  <c r="P673" i="1"/>
  <c r="AA669" i="1"/>
  <c r="AA674" i="1"/>
  <c r="AA664" i="1"/>
  <c r="AA666" i="1"/>
  <c r="AA680" i="1"/>
  <c r="AA663" i="1"/>
  <c r="AA678" i="1"/>
  <c r="AA683" i="1"/>
  <c r="P668" i="1"/>
  <c r="AA665" i="1"/>
  <c r="AA668" i="1"/>
  <c r="U670" i="1"/>
  <c r="AA671" i="1"/>
  <c r="P670" i="1"/>
  <c r="AA676" i="1"/>
  <c r="U684" i="1"/>
  <c r="I684" i="1"/>
  <c r="I683" i="1"/>
  <c r="R683" i="1" s="1"/>
  <c r="H683" i="1"/>
  <c r="U682" i="1"/>
  <c r="I682" i="1"/>
  <c r="U681" i="1"/>
  <c r="I681" i="1"/>
  <c r="U680" i="1"/>
  <c r="I680" i="1"/>
  <c r="U679" i="1"/>
  <c r="I679" i="1"/>
  <c r="U678" i="1"/>
  <c r="I678" i="1"/>
  <c r="U677" i="1"/>
  <c r="I677" i="1"/>
  <c r="R677" i="1" s="1"/>
  <c r="W677" i="1" s="1"/>
  <c r="U676" i="1"/>
  <c r="I676" i="1"/>
  <c r="U675" i="1"/>
  <c r="I675" i="1"/>
  <c r="U674" i="1"/>
  <c r="I674" i="1"/>
  <c r="I673" i="1"/>
  <c r="U673" i="1"/>
  <c r="H673" i="1"/>
  <c r="R673" i="1"/>
  <c r="U672" i="1"/>
  <c r="I672" i="1"/>
  <c r="T673" i="1" s="1"/>
  <c r="I671" i="1"/>
  <c r="R671" i="1" s="1"/>
  <c r="U671" i="1"/>
  <c r="I670" i="1"/>
  <c r="R670" i="1" s="1"/>
  <c r="H670" i="1"/>
  <c r="I669" i="1"/>
  <c r="R669" i="1" s="1"/>
  <c r="H669" i="1"/>
  <c r="U669" i="1"/>
  <c r="U668" i="1"/>
  <c r="I668" i="1"/>
  <c r="U667" i="1"/>
  <c r="I667" i="1"/>
  <c r="I666" i="1"/>
  <c r="U666" i="1"/>
  <c r="U665" i="1"/>
  <c r="I665" i="1"/>
  <c r="U664" i="1"/>
  <c r="I664" i="1"/>
  <c r="U663" i="1"/>
  <c r="I663" i="1"/>
  <c r="P662" i="1"/>
  <c r="AA662" i="1"/>
  <c r="I662" i="1"/>
  <c r="AA660" i="1"/>
  <c r="I657" i="1"/>
  <c r="P660" i="1"/>
  <c r="P658" i="1"/>
  <c r="P661" i="1"/>
  <c r="U661" i="1"/>
  <c r="P659" i="1"/>
  <c r="AA658" i="1"/>
  <c r="AA659" i="1"/>
  <c r="U655" i="1"/>
  <c r="AA661" i="1"/>
  <c r="H661" i="1"/>
  <c r="I661" i="1"/>
  <c r="R661" i="1" s="1"/>
  <c r="W661" i="1" s="1"/>
  <c r="I660" i="1"/>
  <c r="R660" i="1" s="1"/>
  <c r="U660" i="1"/>
  <c r="I658" i="1"/>
  <c r="R658" i="1" s="1"/>
  <c r="U659" i="1"/>
  <c r="U658" i="1"/>
  <c r="I659" i="1"/>
  <c r="U657" i="1"/>
  <c r="R657" i="1"/>
  <c r="Q8" i="10"/>
  <c r="U654" i="1"/>
  <c r="U656" i="1"/>
  <c r="I656" i="1"/>
  <c r="H655" i="1"/>
  <c r="I655" i="1"/>
  <c r="R655" i="1" s="1"/>
  <c r="I654" i="1"/>
  <c r="R654" i="1" s="1"/>
  <c r="H654" i="1"/>
  <c r="I653" i="1"/>
  <c r="R653" i="1" s="1"/>
  <c r="U653" i="1"/>
  <c r="I652" i="1"/>
  <c r="R798" i="1" l="1"/>
  <c r="Q798" i="1" s="1"/>
  <c r="R797" i="1"/>
  <c r="T797" i="1"/>
  <c r="Q796" i="1"/>
  <c r="W796" i="1"/>
  <c r="Y796" i="1"/>
  <c r="T795" i="1"/>
  <c r="Y795" i="1"/>
  <c r="W795" i="1"/>
  <c r="T794" i="1"/>
  <c r="Q793" i="1"/>
  <c r="Y793" i="1"/>
  <c r="W793" i="1"/>
  <c r="T792" i="1"/>
  <c r="R792" i="1"/>
  <c r="R791" i="1"/>
  <c r="T791" i="1"/>
  <c r="R790" i="1"/>
  <c r="T790" i="1"/>
  <c r="T789" i="1"/>
  <c r="Y789" i="1"/>
  <c r="W789" i="1"/>
  <c r="W788" i="1"/>
  <c r="T788" i="1"/>
  <c r="Y788" i="1"/>
  <c r="R787" i="1"/>
  <c r="T787" i="1"/>
  <c r="T786" i="1"/>
  <c r="R786" i="1"/>
  <c r="T784" i="1"/>
  <c r="Q784" i="1"/>
  <c r="W784" i="1"/>
  <c r="Y784" i="1"/>
  <c r="T783" i="1"/>
  <c r="R783" i="1"/>
  <c r="T782" i="1"/>
  <c r="R782" i="1"/>
  <c r="T781" i="1"/>
  <c r="R781" i="1"/>
  <c r="R780" i="1"/>
  <c r="T780" i="1"/>
  <c r="R779" i="1"/>
  <c r="T779" i="1"/>
  <c r="T778" i="1"/>
  <c r="Y778" i="1"/>
  <c r="Q778" i="1"/>
  <c r="W778" i="1"/>
  <c r="Q777" i="1"/>
  <c r="W777" i="1"/>
  <c r="Y777" i="1"/>
  <c r="Q776" i="1"/>
  <c r="W776" i="1"/>
  <c r="Y776" i="1"/>
  <c r="W775" i="1"/>
  <c r="Y775" i="1"/>
  <c r="Q775" i="1"/>
  <c r="T774" i="1"/>
  <c r="R774" i="1"/>
  <c r="R773" i="1"/>
  <c r="T773" i="1"/>
  <c r="R772" i="1"/>
  <c r="T772" i="1"/>
  <c r="T771" i="1"/>
  <c r="R771" i="1"/>
  <c r="R770" i="1"/>
  <c r="T770" i="1"/>
  <c r="R769" i="1"/>
  <c r="T769" i="1"/>
  <c r="R768" i="1"/>
  <c r="T768" i="1"/>
  <c r="T767" i="1"/>
  <c r="Y767" i="1"/>
  <c r="W767" i="1"/>
  <c r="R766" i="1"/>
  <c r="T766" i="1"/>
  <c r="R765" i="1"/>
  <c r="T765" i="1"/>
  <c r="T764" i="1"/>
  <c r="R764" i="1"/>
  <c r="W763" i="1"/>
  <c r="T763" i="1"/>
  <c r="Q763" i="1"/>
  <c r="R762" i="1"/>
  <c r="T762" i="1"/>
  <c r="R761" i="1"/>
  <c r="T761" i="1"/>
  <c r="R760" i="1"/>
  <c r="T760" i="1"/>
  <c r="Y759" i="1"/>
  <c r="T759" i="1"/>
  <c r="R758" i="1"/>
  <c r="T758" i="1"/>
  <c r="R757" i="1"/>
  <c r="T757" i="1"/>
  <c r="S10" i="10"/>
  <c r="R756" i="1"/>
  <c r="T756" i="1"/>
  <c r="Q755" i="1"/>
  <c r="W755" i="1"/>
  <c r="Y755" i="1"/>
  <c r="R754" i="1"/>
  <c r="T754" i="1"/>
  <c r="R9" i="10"/>
  <c r="S9" i="10" s="1"/>
  <c r="R753" i="1"/>
  <c r="T753" i="1"/>
  <c r="R752" i="1"/>
  <c r="T752" i="1"/>
  <c r="R751" i="1"/>
  <c r="T751" i="1"/>
  <c r="R750" i="1"/>
  <c r="T750" i="1"/>
  <c r="T749" i="1"/>
  <c r="R749" i="1"/>
  <c r="R748" i="1"/>
  <c r="T748" i="1"/>
  <c r="T747" i="1"/>
  <c r="R747" i="1"/>
  <c r="R746" i="1"/>
  <c r="T746" i="1"/>
  <c r="R745" i="1"/>
  <c r="T745" i="1"/>
  <c r="R744" i="1"/>
  <c r="T744" i="1"/>
  <c r="R743" i="1"/>
  <c r="T743" i="1"/>
  <c r="T742" i="1"/>
  <c r="R742" i="1"/>
  <c r="R741" i="1"/>
  <c r="T741" i="1"/>
  <c r="R740" i="1"/>
  <c r="T740" i="1"/>
  <c r="Q739" i="1"/>
  <c r="W739" i="1"/>
  <c r="T739" i="1"/>
  <c r="R736" i="1"/>
  <c r="T736" i="1"/>
  <c r="T735" i="1"/>
  <c r="R735" i="1"/>
  <c r="R734" i="1"/>
  <c r="T734" i="1"/>
  <c r="Q733" i="1"/>
  <c r="Y733" i="1"/>
  <c r="W733" i="1"/>
  <c r="T732" i="1"/>
  <c r="Y732" i="1"/>
  <c r="Q732" i="1"/>
  <c r="W732" i="1"/>
  <c r="R731" i="1"/>
  <c r="T731" i="1"/>
  <c r="R730" i="1"/>
  <c r="T730" i="1"/>
  <c r="T729" i="1"/>
  <c r="Q729" i="1"/>
  <c r="W729" i="1"/>
  <c r="Y729" i="1"/>
  <c r="R728" i="1"/>
  <c r="T728" i="1"/>
  <c r="R727" i="1"/>
  <c r="T727" i="1"/>
  <c r="R726" i="1"/>
  <c r="T726" i="1"/>
  <c r="R725" i="1"/>
  <c r="T725" i="1"/>
  <c r="T724" i="1"/>
  <c r="R724" i="1"/>
  <c r="Q723" i="1"/>
  <c r="W723" i="1"/>
  <c r="Y723" i="1"/>
  <c r="R722" i="1"/>
  <c r="T722" i="1"/>
  <c r="R721" i="1"/>
  <c r="T721" i="1"/>
  <c r="R720" i="1"/>
  <c r="T720" i="1"/>
  <c r="R719" i="1"/>
  <c r="T719" i="1"/>
  <c r="R718" i="1"/>
  <c r="T718" i="1"/>
  <c r="Q702" i="1"/>
  <c r="Y690" i="1"/>
  <c r="AB693" i="1"/>
  <c r="Q705" i="1"/>
  <c r="R717" i="1"/>
  <c r="T717" i="1"/>
  <c r="R716" i="1"/>
  <c r="T716" i="1"/>
  <c r="R715" i="1"/>
  <c r="T715" i="1"/>
  <c r="R714" i="1"/>
  <c r="T714" i="1"/>
  <c r="R713" i="1"/>
  <c r="T713" i="1"/>
  <c r="R712" i="1"/>
  <c r="T712" i="1"/>
  <c r="R711" i="1"/>
  <c r="AB717" i="1" s="1"/>
  <c r="T711" i="1"/>
  <c r="R710" i="1"/>
  <c r="T710" i="1"/>
  <c r="R709" i="1"/>
  <c r="T709" i="1"/>
  <c r="R708" i="1"/>
  <c r="T708" i="1"/>
  <c r="T705" i="1"/>
  <c r="Y705" i="1"/>
  <c r="W705" i="1"/>
  <c r="T706" i="1"/>
  <c r="R707" i="1"/>
  <c r="T707" i="1"/>
  <c r="W706" i="1"/>
  <c r="Y706" i="1"/>
  <c r="Q706" i="1"/>
  <c r="R704" i="1"/>
  <c r="T704" i="1"/>
  <c r="Y702" i="1"/>
  <c r="R703" i="1"/>
  <c r="T703" i="1"/>
  <c r="R701" i="1"/>
  <c r="T701" i="1"/>
  <c r="R700" i="1"/>
  <c r="AB706" i="1" s="1"/>
  <c r="AD706" i="1" s="1"/>
  <c r="T700" i="1"/>
  <c r="R699" i="1"/>
  <c r="AB705" i="1" s="1"/>
  <c r="T699" i="1"/>
  <c r="R698" i="1"/>
  <c r="AB704" i="1" s="1"/>
  <c r="AD704" i="1" s="1"/>
  <c r="T698" i="1"/>
  <c r="Q697" i="1"/>
  <c r="W697" i="1"/>
  <c r="Y697" i="1"/>
  <c r="T696" i="1"/>
  <c r="R696" i="1"/>
  <c r="R695" i="1"/>
  <c r="T695" i="1"/>
  <c r="T694" i="1"/>
  <c r="R694" i="1"/>
  <c r="R693" i="1"/>
  <c r="T693" i="1"/>
  <c r="R692" i="1"/>
  <c r="AB696" i="1" s="1"/>
  <c r="T692" i="1"/>
  <c r="T687" i="1"/>
  <c r="W690" i="1"/>
  <c r="T669" i="1"/>
  <c r="R691" i="1"/>
  <c r="T691" i="1"/>
  <c r="T690" i="1"/>
  <c r="R689" i="1"/>
  <c r="T689" i="1"/>
  <c r="R688" i="1"/>
  <c r="T688" i="1"/>
  <c r="Q687" i="1"/>
  <c r="W687" i="1"/>
  <c r="Y687" i="1"/>
  <c r="T686" i="1"/>
  <c r="Q686" i="1"/>
  <c r="W686" i="1"/>
  <c r="Y686" i="1"/>
  <c r="T685" i="1"/>
  <c r="R685" i="1"/>
  <c r="W670" i="1"/>
  <c r="Q677" i="1"/>
  <c r="Q661" i="1"/>
  <c r="Q658" i="1"/>
  <c r="T671" i="1"/>
  <c r="T677" i="1"/>
  <c r="R684" i="1"/>
  <c r="T684" i="1"/>
  <c r="T683" i="1"/>
  <c r="Q683" i="1"/>
  <c r="W683" i="1"/>
  <c r="Y683" i="1"/>
  <c r="R682" i="1"/>
  <c r="T682" i="1"/>
  <c r="R681" i="1"/>
  <c r="T681" i="1"/>
  <c r="R680" i="1"/>
  <c r="T680" i="1"/>
  <c r="R679" i="1"/>
  <c r="T679" i="1"/>
  <c r="R678" i="1"/>
  <c r="T678" i="1"/>
  <c r="Y677" i="1"/>
  <c r="R676" i="1"/>
  <c r="T676" i="1"/>
  <c r="R675" i="1"/>
  <c r="T675" i="1"/>
  <c r="R674" i="1"/>
  <c r="T674" i="1"/>
  <c r="Q673" i="1"/>
  <c r="W673" i="1"/>
  <c r="Y673" i="1"/>
  <c r="T672" i="1"/>
  <c r="R672" i="1"/>
  <c r="Q671" i="1"/>
  <c r="W671" i="1"/>
  <c r="Y671" i="1"/>
  <c r="Q670" i="1"/>
  <c r="T670" i="1"/>
  <c r="Y670" i="1"/>
  <c r="Q669" i="1"/>
  <c r="W669" i="1"/>
  <c r="Y669" i="1"/>
  <c r="R668" i="1"/>
  <c r="T668" i="1"/>
  <c r="R667" i="1"/>
  <c r="T667" i="1"/>
  <c r="R666" i="1"/>
  <c r="T666" i="1"/>
  <c r="R665" i="1"/>
  <c r="T665" i="1"/>
  <c r="R664" i="1"/>
  <c r="T664" i="1"/>
  <c r="R663" i="1"/>
  <c r="T663" i="1"/>
  <c r="T657" i="1"/>
  <c r="R662" i="1"/>
  <c r="T662" i="1"/>
  <c r="Y661" i="1"/>
  <c r="T661" i="1"/>
  <c r="T660" i="1"/>
  <c r="Q660" i="1"/>
  <c r="W660" i="1"/>
  <c r="Y660" i="1"/>
  <c r="T658" i="1"/>
  <c r="Y658" i="1"/>
  <c r="W658" i="1"/>
  <c r="T659" i="1"/>
  <c r="R659" i="1"/>
  <c r="W657" i="1"/>
  <c r="Q657" i="1"/>
  <c r="Y657" i="1"/>
  <c r="R8" i="10"/>
  <c r="S8" i="10" s="1"/>
  <c r="T655" i="1"/>
  <c r="R656" i="1"/>
  <c r="T656" i="1"/>
  <c r="Q655" i="1"/>
  <c r="W655" i="1"/>
  <c r="Y655" i="1"/>
  <c r="T654" i="1"/>
  <c r="Q654" i="1"/>
  <c r="W654" i="1"/>
  <c r="Y654" i="1"/>
  <c r="T653" i="1"/>
  <c r="Q653" i="1"/>
  <c r="W653" i="1"/>
  <c r="Y653" i="1"/>
  <c r="R652" i="1"/>
  <c r="Y798" i="1" l="1"/>
  <c r="W798" i="1"/>
  <c r="Q797" i="1"/>
  <c r="W797" i="1"/>
  <c r="Y797" i="1"/>
  <c r="Q792" i="1"/>
  <c r="Y792" i="1"/>
  <c r="W792" i="1"/>
  <c r="Q791" i="1"/>
  <c r="W791" i="1"/>
  <c r="X797" i="1" s="1"/>
  <c r="Y791" i="1"/>
  <c r="Q790" i="1"/>
  <c r="W790" i="1"/>
  <c r="Y790" i="1"/>
  <c r="Q787" i="1"/>
  <c r="W787" i="1"/>
  <c r="X793" i="1" s="1"/>
  <c r="Y787" i="1"/>
  <c r="Y786" i="1"/>
  <c r="Q786" i="1"/>
  <c r="W786" i="1"/>
  <c r="Q783" i="1"/>
  <c r="W783" i="1"/>
  <c r="Y783" i="1"/>
  <c r="W782" i="1"/>
  <c r="Q782" i="1"/>
  <c r="Y782" i="1"/>
  <c r="Q781" i="1"/>
  <c r="Y781" i="1"/>
  <c r="W781" i="1"/>
  <c r="Q780" i="1"/>
  <c r="W780" i="1"/>
  <c r="Y780" i="1"/>
  <c r="Q779" i="1"/>
  <c r="W779" i="1"/>
  <c r="Y779" i="1"/>
  <c r="W774" i="1"/>
  <c r="Q774" i="1"/>
  <c r="Y774" i="1"/>
  <c r="Q773" i="1"/>
  <c r="W773" i="1"/>
  <c r="Y773" i="1"/>
  <c r="Q772" i="1"/>
  <c r="W772" i="1"/>
  <c r="Y772" i="1"/>
  <c r="W771" i="1"/>
  <c r="Q771" i="1"/>
  <c r="Y771" i="1"/>
  <c r="Q770" i="1"/>
  <c r="W770" i="1"/>
  <c r="Y770" i="1"/>
  <c r="Q769" i="1"/>
  <c r="W769" i="1"/>
  <c r="Y769" i="1"/>
  <c r="Q768" i="1"/>
  <c r="W768" i="1"/>
  <c r="Y768" i="1"/>
  <c r="Q766" i="1"/>
  <c r="W766" i="1"/>
  <c r="Y766" i="1"/>
  <c r="Q765" i="1"/>
  <c r="W765" i="1"/>
  <c r="Y765" i="1"/>
  <c r="W764" i="1"/>
  <c r="Q764" i="1"/>
  <c r="Y764" i="1"/>
  <c r="Q762" i="1"/>
  <c r="W762" i="1"/>
  <c r="Y762" i="1"/>
  <c r="Q761" i="1"/>
  <c r="W761" i="1"/>
  <c r="Y761" i="1"/>
  <c r="Q760" i="1"/>
  <c r="W760" i="1"/>
  <c r="Y760" i="1"/>
  <c r="Y758" i="1"/>
  <c r="Q758" i="1"/>
  <c r="W758" i="1"/>
  <c r="Q757" i="1"/>
  <c r="W757" i="1"/>
  <c r="Y757" i="1"/>
  <c r="W756" i="1"/>
  <c r="Q756" i="1"/>
  <c r="Y756" i="1"/>
  <c r="Q754" i="1"/>
  <c r="W754" i="1"/>
  <c r="Y754" i="1"/>
  <c r="Q753" i="1"/>
  <c r="Y753" i="1"/>
  <c r="W753" i="1"/>
  <c r="W752" i="1"/>
  <c r="Y752" i="1"/>
  <c r="Q752" i="1"/>
  <c r="W751" i="1"/>
  <c r="Y751" i="1"/>
  <c r="Q751" i="1"/>
  <c r="W750" i="1"/>
  <c r="Y750" i="1"/>
  <c r="Q750" i="1"/>
  <c r="Q749" i="1"/>
  <c r="W749" i="1"/>
  <c r="Y749" i="1"/>
  <c r="W748" i="1"/>
  <c r="Q748" i="1"/>
  <c r="Y748" i="1"/>
  <c r="Q747" i="1"/>
  <c r="W747" i="1"/>
  <c r="Y747" i="1"/>
  <c r="Q746" i="1"/>
  <c r="W746" i="1"/>
  <c r="Y746" i="1"/>
  <c r="Y745" i="1"/>
  <c r="Q745" i="1"/>
  <c r="W745" i="1"/>
  <c r="W744" i="1"/>
  <c r="Q744" i="1"/>
  <c r="Y744" i="1"/>
  <c r="Q743" i="1"/>
  <c r="W743" i="1"/>
  <c r="Y743" i="1"/>
  <c r="W742" i="1"/>
  <c r="Y742" i="1"/>
  <c r="Q742" i="1"/>
  <c r="Q741" i="1"/>
  <c r="W741" i="1"/>
  <c r="Y741" i="1"/>
  <c r="Q740" i="1"/>
  <c r="W740" i="1"/>
  <c r="Y740" i="1"/>
  <c r="Y736" i="1"/>
  <c r="Q736" i="1"/>
  <c r="W736" i="1"/>
  <c r="Q735" i="1"/>
  <c r="W735" i="1"/>
  <c r="Y735" i="1"/>
  <c r="Q734" i="1"/>
  <c r="W734" i="1"/>
  <c r="Y734" i="1"/>
  <c r="W731" i="1"/>
  <c r="Q731" i="1"/>
  <c r="Y731" i="1"/>
  <c r="W730" i="1"/>
  <c r="Y730" i="1"/>
  <c r="Q730" i="1"/>
  <c r="Q728" i="1"/>
  <c r="W728" i="1"/>
  <c r="Y728" i="1"/>
  <c r="Q727" i="1"/>
  <c r="W727" i="1"/>
  <c r="Y727" i="1"/>
  <c r="Q726" i="1"/>
  <c r="Y726" i="1"/>
  <c r="W726" i="1"/>
  <c r="Q725" i="1"/>
  <c r="W725" i="1"/>
  <c r="Y725" i="1"/>
  <c r="Q724" i="1"/>
  <c r="W724" i="1"/>
  <c r="Y724" i="1"/>
  <c r="Q722" i="1"/>
  <c r="W722" i="1"/>
  <c r="Y722" i="1"/>
  <c r="Q721" i="1"/>
  <c r="W721" i="1"/>
  <c r="Y721" i="1"/>
  <c r="W720" i="1"/>
  <c r="Q720" i="1"/>
  <c r="Y720" i="1"/>
  <c r="Q719" i="1"/>
  <c r="W719" i="1"/>
  <c r="Y719" i="1"/>
  <c r="Q718" i="1"/>
  <c r="W718" i="1"/>
  <c r="Y718" i="1"/>
  <c r="AD696" i="1"/>
  <c r="AB713" i="1"/>
  <c r="AC706" i="1"/>
  <c r="AD705" i="1"/>
  <c r="AC705" i="1"/>
  <c r="AB699" i="1"/>
  <c r="AB694" i="1"/>
  <c r="AB709" i="1"/>
  <c r="AB715" i="1"/>
  <c r="AB710" i="1"/>
  <c r="AB708" i="1"/>
  <c r="AC717" i="1"/>
  <c r="AD717" i="1"/>
  <c r="AB698" i="1"/>
  <c r="AB703" i="1"/>
  <c r="AB695" i="1"/>
  <c r="AC696" i="1" s="1"/>
  <c r="AB702" i="1"/>
  <c r="AB716" i="1"/>
  <c r="AC704" i="1"/>
  <c r="AB700" i="1"/>
  <c r="AB692" i="1"/>
  <c r="AB707" i="1"/>
  <c r="AD693" i="1"/>
  <c r="AB701" i="1"/>
  <c r="AB714" i="1"/>
  <c r="AB697" i="1"/>
  <c r="AB711" i="1"/>
  <c r="AB712" i="1"/>
  <c r="W717" i="1"/>
  <c r="Y717" i="1"/>
  <c r="Q717" i="1"/>
  <c r="Y716" i="1"/>
  <c r="W716" i="1"/>
  <c r="Q716" i="1"/>
  <c r="Y715" i="1"/>
  <c r="Q715" i="1"/>
  <c r="W715" i="1"/>
  <c r="Q714" i="1"/>
  <c r="W714" i="1"/>
  <c r="Y714" i="1"/>
  <c r="Q713" i="1"/>
  <c r="W713" i="1"/>
  <c r="Y713" i="1"/>
  <c r="Q712" i="1"/>
  <c r="W712" i="1"/>
  <c r="Y712" i="1"/>
  <c r="Q711" i="1"/>
  <c r="W711" i="1"/>
  <c r="Y711" i="1"/>
  <c r="Y710" i="1"/>
  <c r="Q710" i="1"/>
  <c r="W710" i="1"/>
  <c r="Q709" i="1"/>
  <c r="W709" i="1"/>
  <c r="Y709" i="1"/>
  <c r="Q708" i="1"/>
  <c r="W708" i="1"/>
  <c r="Y708" i="1"/>
  <c r="Q707" i="1"/>
  <c r="W707" i="1"/>
  <c r="Y707" i="1"/>
  <c r="Q704" i="1"/>
  <c r="W704" i="1"/>
  <c r="Y704" i="1"/>
  <c r="Q703" i="1"/>
  <c r="W703" i="1"/>
  <c r="Y703" i="1"/>
  <c r="Q701" i="1"/>
  <c r="W701" i="1"/>
  <c r="Y701" i="1"/>
  <c r="Q700" i="1"/>
  <c r="W700" i="1"/>
  <c r="Y700" i="1"/>
  <c r="Q699" i="1"/>
  <c r="W699" i="1"/>
  <c r="Y699" i="1"/>
  <c r="Q698" i="1"/>
  <c r="W698" i="1"/>
  <c r="Y698" i="1"/>
  <c r="Q696" i="1"/>
  <c r="W696" i="1"/>
  <c r="Y696" i="1"/>
  <c r="Q695" i="1"/>
  <c r="W695" i="1"/>
  <c r="Y695" i="1"/>
  <c r="Q694" i="1"/>
  <c r="W694" i="1"/>
  <c r="Y694" i="1"/>
  <c r="Q693" i="1"/>
  <c r="W693" i="1"/>
  <c r="Y693" i="1"/>
  <c r="Q692" i="1"/>
  <c r="W692" i="1"/>
  <c r="Y692" i="1"/>
  <c r="AB686" i="1"/>
  <c r="AC686" i="1" s="1"/>
  <c r="AB687" i="1"/>
  <c r="AC687" i="1" s="1"/>
  <c r="AB685" i="1"/>
  <c r="AB688" i="1"/>
  <c r="AD685" i="1"/>
  <c r="AB663" i="1"/>
  <c r="AB669" i="1"/>
  <c r="AD669" i="1" s="1"/>
  <c r="AB671" i="1"/>
  <c r="AD671" i="1" s="1"/>
  <c r="AB691" i="1"/>
  <c r="AB681" i="1"/>
  <c r="AD681" i="1" s="1"/>
  <c r="AB670" i="1"/>
  <c r="AB684" i="1"/>
  <c r="AD684" i="1" s="1"/>
  <c r="Y684" i="1"/>
  <c r="AB690" i="1"/>
  <c r="AB683" i="1"/>
  <c r="AB679" i="1"/>
  <c r="AB682" i="1"/>
  <c r="AB672" i="1"/>
  <c r="AB689" i="1"/>
  <c r="Q691" i="1"/>
  <c r="W691" i="1"/>
  <c r="Y691" i="1"/>
  <c r="Y689" i="1"/>
  <c r="Q689" i="1"/>
  <c r="W689" i="1"/>
  <c r="W688" i="1"/>
  <c r="Q688" i="1"/>
  <c r="Y688" i="1"/>
  <c r="Q685" i="1"/>
  <c r="W685" i="1"/>
  <c r="Y685" i="1"/>
  <c r="AD663" i="1"/>
  <c r="AD679" i="1"/>
  <c r="AD682" i="1"/>
  <c r="AC672" i="1"/>
  <c r="AD672" i="1"/>
  <c r="AB673" i="1"/>
  <c r="AB664" i="1"/>
  <c r="AB676" i="1"/>
  <c r="AB678" i="1"/>
  <c r="AB675" i="1"/>
  <c r="AB674" i="1"/>
  <c r="AB667" i="1"/>
  <c r="AB668" i="1"/>
  <c r="AC683" i="1"/>
  <c r="AD683" i="1"/>
  <c r="AB666" i="1"/>
  <c r="AB680" i="1"/>
  <c r="AB665" i="1"/>
  <c r="AB677" i="1"/>
  <c r="AD677" i="1" s="1"/>
  <c r="Q684" i="1"/>
  <c r="W684" i="1"/>
  <c r="W682" i="1"/>
  <c r="Y682" i="1"/>
  <c r="Q682" i="1"/>
  <c r="Q681" i="1"/>
  <c r="W681" i="1"/>
  <c r="Y681" i="1"/>
  <c r="Q680" i="1"/>
  <c r="W680" i="1"/>
  <c r="Y680" i="1"/>
  <c r="Q679" i="1"/>
  <c r="W679" i="1"/>
  <c r="Y679" i="1"/>
  <c r="Q678" i="1"/>
  <c r="W678" i="1"/>
  <c r="Y678" i="1"/>
  <c r="Q676" i="1"/>
  <c r="W676" i="1"/>
  <c r="Y676" i="1"/>
  <c r="W675" i="1"/>
  <c r="Q675" i="1"/>
  <c r="Y675" i="1"/>
  <c r="Q674" i="1"/>
  <c r="W674" i="1"/>
  <c r="Y674" i="1"/>
  <c r="W672" i="1"/>
  <c r="Y672" i="1"/>
  <c r="Q672" i="1"/>
  <c r="Q668" i="1"/>
  <c r="W668" i="1"/>
  <c r="Y668" i="1"/>
  <c r="Y667" i="1"/>
  <c r="Q667" i="1"/>
  <c r="W667" i="1"/>
  <c r="Q666" i="1"/>
  <c r="W666" i="1"/>
  <c r="Y666" i="1"/>
  <c r="Q665" i="1"/>
  <c r="W665" i="1"/>
  <c r="Y665" i="1"/>
  <c r="Y664" i="1"/>
  <c r="Q664" i="1"/>
  <c r="W664" i="1"/>
  <c r="Q663" i="1"/>
  <c r="W663" i="1"/>
  <c r="Y663" i="1"/>
  <c r="AB662" i="1"/>
  <c r="Q662" i="1"/>
  <c r="W662" i="1"/>
  <c r="Y662" i="1"/>
  <c r="AB660" i="1"/>
  <c r="AD660" i="1" s="1"/>
  <c r="AB661" i="1"/>
  <c r="AB658" i="1"/>
  <c r="AB659" i="1"/>
  <c r="W659" i="1"/>
  <c r="Y659" i="1"/>
  <c r="Q659" i="1"/>
  <c r="Q656" i="1"/>
  <c r="W656" i="1"/>
  <c r="Y656" i="1"/>
  <c r="Q652" i="1"/>
  <c r="W652" i="1"/>
  <c r="Y652" i="1"/>
  <c r="X794" i="1" l="1"/>
  <c r="X796" i="1"/>
  <c r="X795" i="1"/>
  <c r="X792" i="1"/>
  <c r="X790" i="1"/>
  <c r="X791" i="1"/>
  <c r="X788" i="1"/>
  <c r="X789" i="1"/>
  <c r="X787" i="1"/>
  <c r="X786" i="1"/>
  <c r="X785" i="1"/>
  <c r="X782" i="1"/>
  <c r="X784" i="1"/>
  <c r="X780" i="1"/>
  <c r="X781" i="1"/>
  <c r="X783" i="1"/>
  <c r="X779" i="1"/>
  <c r="X778" i="1"/>
  <c r="X777" i="1"/>
  <c r="X776" i="1"/>
  <c r="X773" i="1"/>
  <c r="X775" i="1"/>
  <c r="X774" i="1"/>
  <c r="X770" i="1"/>
  <c r="X771" i="1"/>
  <c r="X772" i="1"/>
  <c r="X769" i="1"/>
  <c r="X768" i="1"/>
  <c r="X767" i="1"/>
  <c r="X765" i="1"/>
  <c r="X766" i="1"/>
  <c r="X764" i="1"/>
  <c r="X763" i="1"/>
  <c r="X762" i="1"/>
  <c r="X761" i="1"/>
  <c r="X760" i="1"/>
  <c r="X759" i="1"/>
  <c r="X757" i="1"/>
  <c r="X758" i="1"/>
  <c r="X756" i="1"/>
  <c r="X755" i="1"/>
  <c r="X754" i="1"/>
  <c r="X750" i="1"/>
  <c r="X751" i="1"/>
  <c r="X752" i="1"/>
  <c r="X753" i="1"/>
  <c r="X748" i="1"/>
  <c r="X749" i="1"/>
  <c r="X747" i="1"/>
  <c r="X746" i="1"/>
  <c r="X743" i="1"/>
  <c r="X744" i="1"/>
  <c r="X745" i="1"/>
  <c r="X741" i="1"/>
  <c r="X742" i="1"/>
  <c r="X739" i="1"/>
  <c r="X740" i="1"/>
  <c r="X738" i="1"/>
  <c r="X737" i="1"/>
  <c r="X736" i="1"/>
  <c r="X734" i="1"/>
  <c r="X735" i="1"/>
  <c r="X733" i="1"/>
  <c r="X732" i="1"/>
  <c r="X731" i="1"/>
  <c r="X729" i="1"/>
  <c r="X730" i="1"/>
  <c r="X728" i="1"/>
  <c r="X727" i="1"/>
  <c r="X726" i="1"/>
  <c r="X725" i="1"/>
  <c r="X724" i="1"/>
  <c r="X722" i="1"/>
  <c r="X723" i="1"/>
  <c r="X721" i="1"/>
  <c r="X720" i="1"/>
  <c r="X719" i="1"/>
  <c r="X718" i="1"/>
  <c r="AC710" i="1"/>
  <c r="AD710" i="1"/>
  <c r="AC692" i="1"/>
  <c r="AD692" i="1"/>
  <c r="AD694" i="1"/>
  <c r="AC694" i="1"/>
  <c r="AC708" i="1"/>
  <c r="AD708" i="1"/>
  <c r="X717" i="1"/>
  <c r="AC700" i="1"/>
  <c r="AD700" i="1"/>
  <c r="AC699" i="1"/>
  <c r="AD699" i="1"/>
  <c r="AD707" i="1"/>
  <c r="AC707" i="1"/>
  <c r="AC716" i="1"/>
  <c r="AD716" i="1"/>
  <c r="AC697" i="1"/>
  <c r="AD697" i="1"/>
  <c r="AC701" i="1"/>
  <c r="AD701" i="1"/>
  <c r="AC709" i="1"/>
  <c r="AD709" i="1"/>
  <c r="AD686" i="1"/>
  <c r="AD703" i="1"/>
  <c r="AC703" i="1"/>
  <c r="AC693" i="1"/>
  <c r="AC714" i="1"/>
  <c r="AD714" i="1"/>
  <c r="AC715" i="1"/>
  <c r="AD715" i="1"/>
  <c r="AC713" i="1"/>
  <c r="AD713" i="1"/>
  <c r="AC712" i="1"/>
  <c r="AD712" i="1"/>
  <c r="AC698" i="1"/>
  <c r="AD698" i="1"/>
  <c r="AD687" i="1"/>
  <c r="AC702" i="1"/>
  <c r="AD702" i="1"/>
  <c r="AC695" i="1"/>
  <c r="AD695" i="1"/>
  <c r="AC711" i="1"/>
  <c r="AD711" i="1"/>
  <c r="X716" i="1"/>
  <c r="X715" i="1"/>
  <c r="X714" i="1"/>
  <c r="X713" i="1"/>
  <c r="X711" i="1"/>
  <c r="X712" i="1"/>
  <c r="X709" i="1"/>
  <c r="X710" i="1"/>
  <c r="X708" i="1"/>
  <c r="X706" i="1"/>
  <c r="X707" i="1"/>
  <c r="X705" i="1"/>
  <c r="X703" i="1"/>
  <c r="X704" i="1"/>
  <c r="X701" i="1"/>
  <c r="X702" i="1"/>
  <c r="X700" i="1"/>
  <c r="X699" i="1"/>
  <c r="X698" i="1"/>
  <c r="X696" i="1"/>
  <c r="X697" i="1"/>
  <c r="X693" i="1"/>
  <c r="X695" i="1"/>
  <c r="X692" i="1"/>
  <c r="X694" i="1"/>
  <c r="AC669" i="1"/>
  <c r="AC663" i="1"/>
  <c r="AC679" i="1"/>
  <c r="AC670" i="1"/>
  <c r="AD670" i="1"/>
  <c r="AC691" i="1"/>
  <c r="AD691" i="1"/>
  <c r="AC684" i="1"/>
  <c r="X691" i="1"/>
  <c r="AC685" i="1"/>
  <c r="AC671" i="1"/>
  <c r="AC682" i="1"/>
  <c r="X688" i="1"/>
  <c r="AD689" i="1"/>
  <c r="AC689" i="1"/>
  <c r="AC690" i="1"/>
  <c r="AD690" i="1"/>
  <c r="AC688" i="1"/>
  <c r="AD688" i="1"/>
  <c r="X689" i="1"/>
  <c r="X690" i="1"/>
  <c r="X687" i="1"/>
  <c r="X686" i="1"/>
  <c r="X685" i="1"/>
  <c r="X684" i="1"/>
  <c r="AC673" i="1"/>
  <c r="AD673" i="1"/>
  <c r="AD668" i="1"/>
  <c r="AC668" i="1"/>
  <c r="AD664" i="1"/>
  <c r="AC664" i="1"/>
  <c r="AC680" i="1"/>
  <c r="AD680" i="1"/>
  <c r="AC666" i="1"/>
  <c r="AD666" i="1"/>
  <c r="AC667" i="1"/>
  <c r="AD667" i="1"/>
  <c r="AC674" i="1"/>
  <c r="AD674" i="1"/>
  <c r="AC675" i="1"/>
  <c r="AD675" i="1"/>
  <c r="AC681" i="1"/>
  <c r="AC678" i="1"/>
  <c r="AD678" i="1"/>
  <c r="AD665" i="1"/>
  <c r="AC665" i="1"/>
  <c r="AC677" i="1"/>
  <c r="AD676" i="1"/>
  <c r="AC676" i="1"/>
  <c r="X683" i="1"/>
  <c r="X681" i="1"/>
  <c r="X682" i="1"/>
  <c r="X679" i="1"/>
  <c r="X680" i="1"/>
  <c r="X678" i="1"/>
  <c r="X675" i="1"/>
  <c r="X676" i="1"/>
  <c r="X677" i="1"/>
  <c r="X674" i="1"/>
  <c r="X672" i="1"/>
  <c r="X671" i="1"/>
  <c r="X673" i="1"/>
  <c r="X670" i="1"/>
  <c r="X665" i="1"/>
  <c r="X669" i="1"/>
  <c r="X667" i="1"/>
  <c r="X668" i="1"/>
  <c r="X666" i="1"/>
  <c r="X663" i="1"/>
  <c r="X664" i="1"/>
  <c r="X659" i="1"/>
  <c r="X662" i="1"/>
  <c r="X658" i="1"/>
  <c r="AC662" i="1"/>
  <c r="AD662" i="1"/>
  <c r="AD658" i="1"/>
  <c r="AC659" i="1"/>
  <c r="AD659" i="1"/>
  <c r="AC661" i="1"/>
  <c r="AD661" i="1"/>
  <c r="X661" i="1"/>
  <c r="AC660" i="1"/>
  <c r="X660" i="1"/>
  <c r="Z651" i="1"/>
  <c r="F651" i="1"/>
  <c r="N651" i="1"/>
  <c r="AA657" i="1" s="1"/>
  <c r="O651" i="1"/>
  <c r="P657" i="1" s="1"/>
  <c r="S651" i="1"/>
  <c r="V651" i="1"/>
  <c r="Z650" i="1"/>
  <c r="F650" i="1"/>
  <c r="N650" i="1"/>
  <c r="O650" i="1"/>
  <c r="S650" i="1"/>
  <c r="V650" i="1"/>
  <c r="Z649" i="1"/>
  <c r="F649" i="1"/>
  <c r="N649" i="1"/>
  <c r="O649" i="1"/>
  <c r="S649" i="1"/>
  <c r="V649" i="1"/>
  <c r="Z648" i="1"/>
  <c r="F648" i="1"/>
  <c r="N648" i="1"/>
  <c r="H648" i="1" s="1"/>
  <c r="O648" i="1"/>
  <c r="S648" i="1"/>
  <c r="V648" i="1"/>
  <c r="Z647" i="1"/>
  <c r="F647" i="1"/>
  <c r="N647" i="1"/>
  <c r="O647" i="1"/>
  <c r="S647" i="1"/>
  <c r="V647" i="1"/>
  <c r="Z646" i="1"/>
  <c r="F646" i="1"/>
  <c r="N646" i="1"/>
  <c r="O646" i="1"/>
  <c r="S646" i="1"/>
  <c r="V646" i="1"/>
  <c r="Z645" i="1"/>
  <c r="F645" i="1"/>
  <c r="N645" i="1"/>
  <c r="O645" i="1"/>
  <c r="S645" i="1"/>
  <c r="V645" i="1"/>
  <c r="Z644" i="1"/>
  <c r="F644" i="1"/>
  <c r="N644" i="1"/>
  <c r="H644" i="1" s="1"/>
  <c r="O644" i="1"/>
  <c r="S644" i="1"/>
  <c r="V644" i="1"/>
  <c r="Z643" i="1"/>
  <c r="F643" i="1"/>
  <c r="N643" i="1"/>
  <c r="H643" i="1" s="1"/>
  <c r="O643" i="1"/>
  <c r="S643" i="1"/>
  <c r="V643" i="1"/>
  <c r="Z642" i="1"/>
  <c r="F642" i="1"/>
  <c r="N642" i="1"/>
  <c r="H642" i="1" s="1"/>
  <c r="O642" i="1"/>
  <c r="S642" i="1"/>
  <c r="V642" i="1"/>
  <c r="Z641" i="1"/>
  <c r="F641" i="1"/>
  <c r="N641" i="1"/>
  <c r="H641" i="1" s="1"/>
  <c r="O641" i="1"/>
  <c r="S641" i="1"/>
  <c r="V641" i="1"/>
  <c r="Z640" i="1"/>
  <c r="F640" i="1"/>
  <c r="N640" i="1"/>
  <c r="H640" i="1" s="1"/>
  <c r="O640" i="1"/>
  <c r="S640" i="1"/>
  <c r="V640" i="1"/>
  <c r="Z639" i="1"/>
  <c r="F639" i="1"/>
  <c r="N639" i="1"/>
  <c r="H639" i="1" s="1"/>
  <c r="O639" i="1"/>
  <c r="S639" i="1"/>
  <c r="V639" i="1"/>
  <c r="Z638" i="1"/>
  <c r="F638" i="1"/>
  <c r="N638" i="1"/>
  <c r="O638" i="1"/>
  <c r="S638" i="1"/>
  <c r="V638" i="1"/>
  <c r="Z637" i="1"/>
  <c r="F637" i="1"/>
  <c r="N637" i="1"/>
  <c r="O637" i="1"/>
  <c r="S637" i="1"/>
  <c r="V637" i="1"/>
  <c r="Z636" i="1"/>
  <c r="F636" i="1"/>
  <c r="N636" i="1"/>
  <c r="O636" i="1"/>
  <c r="S636" i="1"/>
  <c r="V636" i="1"/>
  <c r="Z635" i="1"/>
  <c r="F635" i="1"/>
  <c r="N635" i="1"/>
  <c r="O635" i="1"/>
  <c r="S635" i="1"/>
  <c r="V635" i="1"/>
  <c r="Z634" i="1"/>
  <c r="F634" i="1"/>
  <c r="N634" i="1"/>
  <c r="H634" i="1" s="1"/>
  <c r="O634" i="1"/>
  <c r="S634" i="1"/>
  <c r="V634" i="1"/>
  <c r="Z633" i="1"/>
  <c r="F633" i="1"/>
  <c r="N633" i="1"/>
  <c r="H633" i="1" s="1"/>
  <c r="O633" i="1"/>
  <c r="S633" i="1"/>
  <c r="V633" i="1"/>
  <c r="Z632" i="1"/>
  <c r="F632" i="1"/>
  <c r="N632" i="1"/>
  <c r="O632" i="1"/>
  <c r="S632" i="1"/>
  <c r="V632" i="1"/>
  <c r="Z631" i="1"/>
  <c r="F631" i="1"/>
  <c r="N631" i="1"/>
  <c r="H631" i="1" s="1"/>
  <c r="O631" i="1"/>
  <c r="S631" i="1"/>
  <c r="V631" i="1"/>
  <c r="Z630" i="1"/>
  <c r="F630" i="1"/>
  <c r="N630" i="1"/>
  <c r="H630" i="1" s="1"/>
  <c r="O630" i="1"/>
  <c r="S630" i="1"/>
  <c r="V630" i="1"/>
  <c r="Z629" i="1"/>
  <c r="F629" i="1"/>
  <c r="N629" i="1"/>
  <c r="H629" i="1" s="1"/>
  <c r="O629" i="1"/>
  <c r="S629" i="1"/>
  <c r="V629" i="1"/>
  <c r="Z628" i="1"/>
  <c r="F628" i="1"/>
  <c r="N628" i="1"/>
  <c r="H628" i="1" s="1"/>
  <c r="O628" i="1"/>
  <c r="S628" i="1"/>
  <c r="V628" i="1"/>
  <c r="Z627" i="1"/>
  <c r="F627" i="1"/>
  <c r="N627" i="1"/>
  <c r="H627" i="1" s="1"/>
  <c r="O627" i="1"/>
  <c r="S627" i="1"/>
  <c r="V627" i="1"/>
  <c r="Z626" i="1"/>
  <c r="F626" i="1"/>
  <c r="N626" i="1"/>
  <c r="O626" i="1"/>
  <c r="S626" i="1"/>
  <c r="V626" i="1"/>
  <c r="Z625" i="1"/>
  <c r="Z624" i="1"/>
  <c r="Z623" i="1"/>
  <c r="V623" i="1"/>
  <c r="F625" i="1"/>
  <c r="N625" i="1"/>
  <c r="H625" i="1" s="1"/>
  <c r="O625" i="1"/>
  <c r="S625" i="1"/>
  <c r="V625" i="1"/>
  <c r="F624" i="1"/>
  <c r="N624" i="1"/>
  <c r="H624" i="1" s="1"/>
  <c r="O624" i="1"/>
  <c r="S624" i="1"/>
  <c r="V624" i="1"/>
  <c r="F623" i="1"/>
  <c r="N623" i="1"/>
  <c r="H623" i="1" s="1"/>
  <c r="O623" i="1"/>
  <c r="S623" i="1"/>
  <c r="Z622" i="1"/>
  <c r="F622" i="1"/>
  <c r="N622" i="1"/>
  <c r="H622" i="1" s="1"/>
  <c r="O622" i="1"/>
  <c r="S622" i="1"/>
  <c r="V622" i="1"/>
  <c r="Z621" i="1"/>
  <c r="F621" i="1"/>
  <c r="N621" i="1"/>
  <c r="O621" i="1"/>
  <c r="S621" i="1"/>
  <c r="V621" i="1"/>
  <c r="Z620" i="1"/>
  <c r="F620" i="1"/>
  <c r="N620" i="1"/>
  <c r="H620" i="1" s="1"/>
  <c r="O620" i="1"/>
  <c r="S620" i="1"/>
  <c r="V620" i="1"/>
  <c r="Z619" i="1"/>
  <c r="F619" i="1"/>
  <c r="N619" i="1"/>
  <c r="H619" i="1" s="1"/>
  <c r="O619" i="1"/>
  <c r="S619" i="1"/>
  <c r="V619" i="1"/>
  <c r="Z618" i="1"/>
  <c r="F618" i="1"/>
  <c r="N618" i="1"/>
  <c r="H618" i="1" s="1"/>
  <c r="O618" i="1"/>
  <c r="S618" i="1"/>
  <c r="V618" i="1"/>
  <c r="Z617" i="1"/>
  <c r="F617" i="1"/>
  <c r="N617" i="1"/>
  <c r="H617" i="1" s="1"/>
  <c r="O617" i="1"/>
  <c r="S617" i="1"/>
  <c r="V617" i="1"/>
  <c r="Z616" i="1"/>
  <c r="F616" i="1"/>
  <c r="N616" i="1"/>
  <c r="O616" i="1"/>
  <c r="S616" i="1"/>
  <c r="V616" i="1"/>
  <c r="Z615" i="1"/>
  <c r="F615" i="1"/>
  <c r="N615" i="1"/>
  <c r="H615" i="1" s="1"/>
  <c r="O615" i="1"/>
  <c r="S615" i="1"/>
  <c r="V615" i="1"/>
  <c r="Z614" i="1"/>
  <c r="F614" i="1"/>
  <c r="N614" i="1"/>
  <c r="O614" i="1"/>
  <c r="S614" i="1"/>
  <c r="V614" i="1"/>
  <c r="Z613" i="1"/>
  <c r="F613" i="1"/>
  <c r="N613" i="1"/>
  <c r="H613" i="1" s="1"/>
  <c r="O613" i="1"/>
  <c r="S613" i="1"/>
  <c r="V613" i="1"/>
  <c r="Z612" i="1"/>
  <c r="F612" i="1"/>
  <c r="N612" i="1"/>
  <c r="H612" i="1" s="1"/>
  <c r="O612" i="1"/>
  <c r="S612" i="1"/>
  <c r="V612" i="1"/>
  <c r="Z611" i="1"/>
  <c r="F611" i="1"/>
  <c r="N611" i="1"/>
  <c r="H611" i="1" s="1"/>
  <c r="O611" i="1"/>
  <c r="S611" i="1"/>
  <c r="V611" i="1"/>
  <c r="Z610" i="1"/>
  <c r="F610" i="1"/>
  <c r="N610" i="1"/>
  <c r="H610" i="1" s="1"/>
  <c r="O610" i="1"/>
  <c r="S610" i="1"/>
  <c r="V610" i="1"/>
  <c r="Z609" i="1"/>
  <c r="F609" i="1"/>
  <c r="N609" i="1"/>
  <c r="H609" i="1" s="1"/>
  <c r="O609" i="1"/>
  <c r="S609" i="1"/>
  <c r="V609" i="1"/>
  <c r="Z608" i="1"/>
  <c r="F608" i="1"/>
  <c r="N608" i="1"/>
  <c r="H608" i="1" s="1"/>
  <c r="O608" i="1"/>
  <c r="S608" i="1"/>
  <c r="V608" i="1"/>
  <c r="Z607" i="1"/>
  <c r="F607" i="1"/>
  <c r="N607" i="1"/>
  <c r="H607" i="1" s="1"/>
  <c r="O607" i="1"/>
  <c r="S607" i="1"/>
  <c r="V607" i="1"/>
  <c r="Z606" i="1"/>
  <c r="F606" i="1"/>
  <c r="N606" i="1"/>
  <c r="H606" i="1" s="1"/>
  <c r="O606" i="1"/>
  <c r="S606" i="1"/>
  <c r="V606" i="1"/>
  <c r="Z605" i="1"/>
  <c r="F605" i="1"/>
  <c r="N605" i="1"/>
  <c r="H605" i="1" s="1"/>
  <c r="O605" i="1"/>
  <c r="S605" i="1"/>
  <c r="V605" i="1"/>
  <c r="Z604" i="1"/>
  <c r="F604" i="1"/>
  <c r="N604" i="1"/>
  <c r="O604" i="1"/>
  <c r="S604" i="1"/>
  <c r="V604" i="1"/>
  <c r="Z603" i="1"/>
  <c r="F603" i="1"/>
  <c r="N603" i="1"/>
  <c r="H603" i="1" s="1"/>
  <c r="O603" i="1"/>
  <c r="S603" i="1"/>
  <c r="V603" i="1"/>
  <c r="N18" i="2"/>
  <c r="Z602" i="1"/>
  <c r="F602" i="1"/>
  <c r="N602" i="1"/>
  <c r="H602" i="1" s="1"/>
  <c r="O602" i="1"/>
  <c r="S602" i="1"/>
  <c r="V602" i="1"/>
  <c r="Z601" i="1"/>
  <c r="F601" i="1"/>
  <c r="N601" i="1"/>
  <c r="H601" i="1" s="1"/>
  <c r="O601" i="1"/>
  <c r="S601" i="1"/>
  <c r="V601" i="1"/>
  <c r="Z600" i="1"/>
  <c r="F600" i="1"/>
  <c r="N600" i="1"/>
  <c r="H600" i="1" s="1"/>
  <c r="O600" i="1"/>
  <c r="S600" i="1"/>
  <c r="V600" i="1"/>
  <c r="Z599" i="1"/>
  <c r="F599" i="1"/>
  <c r="N599" i="1"/>
  <c r="H599" i="1" s="1"/>
  <c r="O599" i="1"/>
  <c r="S599" i="1"/>
  <c r="V599" i="1"/>
  <c r="Z598" i="1"/>
  <c r="F598" i="1"/>
  <c r="N598" i="1"/>
  <c r="H598" i="1" s="1"/>
  <c r="O598" i="1"/>
  <c r="S598" i="1"/>
  <c r="V598" i="1"/>
  <c r="Z597" i="1"/>
  <c r="F597" i="1"/>
  <c r="N597" i="1"/>
  <c r="O597" i="1"/>
  <c r="S597" i="1"/>
  <c r="V597" i="1"/>
  <c r="Z596" i="1"/>
  <c r="F596" i="1"/>
  <c r="N596" i="1"/>
  <c r="H596" i="1" s="1"/>
  <c r="O596" i="1"/>
  <c r="S596" i="1"/>
  <c r="V596" i="1"/>
  <c r="Z595" i="1"/>
  <c r="F595" i="1"/>
  <c r="N595" i="1"/>
  <c r="O595" i="1"/>
  <c r="S595" i="1"/>
  <c r="V595" i="1"/>
  <c r="Z594" i="1"/>
  <c r="F594" i="1"/>
  <c r="N594" i="1"/>
  <c r="H594" i="1" s="1"/>
  <c r="O594" i="1"/>
  <c r="S594" i="1"/>
  <c r="V594" i="1"/>
  <c r="Z593" i="1"/>
  <c r="F593" i="1"/>
  <c r="N593" i="1"/>
  <c r="H593" i="1" s="1"/>
  <c r="O593" i="1"/>
  <c r="S593" i="1"/>
  <c r="V593" i="1"/>
  <c r="Z592" i="1"/>
  <c r="F592" i="1"/>
  <c r="N592" i="1"/>
  <c r="O592" i="1"/>
  <c r="S592" i="1"/>
  <c r="V592" i="1"/>
  <c r="Z591" i="1"/>
  <c r="F591" i="1"/>
  <c r="N591" i="1"/>
  <c r="O591" i="1"/>
  <c r="S591" i="1"/>
  <c r="V591" i="1"/>
  <c r="Z590" i="1"/>
  <c r="F590" i="1"/>
  <c r="N590" i="1"/>
  <c r="H590" i="1" s="1"/>
  <c r="O590" i="1"/>
  <c r="S590" i="1"/>
  <c r="V590" i="1"/>
  <c r="Z589" i="1"/>
  <c r="F589" i="1"/>
  <c r="N589" i="1"/>
  <c r="H589" i="1" s="1"/>
  <c r="O589" i="1"/>
  <c r="S589" i="1"/>
  <c r="V589" i="1"/>
  <c r="Z588" i="1"/>
  <c r="F588" i="1"/>
  <c r="N588" i="1"/>
  <c r="O588" i="1"/>
  <c r="S588" i="1"/>
  <c r="V588" i="1"/>
  <c r="Z587" i="1"/>
  <c r="F587" i="1"/>
  <c r="N587" i="1"/>
  <c r="H587" i="1" s="1"/>
  <c r="O587" i="1"/>
  <c r="S587" i="1"/>
  <c r="V587" i="1"/>
  <c r="Z586" i="1"/>
  <c r="F586" i="1"/>
  <c r="N586" i="1"/>
  <c r="O586" i="1"/>
  <c r="S586" i="1"/>
  <c r="V586" i="1"/>
  <c r="Z585" i="1"/>
  <c r="F585" i="1"/>
  <c r="N585" i="1"/>
  <c r="H585" i="1" s="1"/>
  <c r="O585" i="1"/>
  <c r="S585" i="1"/>
  <c r="V585" i="1"/>
  <c r="Z584" i="1"/>
  <c r="F584" i="1"/>
  <c r="N584" i="1"/>
  <c r="H584" i="1" s="1"/>
  <c r="O584" i="1"/>
  <c r="S584" i="1"/>
  <c r="V584" i="1"/>
  <c r="Z583" i="1"/>
  <c r="F583" i="1"/>
  <c r="N583" i="1"/>
  <c r="H583" i="1" s="1"/>
  <c r="O583" i="1"/>
  <c r="S583" i="1"/>
  <c r="V583" i="1"/>
  <c r="Z582" i="1"/>
  <c r="F582" i="1"/>
  <c r="N582" i="1"/>
  <c r="H582" i="1" s="1"/>
  <c r="O582" i="1"/>
  <c r="S582" i="1"/>
  <c r="V582" i="1"/>
  <c r="Z581" i="1"/>
  <c r="F581" i="1"/>
  <c r="N581" i="1"/>
  <c r="H581" i="1" s="1"/>
  <c r="O581" i="1"/>
  <c r="S581" i="1"/>
  <c r="V581" i="1"/>
  <c r="Z580" i="1"/>
  <c r="F580" i="1"/>
  <c r="N580" i="1"/>
  <c r="H580" i="1" s="1"/>
  <c r="O580" i="1"/>
  <c r="S580" i="1"/>
  <c r="V580" i="1"/>
  <c r="Z579" i="1"/>
  <c r="F579" i="1"/>
  <c r="N579" i="1"/>
  <c r="H579" i="1" s="1"/>
  <c r="O579" i="1"/>
  <c r="S579" i="1"/>
  <c r="V579" i="1"/>
  <c r="Z578" i="1"/>
  <c r="F578" i="1"/>
  <c r="N578" i="1"/>
  <c r="H578" i="1" s="1"/>
  <c r="O578" i="1"/>
  <c r="S578" i="1"/>
  <c r="V578" i="1"/>
  <c r="Z577" i="1"/>
  <c r="F577" i="1"/>
  <c r="N577" i="1"/>
  <c r="H577" i="1" s="1"/>
  <c r="O577" i="1"/>
  <c r="S577" i="1"/>
  <c r="V577" i="1"/>
  <c r="Z575" i="1"/>
  <c r="Z576" i="1"/>
  <c r="F576" i="1"/>
  <c r="N576" i="1"/>
  <c r="H576" i="1" s="1"/>
  <c r="O576" i="1"/>
  <c r="S576" i="1"/>
  <c r="V576" i="1"/>
  <c r="F575" i="1"/>
  <c r="N575" i="1"/>
  <c r="H575" i="1" s="1"/>
  <c r="O575" i="1"/>
  <c r="S575" i="1"/>
  <c r="V575" i="1"/>
  <c r="Z574" i="1"/>
  <c r="F574" i="1"/>
  <c r="N574" i="1"/>
  <c r="H574" i="1" s="1"/>
  <c r="O574" i="1"/>
  <c r="S574" i="1"/>
  <c r="V574" i="1"/>
  <c r="Z573" i="1"/>
  <c r="F573" i="1"/>
  <c r="N573" i="1"/>
  <c r="H573" i="1" s="1"/>
  <c r="O573" i="1"/>
  <c r="S573" i="1"/>
  <c r="V573" i="1"/>
  <c r="Z571" i="1"/>
  <c r="Z572" i="1"/>
  <c r="F572" i="1"/>
  <c r="N572" i="1"/>
  <c r="H572" i="1" s="1"/>
  <c r="O572" i="1"/>
  <c r="S572" i="1"/>
  <c r="V572" i="1"/>
  <c r="F571" i="1"/>
  <c r="N571" i="1"/>
  <c r="H571" i="1" s="1"/>
  <c r="O571" i="1"/>
  <c r="S571" i="1"/>
  <c r="V571" i="1"/>
  <c r="Z570" i="1"/>
  <c r="F570" i="1"/>
  <c r="N570" i="1"/>
  <c r="H570" i="1" s="1"/>
  <c r="O570" i="1"/>
  <c r="S570" i="1"/>
  <c r="V570" i="1"/>
  <c r="Z569" i="1"/>
  <c r="F569" i="1"/>
  <c r="N569" i="1"/>
  <c r="H569" i="1" s="1"/>
  <c r="O569" i="1"/>
  <c r="S569" i="1"/>
  <c r="V569" i="1"/>
  <c r="Z568" i="1"/>
  <c r="F568" i="1"/>
  <c r="N568" i="1"/>
  <c r="H568" i="1" s="1"/>
  <c r="O568" i="1"/>
  <c r="S568" i="1"/>
  <c r="V568" i="1"/>
  <c r="Z567" i="1"/>
  <c r="F567" i="1"/>
  <c r="N567" i="1"/>
  <c r="H567" i="1" s="1"/>
  <c r="O567" i="1"/>
  <c r="S567" i="1"/>
  <c r="V567" i="1"/>
  <c r="Z566" i="1"/>
  <c r="F566" i="1"/>
  <c r="N566" i="1"/>
  <c r="H566" i="1" s="1"/>
  <c r="O566" i="1"/>
  <c r="S566" i="1"/>
  <c r="V566" i="1"/>
  <c r="Z565" i="1"/>
  <c r="F565" i="1"/>
  <c r="N565" i="1"/>
  <c r="H565" i="1" s="1"/>
  <c r="O565" i="1"/>
  <c r="S565" i="1"/>
  <c r="V565" i="1"/>
  <c r="Z564" i="1"/>
  <c r="F564" i="1"/>
  <c r="N564" i="1"/>
  <c r="H564" i="1" s="1"/>
  <c r="O564" i="1"/>
  <c r="S564" i="1"/>
  <c r="V564" i="1"/>
  <c r="Z563" i="1"/>
  <c r="F563" i="1"/>
  <c r="N563" i="1"/>
  <c r="H563" i="1" s="1"/>
  <c r="O563" i="1"/>
  <c r="S563" i="1"/>
  <c r="V563" i="1"/>
  <c r="Z562" i="1"/>
  <c r="F562" i="1"/>
  <c r="N562" i="1"/>
  <c r="H562" i="1" s="1"/>
  <c r="O562" i="1"/>
  <c r="S562" i="1"/>
  <c r="V562" i="1"/>
  <c r="Z561" i="1"/>
  <c r="F561" i="1"/>
  <c r="N561" i="1"/>
  <c r="H561" i="1" s="1"/>
  <c r="O561" i="1"/>
  <c r="S561" i="1"/>
  <c r="V561" i="1"/>
  <c r="Z560" i="1"/>
  <c r="F560" i="1"/>
  <c r="N560" i="1"/>
  <c r="H560" i="1" s="1"/>
  <c r="O560" i="1"/>
  <c r="S560" i="1"/>
  <c r="V560" i="1"/>
  <c r="Z559" i="1"/>
  <c r="F559" i="1"/>
  <c r="N559" i="1"/>
  <c r="O559" i="1"/>
  <c r="S559" i="1"/>
  <c r="V559" i="1"/>
  <c r="Z558" i="1"/>
  <c r="F558" i="1"/>
  <c r="N558" i="1"/>
  <c r="H558" i="1" s="1"/>
  <c r="O558" i="1"/>
  <c r="S558" i="1"/>
  <c r="V558" i="1"/>
  <c r="Z557" i="1"/>
  <c r="F557" i="1"/>
  <c r="N557" i="1"/>
  <c r="O557" i="1"/>
  <c r="S557" i="1"/>
  <c r="V557" i="1"/>
  <c r="Z556" i="1"/>
  <c r="F556" i="1"/>
  <c r="N556" i="1"/>
  <c r="H556" i="1" s="1"/>
  <c r="O556" i="1"/>
  <c r="S556" i="1"/>
  <c r="V556" i="1"/>
  <c r="Z555" i="1"/>
  <c r="F555" i="1"/>
  <c r="N555" i="1"/>
  <c r="H555" i="1" s="1"/>
  <c r="O555" i="1"/>
  <c r="S555" i="1"/>
  <c r="V555" i="1"/>
  <c r="Z554" i="1"/>
  <c r="F554" i="1"/>
  <c r="N554" i="1"/>
  <c r="H554" i="1" s="1"/>
  <c r="O554" i="1"/>
  <c r="S554" i="1"/>
  <c r="V554" i="1"/>
  <c r="Z553" i="1"/>
  <c r="F553" i="1"/>
  <c r="N553" i="1"/>
  <c r="H553" i="1" s="1"/>
  <c r="O553" i="1"/>
  <c r="S553" i="1"/>
  <c r="V553" i="1"/>
  <c r="Z552" i="1"/>
  <c r="F552" i="1"/>
  <c r="N552" i="1"/>
  <c r="H552" i="1" s="1"/>
  <c r="O552" i="1"/>
  <c r="S552" i="1"/>
  <c r="V552" i="1"/>
  <c r="Z551" i="1"/>
  <c r="F551" i="1"/>
  <c r="N551" i="1"/>
  <c r="H551" i="1" s="1"/>
  <c r="O551" i="1"/>
  <c r="S551" i="1"/>
  <c r="V551" i="1"/>
  <c r="Z550" i="1"/>
  <c r="F550" i="1"/>
  <c r="N550" i="1"/>
  <c r="H550" i="1" s="1"/>
  <c r="O550" i="1"/>
  <c r="S550" i="1"/>
  <c r="V550" i="1"/>
  <c r="Z549" i="1"/>
  <c r="F549" i="1"/>
  <c r="N549" i="1"/>
  <c r="O549" i="1"/>
  <c r="S549" i="1"/>
  <c r="V549" i="1"/>
  <c r="Z548" i="1"/>
  <c r="F548" i="1"/>
  <c r="N548" i="1"/>
  <c r="H548" i="1" s="1"/>
  <c r="O548" i="1"/>
  <c r="S548" i="1"/>
  <c r="V548" i="1"/>
  <c r="Z547" i="1"/>
  <c r="F547" i="1"/>
  <c r="N547" i="1"/>
  <c r="O547" i="1"/>
  <c r="S547" i="1"/>
  <c r="V547" i="1"/>
  <c r="Z546" i="1"/>
  <c r="F546" i="1"/>
  <c r="N546" i="1"/>
  <c r="H546" i="1" s="1"/>
  <c r="O546" i="1"/>
  <c r="S546" i="1"/>
  <c r="V546" i="1"/>
  <c r="Z545" i="1"/>
  <c r="F545" i="1"/>
  <c r="N545" i="1"/>
  <c r="H545" i="1" s="1"/>
  <c r="O545" i="1"/>
  <c r="S545" i="1"/>
  <c r="V545" i="1"/>
  <c r="N17" i="2"/>
  <c r="Z544" i="1"/>
  <c r="F544" i="1"/>
  <c r="N544" i="1"/>
  <c r="H544" i="1" s="1"/>
  <c r="O544" i="1"/>
  <c r="S544" i="1"/>
  <c r="V544" i="1"/>
  <c r="Z543" i="1"/>
  <c r="F543" i="1"/>
  <c r="N543" i="1"/>
  <c r="O543" i="1"/>
  <c r="S543" i="1"/>
  <c r="V543" i="1"/>
  <c r="Z542" i="1"/>
  <c r="F542" i="1"/>
  <c r="N542" i="1"/>
  <c r="H542" i="1" s="1"/>
  <c r="O542" i="1"/>
  <c r="S542" i="1"/>
  <c r="V542" i="1"/>
  <c r="Z541" i="1"/>
  <c r="F541" i="1"/>
  <c r="N541" i="1"/>
  <c r="H541" i="1" s="1"/>
  <c r="O541" i="1"/>
  <c r="S541" i="1"/>
  <c r="V541" i="1"/>
  <c r="Z540" i="1"/>
  <c r="F540" i="1"/>
  <c r="N540" i="1"/>
  <c r="H540" i="1" s="1"/>
  <c r="O540" i="1"/>
  <c r="S540" i="1"/>
  <c r="V540" i="1"/>
  <c r="Z539" i="1"/>
  <c r="F539" i="1"/>
  <c r="N539" i="1"/>
  <c r="H539" i="1" s="1"/>
  <c r="O539" i="1"/>
  <c r="S539" i="1"/>
  <c r="V539" i="1"/>
  <c r="Z538" i="1"/>
  <c r="F538" i="1"/>
  <c r="N538" i="1"/>
  <c r="H538" i="1" s="1"/>
  <c r="O538" i="1"/>
  <c r="S538" i="1"/>
  <c r="V538" i="1"/>
  <c r="Z537" i="1"/>
  <c r="F537" i="1"/>
  <c r="N537" i="1"/>
  <c r="O537" i="1"/>
  <c r="S537" i="1"/>
  <c r="V537" i="1"/>
  <c r="Z536" i="1"/>
  <c r="F536" i="1"/>
  <c r="N536" i="1"/>
  <c r="O536" i="1"/>
  <c r="S536" i="1"/>
  <c r="V536" i="1"/>
  <c r="Z535" i="1"/>
  <c r="F535" i="1"/>
  <c r="N535" i="1"/>
  <c r="H535" i="1" s="1"/>
  <c r="O535" i="1"/>
  <c r="S535" i="1"/>
  <c r="V535" i="1"/>
  <c r="Z534" i="1"/>
  <c r="F534" i="1"/>
  <c r="N534" i="1"/>
  <c r="H534" i="1" s="1"/>
  <c r="O534" i="1"/>
  <c r="S534" i="1"/>
  <c r="V534" i="1"/>
  <c r="Z533" i="1"/>
  <c r="F533" i="1"/>
  <c r="N533" i="1"/>
  <c r="H533" i="1" s="1"/>
  <c r="O533" i="1"/>
  <c r="S533" i="1"/>
  <c r="V533" i="1"/>
  <c r="Z532" i="1"/>
  <c r="F532" i="1"/>
  <c r="N532" i="1"/>
  <c r="H532" i="1" s="1"/>
  <c r="O532" i="1"/>
  <c r="S532" i="1"/>
  <c r="V532" i="1"/>
  <c r="Z531" i="1"/>
  <c r="F531" i="1"/>
  <c r="N531" i="1"/>
  <c r="H531" i="1" s="1"/>
  <c r="O531" i="1"/>
  <c r="S531" i="1"/>
  <c r="V531" i="1"/>
  <c r="Z530" i="1"/>
  <c r="F530" i="1"/>
  <c r="N530" i="1"/>
  <c r="H530" i="1" s="1"/>
  <c r="O530" i="1"/>
  <c r="S530" i="1"/>
  <c r="V530" i="1"/>
  <c r="Z529" i="1"/>
  <c r="F529" i="1"/>
  <c r="N529" i="1"/>
  <c r="H529" i="1" s="1"/>
  <c r="O529" i="1"/>
  <c r="S529" i="1"/>
  <c r="V529" i="1"/>
  <c r="Z528" i="1"/>
  <c r="F528" i="1"/>
  <c r="N528" i="1"/>
  <c r="H528" i="1" s="1"/>
  <c r="O528" i="1"/>
  <c r="S528" i="1"/>
  <c r="V528" i="1"/>
  <c r="Z526" i="1"/>
  <c r="Z527" i="1"/>
  <c r="F527" i="1"/>
  <c r="N527" i="1"/>
  <c r="H527" i="1" s="1"/>
  <c r="O527" i="1"/>
  <c r="S527" i="1"/>
  <c r="V527" i="1"/>
  <c r="F526" i="1"/>
  <c r="N526" i="1"/>
  <c r="H526" i="1" s="1"/>
  <c r="O526" i="1"/>
  <c r="S526" i="1"/>
  <c r="V526" i="1"/>
  <c r="Z525" i="1"/>
  <c r="F525" i="1"/>
  <c r="N525" i="1"/>
  <c r="O525" i="1"/>
  <c r="S525" i="1"/>
  <c r="V525" i="1"/>
  <c r="Z524" i="1"/>
  <c r="F524" i="1"/>
  <c r="N524" i="1"/>
  <c r="H524" i="1" s="1"/>
  <c r="O524" i="1"/>
  <c r="S524" i="1"/>
  <c r="V524" i="1"/>
  <c r="Z523" i="1"/>
  <c r="F523" i="1"/>
  <c r="N523" i="1"/>
  <c r="H523" i="1" s="1"/>
  <c r="O523" i="1"/>
  <c r="S523" i="1"/>
  <c r="V523" i="1"/>
  <c r="Z522" i="1"/>
  <c r="F522" i="1"/>
  <c r="N522" i="1"/>
  <c r="H522" i="1" s="1"/>
  <c r="O522" i="1"/>
  <c r="S522" i="1"/>
  <c r="V522" i="1"/>
  <c r="Z521" i="1"/>
  <c r="F521" i="1"/>
  <c r="N521" i="1"/>
  <c r="H521" i="1" s="1"/>
  <c r="O521" i="1"/>
  <c r="S521" i="1"/>
  <c r="V521" i="1"/>
  <c r="Z520" i="1"/>
  <c r="F520" i="1"/>
  <c r="N520" i="1"/>
  <c r="O520" i="1"/>
  <c r="S520" i="1"/>
  <c r="V520" i="1"/>
  <c r="Z519" i="1"/>
  <c r="F519" i="1"/>
  <c r="N519" i="1"/>
  <c r="H519" i="1" s="1"/>
  <c r="O519" i="1"/>
  <c r="S519" i="1"/>
  <c r="V519" i="1"/>
  <c r="Z518" i="1"/>
  <c r="F518" i="1"/>
  <c r="N518" i="1"/>
  <c r="H518" i="1" s="1"/>
  <c r="O518" i="1"/>
  <c r="S518" i="1"/>
  <c r="V518" i="1"/>
  <c r="Z517" i="1"/>
  <c r="F517" i="1"/>
  <c r="N517" i="1"/>
  <c r="H517" i="1" s="1"/>
  <c r="O517" i="1"/>
  <c r="S517" i="1"/>
  <c r="V517" i="1"/>
  <c r="Z516" i="1"/>
  <c r="F516" i="1"/>
  <c r="N516" i="1"/>
  <c r="H516" i="1" s="1"/>
  <c r="O516" i="1"/>
  <c r="S516" i="1"/>
  <c r="V516" i="1"/>
  <c r="Z515" i="1"/>
  <c r="F515" i="1"/>
  <c r="N515" i="1"/>
  <c r="H515" i="1" s="1"/>
  <c r="O515" i="1"/>
  <c r="S515" i="1"/>
  <c r="V515" i="1"/>
  <c r="Z514" i="1"/>
  <c r="F514" i="1"/>
  <c r="N514" i="1"/>
  <c r="H514" i="1" s="1"/>
  <c r="O514" i="1"/>
  <c r="S514" i="1"/>
  <c r="V514" i="1"/>
  <c r="Z513" i="1"/>
  <c r="F513" i="1"/>
  <c r="N513" i="1"/>
  <c r="H513" i="1" s="1"/>
  <c r="O513" i="1"/>
  <c r="S513" i="1"/>
  <c r="V513" i="1"/>
  <c r="Z512" i="1"/>
  <c r="F512" i="1"/>
  <c r="N512" i="1"/>
  <c r="O512" i="1"/>
  <c r="S512" i="1"/>
  <c r="V512" i="1"/>
  <c r="Z511" i="1"/>
  <c r="F511" i="1"/>
  <c r="N511" i="1"/>
  <c r="O511" i="1"/>
  <c r="S511" i="1"/>
  <c r="V511" i="1"/>
  <c r="Z510" i="1"/>
  <c r="F510" i="1"/>
  <c r="N510" i="1"/>
  <c r="H510" i="1" s="1"/>
  <c r="O510" i="1"/>
  <c r="S510" i="1"/>
  <c r="V510" i="1"/>
  <c r="Z509" i="1"/>
  <c r="F509" i="1"/>
  <c r="N509" i="1"/>
  <c r="O509" i="1"/>
  <c r="S509" i="1"/>
  <c r="V509" i="1"/>
  <c r="Z508" i="1"/>
  <c r="F508" i="1"/>
  <c r="N508" i="1"/>
  <c r="O508" i="1"/>
  <c r="S508" i="1"/>
  <c r="V508" i="1"/>
  <c r="Z507" i="1"/>
  <c r="F507" i="1"/>
  <c r="N507" i="1"/>
  <c r="O507" i="1"/>
  <c r="S507" i="1"/>
  <c r="V507" i="1"/>
  <c r="Z506" i="1"/>
  <c r="F506" i="1"/>
  <c r="N506" i="1"/>
  <c r="O506" i="1"/>
  <c r="S506" i="1"/>
  <c r="V506" i="1"/>
  <c r="Z505" i="1"/>
  <c r="F505" i="1"/>
  <c r="N505" i="1"/>
  <c r="O505" i="1"/>
  <c r="S505" i="1"/>
  <c r="V505" i="1"/>
  <c r="Z504" i="1"/>
  <c r="F504" i="1"/>
  <c r="N504" i="1"/>
  <c r="H504" i="1" s="1"/>
  <c r="O504" i="1"/>
  <c r="S504" i="1"/>
  <c r="V504" i="1"/>
  <c r="Z503" i="1"/>
  <c r="F503" i="1"/>
  <c r="N503" i="1"/>
  <c r="H503" i="1" s="1"/>
  <c r="O503" i="1"/>
  <c r="S503" i="1"/>
  <c r="V503" i="1"/>
  <c r="Z502" i="1"/>
  <c r="F502" i="1"/>
  <c r="N502" i="1"/>
  <c r="O502" i="1"/>
  <c r="S502" i="1"/>
  <c r="V502" i="1"/>
  <c r="Z501" i="1"/>
  <c r="F501" i="1"/>
  <c r="N501" i="1"/>
  <c r="H501" i="1" s="1"/>
  <c r="O501" i="1"/>
  <c r="S501" i="1"/>
  <c r="V501" i="1"/>
  <c r="Z500" i="1"/>
  <c r="F500" i="1"/>
  <c r="N500" i="1"/>
  <c r="O500" i="1"/>
  <c r="S500" i="1"/>
  <c r="V500" i="1"/>
  <c r="Z499" i="1"/>
  <c r="F499" i="1"/>
  <c r="N499" i="1"/>
  <c r="H499" i="1" s="1"/>
  <c r="O499" i="1"/>
  <c r="S499" i="1"/>
  <c r="V499" i="1"/>
  <c r="Z498" i="1"/>
  <c r="F498" i="1"/>
  <c r="N498" i="1"/>
  <c r="H498" i="1" s="1"/>
  <c r="O498" i="1"/>
  <c r="S498" i="1"/>
  <c r="V498" i="1"/>
  <c r="Z497" i="1"/>
  <c r="F497" i="1"/>
  <c r="N497" i="1"/>
  <c r="H497" i="1" s="1"/>
  <c r="O497" i="1"/>
  <c r="S497" i="1"/>
  <c r="V497" i="1"/>
  <c r="Z496" i="1"/>
  <c r="F496" i="1"/>
  <c r="N496" i="1"/>
  <c r="H496" i="1" s="1"/>
  <c r="O496" i="1"/>
  <c r="S496" i="1"/>
  <c r="V496" i="1"/>
  <c r="Z495" i="1"/>
  <c r="F495" i="1"/>
  <c r="N495" i="1"/>
  <c r="H495" i="1" s="1"/>
  <c r="O495" i="1"/>
  <c r="S495" i="1"/>
  <c r="V495" i="1"/>
  <c r="Z494" i="1"/>
  <c r="F494" i="1"/>
  <c r="N494" i="1"/>
  <c r="O494" i="1"/>
  <c r="S494" i="1"/>
  <c r="V494" i="1"/>
  <c r="Z493" i="1"/>
  <c r="F493" i="1"/>
  <c r="N493" i="1"/>
  <c r="H493" i="1" s="1"/>
  <c r="O493" i="1"/>
  <c r="S493" i="1"/>
  <c r="V493" i="1"/>
  <c r="Z492" i="1"/>
  <c r="F492" i="1"/>
  <c r="N492" i="1"/>
  <c r="H492" i="1" s="1"/>
  <c r="O492" i="1"/>
  <c r="S492" i="1"/>
  <c r="V492" i="1"/>
  <c r="Z491" i="1"/>
  <c r="F491" i="1"/>
  <c r="N491" i="1"/>
  <c r="H491" i="1" s="1"/>
  <c r="O491" i="1"/>
  <c r="S491" i="1"/>
  <c r="V491" i="1"/>
  <c r="Z490" i="1"/>
  <c r="F490" i="1"/>
  <c r="N490" i="1"/>
  <c r="H490" i="1" s="1"/>
  <c r="O490" i="1"/>
  <c r="S490" i="1"/>
  <c r="V490" i="1"/>
  <c r="Z489" i="1"/>
  <c r="F489" i="1"/>
  <c r="N489" i="1"/>
  <c r="O489" i="1"/>
  <c r="S489" i="1"/>
  <c r="V489" i="1"/>
  <c r="Z488" i="1"/>
  <c r="F488" i="1"/>
  <c r="N488" i="1"/>
  <c r="H488" i="1" s="1"/>
  <c r="O488" i="1"/>
  <c r="S488" i="1"/>
  <c r="V488" i="1"/>
  <c r="N16" i="2"/>
  <c r="Z487" i="1"/>
  <c r="F487" i="1"/>
  <c r="N487" i="1"/>
  <c r="H487" i="1" s="1"/>
  <c r="O487" i="1"/>
  <c r="S487" i="1"/>
  <c r="V487" i="1"/>
  <c r="Z486" i="1"/>
  <c r="F486" i="1"/>
  <c r="N486" i="1"/>
  <c r="O486" i="1"/>
  <c r="S486" i="1"/>
  <c r="V486" i="1"/>
  <c r="Z485" i="1"/>
  <c r="F485" i="1"/>
  <c r="N485" i="1"/>
  <c r="H485" i="1" s="1"/>
  <c r="O485" i="1"/>
  <c r="S485" i="1"/>
  <c r="V485" i="1"/>
  <c r="Z484" i="1"/>
  <c r="F484" i="1"/>
  <c r="N484" i="1"/>
  <c r="H484" i="1" s="1"/>
  <c r="O484" i="1"/>
  <c r="S484" i="1"/>
  <c r="V484" i="1"/>
  <c r="Z483" i="1"/>
  <c r="F483" i="1"/>
  <c r="N483" i="1"/>
  <c r="H483" i="1" s="1"/>
  <c r="O483" i="1"/>
  <c r="S483" i="1"/>
  <c r="V483" i="1"/>
  <c r="Z482" i="1"/>
  <c r="F482" i="1"/>
  <c r="N482" i="1"/>
  <c r="H482" i="1" s="1"/>
  <c r="O482" i="1"/>
  <c r="S482" i="1"/>
  <c r="V482" i="1"/>
  <c r="Z481" i="1"/>
  <c r="F481" i="1"/>
  <c r="N481" i="1"/>
  <c r="H481" i="1" s="1"/>
  <c r="O481" i="1"/>
  <c r="S481" i="1"/>
  <c r="V481" i="1"/>
  <c r="N5" i="2"/>
  <c r="N6" i="2"/>
  <c r="N7" i="2"/>
  <c r="N8" i="2"/>
  <c r="N9" i="2"/>
  <c r="N10" i="2"/>
  <c r="N11" i="2"/>
  <c r="N12" i="2"/>
  <c r="N13" i="2"/>
  <c r="N14" i="2"/>
  <c r="N15" i="2"/>
  <c r="N4" i="2"/>
  <c r="Z480" i="1"/>
  <c r="F480" i="1"/>
  <c r="N480" i="1"/>
  <c r="H480" i="1" s="1"/>
  <c r="O480" i="1"/>
  <c r="S480" i="1"/>
  <c r="V480" i="1"/>
  <c r="Z479" i="1"/>
  <c r="F479" i="1"/>
  <c r="N479" i="1"/>
  <c r="H479" i="1" s="1"/>
  <c r="O479" i="1"/>
  <c r="S479" i="1"/>
  <c r="V479" i="1"/>
  <c r="Z478" i="1"/>
  <c r="F478" i="1"/>
  <c r="N478" i="1"/>
  <c r="H478" i="1" s="1"/>
  <c r="O478" i="1"/>
  <c r="S478" i="1"/>
  <c r="V478" i="1"/>
  <c r="Z477" i="1"/>
  <c r="F477" i="1"/>
  <c r="N477" i="1"/>
  <c r="H477" i="1" s="1"/>
  <c r="O477" i="1"/>
  <c r="S477" i="1"/>
  <c r="V477" i="1"/>
  <c r="Z476" i="1"/>
  <c r="F476" i="1"/>
  <c r="N476" i="1"/>
  <c r="H476" i="1" s="1"/>
  <c r="O476" i="1"/>
  <c r="S476" i="1"/>
  <c r="V476" i="1"/>
  <c r="Z475" i="1"/>
  <c r="F475" i="1"/>
  <c r="N475" i="1"/>
  <c r="H475" i="1" s="1"/>
  <c r="O475" i="1"/>
  <c r="S475" i="1"/>
  <c r="V475" i="1"/>
  <c r="Z474" i="1"/>
  <c r="F474" i="1"/>
  <c r="N474" i="1"/>
  <c r="H474" i="1" s="1"/>
  <c r="O474" i="1"/>
  <c r="S474" i="1"/>
  <c r="V474" i="1"/>
  <c r="Z473" i="1"/>
  <c r="F473" i="1"/>
  <c r="N473" i="1"/>
  <c r="H473" i="1" s="1"/>
  <c r="O473" i="1"/>
  <c r="S473" i="1"/>
  <c r="V473" i="1"/>
  <c r="Z472" i="1"/>
  <c r="F472" i="1"/>
  <c r="N472" i="1"/>
  <c r="H472" i="1" s="1"/>
  <c r="O472" i="1"/>
  <c r="S472" i="1"/>
  <c r="V472" i="1"/>
  <c r="Z471" i="1"/>
  <c r="F471" i="1"/>
  <c r="N471" i="1"/>
  <c r="H471" i="1" s="1"/>
  <c r="O471" i="1"/>
  <c r="S471" i="1"/>
  <c r="V471" i="1"/>
  <c r="Z470" i="1"/>
  <c r="F470" i="1"/>
  <c r="N470" i="1"/>
  <c r="H470" i="1" s="1"/>
  <c r="O470" i="1"/>
  <c r="S470" i="1"/>
  <c r="V470" i="1"/>
  <c r="Z469" i="1"/>
  <c r="F469" i="1"/>
  <c r="N469" i="1"/>
  <c r="H469" i="1" s="1"/>
  <c r="O469" i="1"/>
  <c r="S469" i="1"/>
  <c r="V469" i="1"/>
  <c r="Z468" i="1"/>
  <c r="F468" i="1"/>
  <c r="N468" i="1"/>
  <c r="H468" i="1" s="1"/>
  <c r="O468" i="1"/>
  <c r="S468" i="1"/>
  <c r="V468" i="1"/>
  <c r="Z467" i="1"/>
  <c r="F467" i="1"/>
  <c r="N467" i="1"/>
  <c r="H467" i="1" s="1"/>
  <c r="O467" i="1"/>
  <c r="S467" i="1"/>
  <c r="V467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3" i="1"/>
  <c r="Z4" i="1"/>
  <c r="Z5" i="1"/>
  <c r="Z6" i="1"/>
  <c r="Z7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8" i="1"/>
  <c r="F466" i="1"/>
  <c r="N466" i="1"/>
  <c r="O466" i="1"/>
  <c r="S466" i="1"/>
  <c r="V466" i="1"/>
  <c r="F465" i="1"/>
  <c r="N465" i="1"/>
  <c r="H465" i="1" s="1"/>
  <c r="O465" i="1"/>
  <c r="S465" i="1"/>
  <c r="V465" i="1"/>
  <c r="F464" i="1"/>
  <c r="N464" i="1"/>
  <c r="H464" i="1" s="1"/>
  <c r="O464" i="1"/>
  <c r="S464" i="1"/>
  <c r="V464" i="1"/>
  <c r="F463" i="1"/>
  <c r="N463" i="1"/>
  <c r="H463" i="1" s="1"/>
  <c r="O463" i="1"/>
  <c r="S463" i="1"/>
  <c r="V463" i="1"/>
  <c r="F462" i="1"/>
  <c r="N462" i="1"/>
  <c r="H462" i="1" s="1"/>
  <c r="O462" i="1"/>
  <c r="S462" i="1"/>
  <c r="V462" i="1"/>
  <c r="F461" i="1"/>
  <c r="N461" i="1"/>
  <c r="H461" i="1" s="1"/>
  <c r="O461" i="1"/>
  <c r="S461" i="1"/>
  <c r="V461" i="1"/>
  <c r="F460" i="1"/>
  <c r="N460" i="1"/>
  <c r="H460" i="1" s="1"/>
  <c r="O460" i="1"/>
  <c r="S460" i="1"/>
  <c r="V460" i="1"/>
  <c r="F459" i="1"/>
  <c r="N459" i="1"/>
  <c r="H459" i="1" s="1"/>
  <c r="O459" i="1"/>
  <c r="S459" i="1"/>
  <c r="V459" i="1"/>
  <c r="F458" i="1"/>
  <c r="N458" i="1"/>
  <c r="O458" i="1"/>
  <c r="S458" i="1"/>
  <c r="V458" i="1"/>
  <c r="F457" i="1"/>
  <c r="N457" i="1"/>
  <c r="H457" i="1" s="1"/>
  <c r="O457" i="1"/>
  <c r="S457" i="1"/>
  <c r="V457" i="1"/>
  <c r="F456" i="1"/>
  <c r="N456" i="1"/>
  <c r="H456" i="1" s="1"/>
  <c r="O456" i="1"/>
  <c r="S456" i="1"/>
  <c r="V456" i="1"/>
  <c r="F455" i="1"/>
  <c r="N455" i="1"/>
  <c r="O455" i="1"/>
  <c r="S455" i="1"/>
  <c r="V455" i="1"/>
  <c r="F454" i="1"/>
  <c r="N454" i="1"/>
  <c r="H454" i="1" s="1"/>
  <c r="O454" i="1"/>
  <c r="S454" i="1"/>
  <c r="V454" i="1"/>
  <c r="F453" i="1"/>
  <c r="N453" i="1"/>
  <c r="H453" i="1" s="1"/>
  <c r="O453" i="1"/>
  <c r="S453" i="1"/>
  <c r="V453" i="1"/>
  <c r="F452" i="1"/>
  <c r="N452" i="1"/>
  <c r="H452" i="1" s="1"/>
  <c r="O452" i="1"/>
  <c r="S452" i="1"/>
  <c r="V452" i="1"/>
  <c r="F451" i="1"/>
  <c r="N451" i="1"/>
  <c r="H451" i="1" s="1"/>
  <c r="O451" i="1"/>
  <c r="S451" i="1"/>
  <c r="V451" i="1"/>
  <c r="F450" i="1"/>
  <c r="N450" i="1"/>
  <c r="H450" i="1" s="1"/>
  <c r="O450" i="1"/>
  <c r="S450" i="1"/>
  <c r="V450" i="1"/>
  <c r="F449" i="1"/>
  <c r="N449" i="1"/>
  <c r="H449" i="1" s="1"/>
  <c r="O449" i="1"/>
  <c r="S449" i="1"/>
  <c r="V449" i="1"/>
  <c r="F448" i="1"/>
  <c r="N448" i="1"/>
  <c r="H448" i="1" s="1"/>
  <c r="O448" i="1"/>
  <c r="S448" i="1"/>
  <c r="V448" i="1"/>
  <c r="F447" i="1"/>
  <c r="N447" i="1"/>
  <c r="H447" i="1" s="1"/>
  <c r="O447" i="1"/>
  <c r="S447" i="1"/>
  <c r="V447" i="1"/>
  <c r="F446" i="1"/>
  <c r="N446" i="1"/>
  <c r="H446" i="1" s="1"/>
  <c r="O446" i="1"/>
  <c r="S446" i="1"/>
  <c r="V446" i="1"/>
  <c r="F445" i="1"/>
  <c r="N445" i="1"/>
  <c r="H445" i="1" s="1"/>
  <c r="O445" i="1"/>
  <c r="S445" i="1"/>
  <c r="V445" i="1"/>
  <c r="F444" i="1"/>
  <c r="N444" i="1"/>
  <c r="H444" i="1" s="1"/>
  <c r="O444" i="1"/>
  <c r="S444" i="1"/>
  <c r="V444" i="1"/>
  <c r="F443" i="1"/>
  <c r="N443" i="1"/>
  <c r="H443" i="1" s="1"/>
  <c r="O443" i="1"/>
  <c r="S443" i="1"/>
  <c r="V443" i="1"/>
  <c r="F442" i="1"/>
  <c r="N442" i="1"/>
  <c r="O442" i="1"/>
  <c r="S442" i="1"/>
  <c r="V442" i="1"/>
  <c r="F441" i="1"/>
  <c r="N441" i="1"/>
  <c r="H441" i="1" s="1"/>
  <c r="O441" i="1"/>
  <c r="S441" i="1"/>
  <c r="V441" i="1"/>
  <c r="F440" i="1"/>
  <c r="N440" i="1"/>
  <c r="H440" i="1" s="1"/>
  <c r="O440" i="1"/>
  <c r="S440" i="1"/>
  <c r="V440" i="1"/>
  <c r="F439" i="1"/>
  <c r="N439" i="1"/>
  <c r="H439" i="1" s="1"/>
  <c r="O439" i="1"/>
  <c r="S439" i="1"/>
  <c r="V439" i="1"/>
  <c r="F438" i="1"/>
  <c r="N438" i="1"/>
  <c r="H438" i="1" s="1"/>
  <c r="O438" i="1"/>
  <c r="S438" i="1"/>
  <c r="V438" i="1"/>
  <c r="F437" i="1"/>
  <c r="N437" i="1"/>
  <c r="H437" i="1" s="1"/>
  <c r="O437" i="1"/>
  <c r="S437" i="1"/>
  <c r="V437" i="1"/>
  <c r="F436" i="1"/>
  <c r="N436" i="1"/>
  <c r="H436" i="1" s="1"/>
  <c r="O436" i="1"/>
  <c r="S436" i="1"/>
  <c r="V436" i="1"/>
  <c r="F435" i="1"/>
  <c r="N435" i="1"/>
  <c r="H435" i="1" s="1"/>
  <c r="O435" i="1"/>
  <c r="S435" i="1"/>
  <c r="V435" i="1"/>
  <c r="F434" i="1"/>
  <c r="N434" i="1"/>
  <c r="H434" i="1" s="1"/>
  <c r="O434" i="1"/>
  <c r="S434" i="1"/>
  <c r="V434" i="1"/>
  <c r="F433" i="1"/>
  <c r="N433" i="1"/>
  <c r="H433" i="1" s="1"/>
  <c r="O433" i="1"/>
  <c r="S433" i="1"/>
  <c r="V433" i="1"/>
  <c r="F432" i="1"/>
  <c r="N432" i="1"/>
  <c r="O432" i="1"/>
  <c r="S432" i="1"/>
  <c r="V432" i="1"/>
  <c r="F431" i="1"/>
  <c r="N431" i="1"/>
  <c r="O431" i="1"/>
  <c r="S431" i="1"/>
  <c r="V431" i="1"/>
  <c r="F430" i="1"/>
  <c r="N430" i="1"/>
  <c r="O430" i="1"/>
  <c r="S430" i="1"/>
  <c r="V430" i="1"/>
  <c r="F429" i="1"/>
  <c r="N429" i="1"/>
  <c r="H429" i="1" s="1"/>
  <c r="O429" i="1"/>
  <c r="S429" i="1"/>
  <c r="V429" i="1"/>
  <c r="F428" i="1"/>
  <c r="N428" i="1"/>
  <c r="H428" i="1" s="1"/>
  <c r="O428" i="1"/>
  <c r="S428" i="1"/>
  <c r="V428" i="1"/>
  <c r="F426" i="1"/>
  <c r="F427" i="1"/>
  <c r="N426" i="1"/>
  <c r="H426" i="1" s="1"/>
  <c r="N427" i="1"/>
  <c r="H427" i="1" s="1"/>
  <c r="O426" i="1"/>
  <c r="O427" i="1"/>
  <c r="S426" i="1"/>
  <c r="S427" i="1"/>
  <c r="V426" i="1"/>
  <c r="V427" i="1"/>
  <c r="F425" i="1"/>
  <c r="N425" i="1"/>
  <c r="O425" i="1"/>
  <c r="S425" i="1"/>
  <c r="V425" i="1"/>
  <c r="F424" i="1"/>
  <c r="N424" i="1"/>
  <c r="H424" i="1" s="1"/>
  <c r="O424" i="1"/>
  <c r="S424" i="1"/>
  <c r="V424" i="1"/>
  <c r="F423" i="1"/>
  <c r="N423" i="1"/>
  <c r="H423" i="1" s="1"/>
  <c r="O423" i="1"/>
  <c r="S423" i="1"/>
  <c r="V423" i="1"/>
  <c r="F422" i="1"/>
  <c r="N422" i="1"/>
  <c r="H422" i="1" s="1"/>
  <c r="O422" i="1"/>
  <c r="S422" i="1"/>
  <c r="V422" i="1"/>
  <c r="F421" i="1"/>
  <c r="N421" i="1"/>
  <c r="H421" i="1" s="1"/>
  <c r="O421" i="1"/>
  <c r="S421" i="1"/>
  <c r="V421" i="1"/>
  <c r="F420" i="1"/>
  <c r="N420" i="1"/>
  <c r="O420" i="1"/>
  <c r="S420" i="1"/>
  <c r="V420" i="1"/>
  <c r="F419" i="1"/>
  <c r="N419" i="1"/>
  <c r="H419" i="1" s="1"/>
  <c r="O419" i="1"/>
  <c r="S419" i="1"/>
  <c r="V419" i="1"/>
  <c r="F418" i="1"/>
  <c r="N418" i="1"/>
  <c r="H418" i="1" s="1"/>
  <c r="O418" i="1"/>
  <c r="S418" i="1"/>
  <c r="V418" i="1"/>
  <c r="F417" i="1"/>
  <c r="N417" i="1"/>
  <c r="O417" i="1"/>
  <c r="S417" i="1"/>
  <c r="V417" i="1"/>
  <c r="F416" i="1"/>
  <c r="N416" i="1"/>
  <c r="O416" i="1"/>
  <c r="S416" i="1"/>
  <c r="V416" i="1"/>
  <c r="F415" i="1"/>
  <c r="N415" i="1"/>
  <c r="H415" i="1" s="1"/>
  <c r="O415" i="1"/>
  <c r="S415" i="1"/>
  <c r="V415" i="1"/>
  <c r="F414" i="1"/>
  <c r="N414" i="1"/>
  <c r="O414" i="1"/>
  <c r="S414" i="1"/>
  <c r="V414" i="1"/>
  <c r="F413" i="1"/>
  <c r="N413" i="1"/>
  <c r="H413" i="1" s="1"/>
  <c r="O413" i="1"/>
  <c r="S413" i="1"/>
  <c r="V413" i="1"/>
  <c r="F412" i="1"/>
  <c r="N412" i="1"/>
  <c r="H412" i="1" s="1"/>
  <c r="O412" i="1"/>
  <c r="S412" i="1"/>
  <c r="V412" i="1"/>
  <c r="F411" i="1"/>
  <c r="N411" i="1"/>
  <c r="O411" i="1"/>
  <c r="S411" i="1"/>
  <c r="V411" i="1"/>
  <c r="F410" i="1"/>
  <c r="N410" i="1"/>
  <c r="H410" i="1" s="1"/>
  <c r="O410" i="1"/>
  <c r="S410" i="1"/>
  <c r="V410" i="1"/>
  <c r="F409" i="1"/>
  <c r="N409" i="1"/>
  <c r="H409" i="1" s="1"/>
  <c r="O409" i="1"/>
  <c r="S409" i="1"/>
  <c r="V409" i="1"/>
  <c r="F408" i="1"/>
  <c r="N408" i="1"/>
  <c r="O408" i="1"/>
  <c r="S408" i="1"/>
  <c r="V408" i="1"/>
  <c r="F407" i="1"/>
  <c r="N407" i="1"/>
  <c r="H407" i="1" s="1"/>
  <c r="O407" i="1"/>
  <c r="S407" i="1"/>
  <c r="V407" i="1"/>
  <c r="F406" i="1"/>
  <c r="N406" i="1"/>
  <c r="H406" i="1" s="1"/>
  <c r="O406" i="1"/>
  <c r="S406" i="1"/>
  <c r="V406" i="1"/>
  <c r="F405" i="1"/>
  <c r="N405" i="1"/>
  <c r="O405" i="1"/>
  <c r="S405" i="1"/>
  <c r="V405" i="1"/>
  <c r="F404" i="1"/>
  <c r="N404" i="1"/>
  <c r="H404" i="1" s="1"/>
  <c r="O404" i="1"/>
  <c r="S404" i="1"/>
  <c r="V404" i="1"/>
  <c r="F403" i="1"/>
  <c r="N403" i="1"/>
  <c r="O403" i="1"/>
  <c r="S403" i="1"/>
  <c r="V403" i="1"/>
  <c r="F402" i="1"/>
  <c r="N402" i="1"/>
  <c r="H402" i="1" s="1"/>
  <c r="O402" i="1"/>
  <c r="S402" i="1"/>
  <c r="V402" i="1"/>
  <c r="F401" i="1"/>
  <c r="N401" i="1"/>
  <c r="H401" i="1" s="1"/>
  <c r="O401" i="1"/>
  <c r="S401" i="1"/>
  <c r="V401" i="1"/>
  <c r="F400" i="1"/>
  <c r="N400" i="1"/>
  <c r="O400" i="1"/>
  <c r="S400" i="1"/>
  <c r="V400" i="1"/>
  <c r="F399" i="1"/>
  <c r="N399" i="1"/>
  <c r="H399" i="1" s="1"/>
  <c r="O399" i="1"/>
  <c r="S399" i="1"/>
  <c r="V399" i="1"/>
  <c r="F398" i="1"/>
  <c r="N398" i="1"/>
  <c r="H398" i="1" s="1"/>
  <c r="O398" i="1"/>
  <c r="S398" i="1"/>
  <c r="V398" i="1"/>
  <c r="F397" i="1"/>
  <c r="N397" i="1"/>
  <c r="H397" i="1" s="1"/>
  <c r="O397" i="1"/>
  <c r="S397" i="1"/>
  <c r="V397" i="1"/>
  <c r="F396" i="1"/>
  <c r="N396" i="1"/>
  <c r="H396" i="1" s="1"/>
  <c r="O396" i="1"/>
  <c r="S396" i="1"/>
  <c r="V396" i="1"/>
  <c r="F395" i="1"/>
  <c r="N395" i="1"/>
  <c r="H395" i="1" s="1"/>
  <c r="O395" i="1"/>
  <c r="S395" i="1"/>
  <c r="V395" i="1"/>
  <c r="F394" i="1"/>
  <c r="N394" i="1"/>
  <c r="H394" i="1" s="1"/>
  <c r="O394" i="1"/>
  <c r="S394" i="1"/>
  <c r="V394" i="1"/>
  <c r="F393" i="1"/>
  <c r="N393" i="1"/>
  <c r="O393" i="1"/>
  <c r="S393" i="1"/>
  <c r="V393" i="1"/>
  <c r="F392" i="1"/>
  <c r="N392" i="1"/>
  <c r="O392" i="1"/>
  <c r="S392" i="1"/>
  <c r="V392" i="1"/>
  <c r="F391" i="1"/>
  <c r="N391" i="1"/>
  <c r="H391" i="1" s="1"/>
  <c r="O391" i="1"/>
  <c r="S391" i="1"/>
  <c r="V391" i="1"/>
  <c r="F390" i="1"/>
  <c r="N390" i="1"/>
  <c r="H390" i="1" s="1"/>
  <c r="O390" i="1"/>
  <c r="S390" i="1"/>
  <c r="V390" i="1"/>
  <c r="F389" i="1"/>
  <c r="N389" i="1"/>
  <c r="O389" i="1"/>
  <c r="S389" i="1"/>
  <c r="V389" i="1"/>
  <c r="F388" i="1"/>
  <c r="N388" i="1"/>
  <c r="H388" i="1" s="1"/>
  <c r="O388" i="1"/>
  <c r="S388" i="1"/>
  <c r="V388" i="1"/>
  <c r="F387" i="1"/>
  <c r="N387" i="1"/>
  <c r="H387" i="1" s="1"/>
  <c r="O387" i="1"/>
  <c r="S387" i="1"/>
  <c r="V387" i="1"/>
  <c r="F386" i="1"/>
  <c r="N386" i="1"/>
  <c r="O386" i="1"/>
  <c r="S386" i="1"/>
  <c r="V386" i="1"/>
  <c r="F385" i="1"/>
  <c r="N385" i="1"/>
  <c r="H385" i="1" s="1"/>
  <c r="O385" i="1"/>
  <c r="S385" i="1"/>
  <c r="V385" i="1"/>
  <c r="F384" i="1"/>
  <c r="N384" i="1"/>
  <c r="H384" i="1" s="1"/>
  <c r="O384" i="1"/>
  <c r="S384" i="1"/>
  <c r="V384" i="1"/>
  <c r="V5" i="10"/>
  <c r="F383" i="1"/>
  <c r="N383" i="1"/>
  <c r="H383" i="1" s="1"/>
  <c r="O383" i="1"/>
  <c r="S383" i="1"/>
  <c r="V383" i="1"/>
  <c r="F382" i="1"/>
  <c r="N382" i="1"/>
  <c r="H382" i="1" s="1"/>
  <c r="O382" i="1"/>
  <c r="S382" i="1"/>
  <c r="V382" i="1"/>
  <c r="F381" i="1"/>
  <c r="N381" i="1"/>
  <c r="O381" i="1"/>
  <c r="S381" i="1"/>
  <c r="V381" i="1"/>
  <c r="F380" i="1"/>
  <c r="N380" i="1"/>
  <c r="H380" i="1" s="1"/>
  <c r="O380" i="1"/>
  <c r="S380" i="1"/>
  <c r="V380" i="1"/>
  <c r="F379" i="1"/>
  <c r="N379" i="1"/>
  <c r="O379" i="1"/>
  <c r="S379" i="1"/>
  <c r="V379" i="1"/>
  <c r="F378" i="1"/>
  <c r="N378" i="1"/>
  <c r="H378" i="1" s="1"/>
  <c r="O378" i="1"/>
  <c r="S378" i="1"/>
  <c r="V378" i="1"/>
  <c r="F377" i="1"/>
  <c r="N377" i="1"/>
  <c r="O377" i="1"/>
  <c r="S377" i="1"/>
  <c r="V377" i="1"/>
  <c r="F376" i="1"/>
  <c r="N376" i="1"/>
  <c r="O376" i="1"/>
  <c r="S376" i="1"/>
  <c r="V376" i="1"/>
  <c r="F375" i="1"/>
  <c r="N375" i="1"/>
  <c r="H375" i="1" s="1"/>
  <c r="O375" i="1"/>
  <c r="S375" i="1"/>
  <c r="V375" i="1"/>
  <c r="F374" i="1"/>
  <c r="N374" i="1"/>
  <c r="O374" i="1"/>
  <c r="S374" i="1"/>
  <c r="V374" i="1"/>
  <c r="F373" i="1"/>
  <c r="N373" i="1"/>
  <c r="H373" i="1" s="1"/>
  <c r="O373" i="1"/>
  <c r="S373" i="1"/>
  <c r="V373" i="1"/>
  <c r="F372" i="1"/>
  <c r="N372" i="1"/>
  <c r="O372" i="1"/>
  <c r="S372" i="1"/>
  <c r="V372" i="1"/>
  <c r="F371" i="1"/>
  <c r="N371" i="1"/>
  <c r="H371" i="1" s="1"/>
  <c r="O371" i="1"/>
  <c r="S371" i="1"/>
  <c r="V371" i="1"/>
  <c r="F370" i="1"/>
  <c r="N370" i="1"/>
  <c r="O370" i="1"/>
  <c r="S370" i="1"/>
  <c r="V370" i="1"/>
  <c r="F369" i="1"/>
  <c r="N369" i="1"/>
  <c r="O369" i="1"/>
  <c r="S369" i="1"/>
  <c r="V369" i="1"/>
  <c r="F368" i="1"/>
  <c r="N368" i="1"/>
  <c r="H368" i="1" s="1"/>
  <c r="O368" i="1"/>
  <c r="S368" i="1"/>
  <c r="V368" i="1"/>
  <c r="F367" i="1"/>
  <c r="N367" i="1"/>
  <c r="H367" i="1" s="1"/>
  <c r="O367" i="1"/>
  <c r="S367" i="1"/>
  <c r="V367" i="1"/>
  <c r="F366" i="1"/>
  <c r="N366" i="1"/>
  <c r="H366" i="1" s="1"/>
  <c r="O366" i="1"/>
  <c r="S366" i="1"/>
  <c r="V366" i="1"/>
  <c r="F365" i="1"/>
  <c r="N365" i="1"/>
  <c r="H365" i="1" s="1"/>
  <c r="O365" i="1"/>
  <c r="S365" i="1"/>
  <c r="V365" i="1"/>
  <c r="F364" i="1"/>
  <c r="N364" i="1"/>
  <c r="O364" i="1"/>
  <c r="S364" i="1"/>
  <c r="V364" i="1"/>
  <c r="F363" i="1"/>
  <c r="N363" i="1"/>
  <c r="O363" i="1"/>
  <c r="S363" i="1"/>
  <c r="V363" i="1"/>
  <c r="F362" i="1"/>
  <c r="N362" i="1"/>
  <c r="H362" i="1" s="1"/>
  <c r="O362" i="1"/>
  <c r="S362" i="1"/>
  <c r="V362" i="1"/>
  <c r="F361" i="1"/>
  <c r="N361" i="1"/>
  <c r="O361" i="1"/>
  <c r="S361" i="1"/>
  <c r="V361" i="1"/>
  <c r="F360" i="1"/>
  <c r="N360" i="1"/>
  <c r="H360" i="1" s="1"/>
  <c r="O360" i="1"/>
  <c r="S360" i="1"/>
  <c r="V360" i="1"/>
  <c r="F359" i="1"/>
  <c r="N359" i="1"/>
  <c r="O359" i="1"/>
  <c r="S359" i="1"/>
  <c r="V359" i="1"/>
  <c r="F358" i="1"/>
  <c r="N358" i="1"/>
  <c r="H358" i="1" s="1"/>
  <c r="O358" i="1"/>
  <c r="S358" i="1"/>
  <c r="V358" i="1"/>
  <c r="F357" i="1"/>
  <c r="N357" i="1"/>
  <c r="O357" i="1"/>
  <c r="S357" i="1"/>
  <c r="V357" i="1"/>
  <c r="F356" i="1"/>
  <c r="N356" i="1"/>
  <c r="O356" i="1"/>
  <c r="S356" i="1"/>
  <c r="V356" i="1"/>
  <c r="F355" i="1"/>
  <c r="N355" i="1"/>
  <c r="O355" i="1"/>
  <c r="S355" i="1"/>
  <c r="V355" i="1"/>
  <c r="P7" i="10"/>
  <c r="U8" i="10" l="1"/>
  <c r="I634" i="1"/>
  <c r="R634" i="1" s="1"/>
  <c r="U634" i="1"/>
  <c r="P621" i="1"/>
  <c r="I612" i="1"/>
  <c r="R612" i="1" s="1"/>
  <c r="P654" i="1"/>
  <c r="AA629" i="1"/>
  <c r="P646" i="1"/>
  <c r="P648" i="1"/>
  <c r="P629" i="1"/>
  <c r="P626" i="1"/>
  <c r="P633" i="1"/>
  <c r="P642" i="1"/>
  <c r="P634" i="1"/>
  <c r="P644" i="1"/>
  <c r="P643" i="1"/>
  <c r="AA627" i="1"/>
  <c r="AA642" i="1"/>
  <c r="P650" i="1"/>
  <c r="P630" i="1"/>
  <c r="P631" i="1"/>
  <c r="P651" i="1"/>
  <c r="P641" i="1"/>
  <c r="P638" i="1"/>
  <c r="AA641" i="1"/>
  <c r="P635" i="1"/>
  <c r="P612" i="1"/>
  <c r="P627" i="1"/>
  <c r="P639" i="1"/>
  <c r="AA649" i="1"/>
  <c r="P617" i="1"/>
  <c r="U620" i="1"/>
  <c r="P624" i="1"/>
  <c r="AA635" i="1"/>
  <c r="AA644" i="1"/>
  <c r="P653" i="1"/>
  <c r="AA639" i="1"/>
  <c r="H647" i="1"/>
  <c r="AA653" i="1"/>
  <c r="P628" i="1"/>
  <c r="P632" i="1"/>
  <c r="P640" i="1"/>
  <c r="AA650" i="1"/>
  <c r="P619" i="1"/>
  <c r="AA628" i="1"/>
  <c r="AA640" i="1"/>
  <c r="AA631" i="1"/>
  <c r="P618" i="1"/>
  <c r="AA626" i="1"/>
  <c r="AA643" i="1"/>
  <c r="H646" i="1"/>
  <c r="AA652" i="1"/>
  <c r="P647" i="1"/>
  <c r="H651" i="1"/>
  <c r="U652" i="1"/>
  <c r="AA624" i="1"/>
  <c r="P636" i="1"/>
  <c r="P637" i="1"/>
  <c r="P645" i="1"/>
  <c r="AA645" i="1"/>
  <c r="P620" i="1"/>
  <c r="I629" i="1"/>
  <c r="R629" i="1" s="1"/>
  <c r="AA634" i="1"/>
  <c r="AA636" i="1"/>
  <c r="P649" i="1"/>
  <c r="AA632" i="1"/>
  <c r="AA648" i="1"/>
  <c r="AA620" i="1"/>
  <c r="AA630" i="1"/>
  <c r="AA638" i="1"/>
  <c r="AA647" i="1"/>
  <c r="P656" i="1"/>
  <c r="AA619" i="1"/>
  <c r="AA654" i="1"/>
  <c r="P652" i="1"/>
  <c r="U619" i="1"/>
  <c r="AA637" i="1"/>
  <c r="U650" i="1"/>
  <c r="AA656" i="1"/>
  <c r="U649" i="1"/>
  <c r="AA655" i="1"/>
  <c r="P615" i="1"/>
  <c r="AA633" i="1"/>
  <c r="U636" i="1"/>
  <c r="U645" i="1"/>
  <c r="AA646" i="1"/>
  <c r="AA651" i="1"/>
  <c r="P623" i="1"/>
  <c r="P625" i="1"/>
  <c r="U627" i="1"/>
  <c r="I632" i="1"/>
  <c r="R632" i="1" s="1"/>
  <c r="I649" i="1"/>
  <c r="R649" i="1" s="1"/>
  <c r="P655" i="1"/>
  <c r="U651" i="1"/>
  <c r="I651" i="1"/>
  <c r="T652" i="1" s="1"/>
  <c r="I650" i="1"/>
  <c r="R650" i="1" s="1"/>
  <c r="H650" i="1"/>
  <c r="H649" i="1"/>
  <c r="I648" i="1"/>
  <c r="U648" i="1"/>
  <c r="U647" i="1"/>
  <c r="I647" i="1"/>
  <c r="U646" i="1"/>
  <c r="I646" i="1"/>
  <c r="I645" i="1"/>
  <c r="R645" i="1" s="1"/>
  <c r="H645" i="1"/>
  <c r="I644" i="1"/>
  <c r="U644" i="1"/>
  <c r="U643" i="1"/>
  <c r="I643" i="1"/>
  <c r="R643" i="1" s="1"/>
  <c r="Q643" i="1" s="1"/>
  <c r="U642" i="1"/>
  <c r="I642" i="1"/>
  <c r="U641" i="1"/>
  <c r="I641" i="1"/>
  <c r="U640" i="1"/>
  <c r="I640" i="1"/>
  <c r="U639" i="1"/>
  <c r="I639" i="1"/>
  <c r="R639" i="1" s="1"/>
  <c r="I638" i="1"/>
  <c r="R638" i="1" s="1"/>
  <c r="U638" i="1"/>
  <c r="H638" i="1"/>
  <c r="I637" i="1"/>
  <c r="R637" i="1" s="1"/>
  <c r="U637" i="1"/>
  <c r="H637" i="1"/>
  <c r="I636" i="1"/>
  <c r="R636" i="1" s="1"/>
  <c r="H636" i="1"/>
  <c r="I635" i="1"/>
  <c r="R635" i="1" s="1"/>
  <c r="U635" i="1"/>
  <c r="H635" i="1"/>
  <c r="U633" i="1"/>
  <c r="I633" i="1"/>
  <c r="H632" i="1"/>
  <c r="U632" i="1"/>
  <c r="U631" i="1"/>
  <c r="I631" i="1"/>
  <c r="I630" i="1"/>
  <c r="R630" i="1" s="1"/>
  <c r="W630" i="1" s="1"/>
  <c r="Y630" i="1"/>
  <c r="U630" i="1"/>
  <c r="U629" i="1"/>
  <c r="U628" i="1"/>
  <c r="I628" i="1"/>
  <c r="I627" i="1"/>
  <c r="R627" i="1" s="1"/>
  <c r="W627" i="1" s="1"/>
  <c r="I626" i="1"/>
  <c r="R626" i="1" s="1"/>
  <c r="H626" i="1"/>
  <c r="U626" i="1"/>
  <c r="P606" i="1"/>
  <c r="P613" i="1"/>
  <c r="P611" i="1"/>
  <c r="AA617" i="1"/>
  <c r="AA622" i="1"/>
  <c r="P608" i="1"/>
  <c r="AA618" i="1"/>
  <c r="AA611" i="1"/>
  <c r="U614" i="1"/>
  <c r="AA602" i="1"/>
  <c r="P622" i="1"/>
  <c r="AA621" i="1"/>
  <c r="AA623" i="1"/>
  <c r="P609" i="1"/>
  <c r="P604" i="1"/>
  <c r="P616" i="1"/>
  <c r="AA625" i="1"/>
  <c r="P607" i="1"/>
  <c r="U625" i="1"/>
  <c r="I624" i="1"/>
  <c r="R624" i="1" s="1"/>
  <c r="U624" i="1"/>
  <c r="I625" i="1"/>
  <c r="U623" i="1"/>
  <c r="I623" i="1"/>
  <c r="U622" i="1"/>
  <c r="I622" i="1"/>
  <c r="I621" i="1"/>
  <c r="R621" i="1" s="1"/>
  <c r="U621" i="1"/>
  <c r="H621" i="1"/>
  <c r="I620" i="1"/>
  <c r="I619" i="1"/>
  <c r="U618" i="1"/>
  <c r="I618" i="1"/>
  <c r="I617" i="1"/>
  <c r="R617" i="1" s="1"/>
  <c r="U617" i="1"/>
  <c r="AA615" i="1"/>
  <c r="P603" i="1"/>
  <c r="P602" i="1"/>
  <c r="AA603" i="1"/>
  <c r="P614" i="1"/>
  <c r="AA608" i="1"/>
  <c r="P610" i="1"/>
  <c r="AA610" i="1"/>
  <c r="AA614" i="1"/>
  <c r="AA607" i="1"/>
  <c r="P605" i="1"/>
  <c r="AA613" i="1"/>
  <c r="AA616" i="1"/>
  <c r="U604" i="1"/>
  <c r="AA605" i="1"/>
  <c r="AA609" i="1"/>
  <c r="AA604" i="1"/>
  <c r="AA606" i="1"/>
  <c r="U607" i="1"/>
  <c r="AA612" i="1"/>
  <c r="I616" i="1"/>
  <c r="H616" i="1"/>
  <c r="U616" i="1"/>
  <c r="U615" i="1"/>
  <c r="I615" i="1"/>
  <c r="I614" i="1"/>
  <c r="R614" i="1" s="1"/>
  <c r="H614" i="1"/>
  <c r="U613" i="1"/>
  <c r="I613" i="1"/>
  <c r="U612" i="1"/>
  <c r="U611" i="1"/>
  <c r="I611" i="1"/>
  <c r="U610" i="1"/>
  <c r="I610" i="1"/>
  <c r="U609" i="1"/>
  <c r="I609" i="1"/>
  <c r="U608" i="1"/>
  <c r="I608" i="1"/>
  <c r="I607" i="1"/>
  <c r="U606" i="1"/>
  <c r="I606" i="1"/>
  <c r="U605" i="1"/>
  <c r="I605" i="1"/>
  <c r="H604" i="1"/>
  <c r="I604" i="1"/>
  <c r="R604" i="1" s="1"/>
  <c r="Y604" i="1" s="1"/>
  <c r="U603" i="1"/>
  <c r="I603" i="1"/>
  <c r="U602" i="1"/>
  <c r="I602" i="1"/>
  <c r="AA600" i="1"/>
  <c r="P601" i="1"/>
  <c r="P552" i="1"/>
  <c r="P594" i="1"/>
  <c r="P438" i="1"/>
  <c r="P600" i="1"/>
  <c r="H595" i="1"/>
  <c r="AA601" i="1"/>
  <c r="P398" i="1"/>
  <c r="P480" i="1"/>
  <c r="P440" i="1"/>
  <c r="P593" i="1"/>
  <c r="U600" i="1"/>
  <c r="P500" i="1"/>
  <c r="P528" i="1"/>
  <c r="P514" i="1"/>
  <c r="P534" i="1"/>
  <c r="P497" i="1"/>
  <c r="P540" i="1"/>
  <c r="P397" i="1"/>
  <c r="P439" i="1"/>
  <c r="P553" i="1"/>
  <c r="P399" i="1"/>
  <c r="P481" i="1"/>
  <c r="P373" i="1"/>
  <c r="P506" i="1"/>
  <c r="P520" i="1"/>
  <c r="P542" i="1"/>
  <c r="P470" i="1"/>
  <c r="P538" i="1"/>
  <c r="U601" i="1"/>
  <c r="I601" i="1"/>
  <c r="I600" i="1"/>
  <c r="P522" i="1"/>
  <c r="P512" i="1"/>
  <c r="P505" i="1"/>
  <c r="P595" i="1"/>
  <c r="P510" i="1"/>
  <c r="P511" i="1"/>
  <c r="P501" i="1"/>
  <c r="P515" i="1"/>
  <c r="P529" i="1"/>
  <c r="P543" i="1"/>
  <c r="P366" i="1"/>
  <c r="P377" i="1"/>
  <c r="P473" i="1"/>
  <c r="P557" i="1"/>
  <c r="P571" i="1"/>
  <c r="P585" i="1"/>
  <c r="P599" i="1"/>
  <c r="P526" i="1"/>
  <c r="P361" i="1"/>
  <c r="P380" i="1"/>
  <c r="P388" i="1"/>
  <c r="P499" i="1"/>
  <c r="P513" i="1"/>
  <c r="P527" i="1"/>
  <c r="P541" i="1"/>
  <c r="P554" i="1"/>
  <c r="P496" i="1"/>
  <c r="P508" i="1"/>
  <c r="P415" i="1"/>
  <c r="P485" i="1"/>
  <c r="P596" i="1"/>
  <c r="P384" i="1"/>
  <c r="P524" i="1"/>
  <c r="P532" i="1"/>
  <c r="P539" i="1"/>
  <c r="AA597" i="1"/>
  <c r="P483" i="1"/>
  <c r="P566" i="1"/>
  <c r="P580" i="1"/>
  <c r="P371" i="1"/>
  <c r="P382" i="1"/>
  <c r="P401" i="1"/>
  <c r="P443" i="1"/>
  <c r="P457" i="1"/>
  <c r="P495" i="1"/>
  <c r="P509" i="1"/>
  <c r="P523" i="1"/>
  <c r="P530" i="1"/>
  <c r="P533" i="1"/>
  <c r="P544" i="1"/>
  <c r="P519" i="1"/>
  <c r="P362" i="1"/>
  <c r="P369" i="1"/>
  <c r="P389" i="1"/>
  <c r="P396" i="1"/>
  <c r="P411" i="1"/>
  <c r="P424" i="1"/>
  <c r="P432" i="1"/>
  <c r="P441" i="1"/>
  <c r="P454" i="1"/>
  <c r="P467" i="1"/>
  <c r="P474" i="1"/>
  <c r="P479" i="1"/>
  <c r="P550" i="1"/>
  <c r="P558" i="1"/>
  <c r="P563" i="1"/>
  <c r="P572" i="1"/>
  <c r="P577" i="1"/>
  <c r="P586" i="1"/>
  <c r="P591" i="1"/>
  <c r="P537" i="1"/>
  <c r="P379" i="1"/>
  <c r="P381" i="1"/>
  <c r="P579" i="1"/>
  <c r="P365" i="1"/>
  <c r="P394" i="1"/>
  <c r="P408" i="1"/>
  <c r="P422" i="1"/>
  <c r="P436" i="1"/>
  <c r="P464" i="1"/>
  <c r="P547" i="1"/>
  <c r="P567" i="1"/>
  <c r="P494" i="1"/>
  <c r="P453" i="1"/>
  <c r="P412" i="1"/>
  <c r="P374" i="1"/>
  <c r="P403" i="1"/>
  <c r="P417" i="1"/>
  <c r="P431" i="1"/>
  <c r="P445" i="1"/>
  <c r="P459" i="1"/>
  <c r="P475" i="1"/>
  <c r="P487" i="1"/>
  <c r="P559" i="1"/>
  <c r="P573" i="1"/>
  <c r="P587" i="1"/>
  <c r="P564" i="1"/>
  <c r="P482" i="1"/>
  <c r="P400" i="1"/>
  <c r="P368" i="1"/>
  <c r="P429" i="1"/>
  <c r="P471" i="1"/>
  <c r="P477" i="1"/>
  <c r="P478" i="1"/>
  <c r="P490" i="1"/>
  <c r="P555" i="1"/>
  <c r="P561" i="1"/>
  <c r="P562" i="1"/>
  <c r="P569" i="1"/>
  <c r="P575" i="1"/>
  <c r="P576" i="1"/>
  <c r="P583" i="1"/>
  <c r="P589" i="1"/>
  <c r="P590" i="1"/>
  <c r="P597" i="1"/>
  <c r="P592" i="1"/>
  <c r="P551" i="1"/>
  <c r="P469" i="1"/>
  <c r="P428" i="1"/>
  <c r="P375" i="1"/>
  <c r="P390" i="1"/>
  <c r="P404" i="1"/>
  <c r="P418" i="1"/>
  <c r="P446" i="1"/>
  <c r="P460" i="1"/>
  <c r="P504" i="1"/>
  <c r="P518" i="1"/>
  <c r="P546" i="1"/>
  <c r="P582" i="1"/>
  <c r="P468" i="1"/>
  <c r="P427" i="1"/>
  <c r="P386" i="1"/>
  <c r="P364" i="1"/>
  <c r="P392" i="1"/>
  <c r="P393" i="1"/>
  <c r="P421" i="1"/>
  <c r="P420" i="1"/>
  <c r="P434" i="1"/>
  <c r="P435" i="1"/>
  <c r="P462" i="1"/>
  <c r="P463" i="1"/>
  <c r="P476" i="1"/>
  <c r="P488" i="1"/>
  <c r="P588" i="1"/>
  <c r="P385" i="1"/>
  <c r="P406" i="1"/>
  <c r="P407" i="1"/>
  <c r="P448" i="1"/>
  <c r="P449" i="1"/>
  <c r="P560" i="1"/>
  <c r="P574" i="1"/>
  <c r="P581" i="1"/>
  <c r="P426" i="1"/>
  <c r="P367" i="1"/>
  <c r="P378" i="1"/>
  <c r="P395" i="1"/>
  <c r="P409" i="1"/>
  <c r="P423" i="1"/>
  <c r="P433" i="1"/>
  <c r="P437" i="1"/>
  <c r="P451" i="1"/>
  <c r="P465" i="1"/>
  <c r="P502" i="1"/>
  <c r="P516" i="1"/>
  <c r="P498" i="1"/>
  <c r="P466" i="1"/>
  <c r="P425" i="1"/>
  <c r="P456" i="1"/>
  <c r="P416" i="1"/>
  <c r="P414" i="1"/>
  <c r="P383" i="1"/>
  <c r="P402" i="1"/>
  <c r="P430" i="1"/>
  <c r="P444" i="1"/>
  <c r="P458" i="1"/>
  <c r="P472" i="1"/>
  <c r="P548" i="1"/>
  <c r="P578" i="1"/>
  <c r="P455" i="1"/>
  <c r="P376" i="1"/>
  <c r="P391" i="1"/>
  <c r="P405" i="1"/>
  <c r="P419" i="1"/>
  <c r="P447" i="1"/>
  <c r="P461" i="1"/>
  <c r="P486" i="1"/>
  <c r="P556" i="1"/>
  <c r="P570" i="1"/>
  <c r="P584" i="1"/>
  <c r="P598" i="1"/>
  <c r="P568" i="1"/>
  <c r="P536" i="1"/>
  <c r="P413" i="1"/>
  <c r="P372" i="1"/>
  <c r="P491" i="1"/>
  <c r="P492" i="1"/>
  <c r="P493" i="1"/>
  <c r="P450" i="1"/>
  <c r="P387" i="1"/>
  <c r="P489" i="1"/>
  <c r="P525" i="1"/>
  <c r="P484" i="1"/>
  <c r="P452" i="1"/>
  <c r="P370" i="1"/>
  <c r="P363" i="1"/>
  <c r="P503" i="1"/>
  <c r="P517" i="1"/>
  <c r="P531" i="1"/>
  <c r="P545" i="1"/>
  <c r="P565" i="1"/>
  <c r="P442" i="1"/>
  <c r="P410" i="1"/>
  <c r="P549" i="1"/>
  <c r="P535" i="1"/>
  <c r="P521" i="1"/>
  <c r="P507" i="1"/>
  <c r="U597" i="1"/>
  <c r="AA594" i="1"/>
  <c r="AA593" i="1"/>
  <c r="U592" i="1"/>
  <c r="I595" i="1"/>
  <c r="R595" i="1" s="1"/>
  <c r="AA596" i="1"/>
  <c r="AA595" i="1"/>
  <c r="I597" i="1"/>
  <c r="R597" i="1" s="1"/>
  <c r="AA598" i="1"/>
  <c r="U593" i="1"/>
  <c r="H597" i="1"/>
  <c r="U596" i="1"/>
  <c r="AA592" i="1"/>
  <c r="U595" i="1"/>
  <c r="AA599" i="1"/>
  <c r="U599" i="1"/>
  <c r="I599" i="1"/>
  <c r="U598" i="1"/>
  <c r="I598" i="1"/>
  <c r="I596" i="1"/>
  <c r="R596" i="1" s="1"/>
  <c r="U594" i="1"/>
  <c r="I594" i="1"/>
  <c r="I593" i="1"/>
  <c r="R593" i="1" s="1"/>
  <c r="I592" i="1"/>
  <c r="H592" i="1"/>
  <c r="U579" i="1"/>
  <c r="U584" i="1"/>
  <c r="AA582" i="1"/>
  <c r="AA576" i="1"/>
  <c r="U578" i="1"/>
  <c r="AA586" i="1"/>
  <c r="AA589" i="1"/>
  <c r="AA575" i="1"/>
  <c r="AA579" i="1"/>
  <c r="U588" i="1"/>
  <c r="I587" i="1"/>
  <c r="R587" i="1" s="1"/>
  <c r="AA580" i="1"/>
  <c r="AA590" i="1"/>
  <c r="AA577" i="1"/>
  <c r="AA581" i="1"/>
  <c r="U587" i="1"/>
  <c r="U590" i="1"/>
  <c r="AA591" i="1"/>
  <c r="AA588" i="1"/>
  <c r="AA587" i="1"/>
  <c r="AA578" i="1"/>
  <c r="AA583" i="1"/>
  <c r="AA585" i="1"/>
  <c r="I591" i="1"/>
  <c r="U591" i="1"/>
  <c r="H591" i="1"/>
  <c r="I590" i="1"/>
  <c r="R590" i="1" s="1"/>
  <c r="U589" i="1"/>
  <c r="I589" i="1"/>
  <c r="I588" i="1"/>
  <c r="H588" i="1"/>
  <c r="I586" i="1"/>
  <c r="R586" i="1" s="1"/>
  <c r="U586" i="1"/>
  <c r="AA584" i="1"/>
  <c r="H586" i="1"/>
  <c r="U585" i="1"/>
  <c r="I585" i="1"/>
  <c r="R585" i="1" s="1"/>
  <c r="I584" i="1"/>
  <c r="R584" i="1" s="1"/>
  <c r="U583" i="1"/>
  <c r="I583" i="1"/>
  <c r="U582" i="1"/>
  <c r="I582" i="1"/>
  <c r="U581" i="1"/>
  <c r="I581" i="1"/>
  <c r="I580" i="1"/>
  <c r="R580" i="1" s="1"/>
  <c r="Y580" i="1" s="1"/>
  <c r="U580" i="1"/>
  <c r="I579" i="1"/>
  <c r="I578" i="1"/>
  <c r="R578" i="1" s="1"/>
  <c r="Y578" i="1" s="1"/>
  <c r="U577" i="1"/>
  <c r="I577" i="1"/>
  <c r="U575" i="1"/>
  <c r="U576" i="1"/>
  <c r="I576" i="1"/>
  <c r="I575" i="1"/>
  <c r="AA573" i="1"/>
  <c r="I574" i="1"/>
  <c r="R574" i="1" s="1"/>
  <c r="AA571" i="1"/>
  <c r="AA574" i="1"/>
  <c r="AA572" i="1"/>
  <c r="U574" i="1"/>
  <c r="U573" i="1"/>
  <c r="I573" i="1"/>
  <c r="U572" i="1"/>
  <c r="I572" i="1"/>
  <c r="U571" i="1"/>
  <c r="I571" i="1"/>
  <c r="AA570" i="1"/>
  <c r="U570" i="1"/>
  <c r="I570" i="1"/>
  <c r="AA568" i="1"/>
  <c r="AA569" i="1"/>
  <c r="U569" i="1"/>
  <c r="I569" i="1"/>
  <c r="U568" i="1"/>
  <c r="I568" i="1"/>
  <c r="U553" i="1"/>
  <c r="U562" i="1"/>
  <c r="AA543" i="1"/>
  <c r="AA566" i="1"/>
  <c r="I562" i="1"/>
  <c r="R562" i="1" s="1"/>
  <c r="AA563" i="1"/>
  <c r="U565" i="1"/>
  <c r="U531" i="1"/>
  <c r="U564" i="1"/>
  <c r="U547" i="1"/>
  <c r="AA562" i="1"/>
  <c r="U559" i="1"/>
  <c r="AA561" i="1"/>
  <c r="U563" i="1"/>
  <c r="AA567" i="1"/>
  <c r="AA565" i="1"/>
  <c r="I548" i="1"/>
  <c r="R548" i="1" s="1"/>
  <c r="AA564" i="1"/>
  <c r="U567" i="1"/>
  <c r="I567" i="1"/>
  <c r="U566" i="1"/>
  <c r="I566" i="1"/>
  <c r="I565" i="1"/>
  <c r="I564" i="1"/>
  <c r="I563" i="1"/>
  <c r="R563" i="1" s="1"/>
  <c r="U561" i="1"/>
  <c r="I561" i="1"/>
  <c r="U544" i="1"/>
  <c r="I525" i="1"/>
  <c r="R525" i="1" s="1"/>
  <c r="W525" i="1" s="1"/>
  <c r="AA557" i="1"/>
  <c r="AA546" i="1"/>
  <c r="U536" i="1"/>
  <c r="U541" i="1"/>
  <c r="U545" i="1"/>
  <c r="AA555" i="1"/>
  <c r="AA549" i="1"/>
  <c r="U520" i="1"/>
  <c r="U528" i="1"/>
  <c r="AA529" i="1"/>
  <c r="AA551" i="1"/>
  <c r="AA559" i="1"/>
  <c r="AA521" i="1"/>
  <c r="AA534" i="1"/>
  <c r="AA548" i="1"/>
  <c r="I528" i="1"/>
  <c r="R528" i="1" s="1"/>
  <c r="U538" i="1"/>
  <c r="AA539" i="1"/>
  <c r="AA542" i="1"/>
  <c r="AA519" i="1"/>
  <c r="AA524" i="1"/>
  <c r="AA537" i="1"/>
  <c r="AA540" i="1"/>
  <c r="AA532" i="1"/>
  <c r="AA518" i="1"/>
  <c r="AA523" i="1"/>
  <c r="U530" i="1"/>
  <c r="AA545" i="1"/>
  <c r="U552" i="1"/>
  <c r="AA556" i="1"/>
  <c r="H525" i="1"/>
  <c r="AA531" i="1"/>
  <c r="U535" i="1"/>
  <c r="AA536" i="1"/>
  <c r="AA553" i="1"/>
  <c r="AA520" i="1"/>
  <c r="AA528" i="1"/>
  <c r="U540" i="1"/>
  <c r="AA558" i="1"/>
  <c r="AA525" i="1"/>
  <c r="AA527" i="1"/>
  <c r="U532" i="1"/>
  <c r="AA533" i="1"/>
  <c r="AA541" i="1"/>
  <c r="AA544" i="1"/>
  <c r="AA547" i="1"/>
  <c r="AA554" i="1"/>
  <c r="AA538" i="1"/>
  <c r="U557" i="1"/>
  <c r="U549" i="1"/>
  <c r="U521" i="1"/>
  <c r="AA522" i="1"/>
  <c r="AA530" i="1"/>
  <c r="U537" i="1"/>
  <c r="AA552" i="1"/>
  <c r="AA560" i="1"/>
  <c r="AA550" i="1"/>
  <c r="U526" i="1"/>
  <c r="AA526" i="1"/>
  <c r="AA535" i="1"/>
  <c r="I560" i="1"/>
  <c r="R560" i="1" s="1"/>
  <c r="U560" i="1"/>
  <c r="I559" i="1"/>
  <c r="R559" i="1" s="1"/>
  <c r="H559" i="1"/>
  <c r="U558" i="1"/>
  <c r="I558" i="1"/>
  <c r="R558" i="1" s="1"/>
  <c r="W558" i="1" s="1"/>
  <c r="I557" i="1"/>
  <c r="H557" i="1"/>
  <c r="U556" i="1"/>
  <c r="I556" i="1"/>
  <c r="U555" i="1"/>
  <c r="I555" i="1"/>
  <c r="U554" i="1"/>
  <c r="I554" i="1"/>
  <c r="I553" i="1"/>
  <c r="I552" i="1"/>
  <c r="U551" i="1"/>
  <c r="I551" i="1"/>
  <c r="U550" i="1"/>
  <c r="I550" i="1"/>
  <c r="R550" i="1" s="1"/>
  <c r="W550" i="1" s="1"/>
  <c r="I549" i="1"/>
  <c r="H549" i="1"/>
  <c r="U548" i="1"/>
  <c r="I547" i="1"/>
  <c r="R547" i="1" s="1"/>
  <c r="W547" i="1" s="1"/>
  <c r="H547" i="1"/>
  <c r="U546" i="1"/>
  <c r="I546" i="1"/>
  <c r="I545" i="1"/>
  <c r="R545" i="1" s="1"/>
  <c r="I544" i="1"/>
  <c r="I543" i="1"/>
  <c r="R543" i="1" s="1"/>
  <c r="H543" i="1"/>
  <c r="U543" i="1"/>
  <c r="U542" i="1"/>
  <c r="I542" i="1"/>
  <c r="I541" i="1"/>
  <c r="I540" i="1"/>
  <c r="U539" i="1"/>
  <c r="I539" i="1"/>
  <c r="I538" i="1"/>
  <c r="I537" i="1"/>
  <c r="R537" i="1" s="1"/>
  <c r="H537" i="1"/>
  <c r="I536" i="1"/>
  <c r="R536" i="1" s="1"/>
  <c r="Q536" i="1" s="1"/>
  <c r="H536" i="1"/>
  <c r="I535" i="1"/>
  <c r="U534" i="1"/>
  <c r="I534" i="1"/>
  <c r="R534" i="1" s="1"/>
  <c r="W534" i="1" s="1"/>
  <c r="U533" i="1"/>
  <c r="I533" i="1"/>
  <c r="I532" i="1"/>
  <c r="I531" i="1"/>
  <c r="I530" i="1"/>
  <c r="U529" i="1"/>
  <c r="I529" i="1"/>
  <c r="U527" i="1"/>
  <c r="I527" i="1"/>
  <c r="I526" i="1"/>
  <c r="U525" i="1"/>
  <c r="I524" i="1"/>
  <c r="R524" i="1" s="1"/>
  <c r="U524" i="1"/>
  <c r="U523" i="1"/>
  <c r="I523" i="1"/>
  <c r="U522" i="1"/>
  <c r="I522" i="1"/>
  <c r="R522" i="1" s="1"/>
  <c r="I521" i="1"/>
  <c r="I520" i="1"/>
  <c r="H520" i="1"/>
  <c r="U519" i="1"/>
  <c r="I519" i="1"/>
  <c r="U518" i="1"/>
  <c r="I518" i="1"/>
  <c r="AA517" i="1"/>
  <c r="AA514" i="1"/>
  <c r="AA516" i="1"/>
  <c r="AA513" i="1"/>
  <c r="AA515" i="1"/>
  <c r="I517" i="1"/>
  <c r="R517" i="1" s="1"/>
  <c r="U517" i="1"/>
  <c r="I516" i="1"/>
  <c r="R516" i="1" s="1"/>
  <c r="U516" i="1"/>
  <c r="U515" i="1"/>
  <c r="I515" i="1"/>
  <c r="U514" i="1"/>
  <c r="I514" i="1"/>
  <c r="U513" i="1"/>
  <c r="I513" i="1"/>
  <c r="AA511" i="1"/>
  <c r="AA510" i="1"/>
  <c r="AA512" i="1"/>
  <c r="U511" i="1"/>
  <c r="AA508" i="1"/>
  <c r="U512" i="1"/>
  <c r="U509" i="1"/>
  <c r="AA507" i="1"/>
  <c r="AA509" i="1"/>
  <c r="I512" i="1"/>
  <c r="R512" i="1" s="1"/>
  <c r="H512" i="1"/>
  <c r="I511" i="1"/>
  <c r="R511" i="1" s="1"/>
  <c r="H511" i="1"/>
  <c r="I510" i="1"/>
  <c r="R510" i="1" s="1"/>
  <c r="U510" i="1"/>
  <c r="H509" i="1"/>
  <c r="I509" i="1"/>
  <c r="R509" i="1" s="1"/>
  <c r="I508" i="1"/>
  <c r="R508" i="1" s="1"/>
  <c r="H508" i="1"/>
  <c r="U508" i="1"/>
  <c r="I507" i="1"/>
  <c r="R507" i="1" s="1"/>
  <c r="H507" i="1"/>
  <c r="U507" i="1"/>
  <c r="U505" i="1"/>
  <c r="AA505" i="1"/>
  <c r="AA504" i="1"/>
  <c r="U501" i="1"/>
  <c r="U502" i="1"/>
  <c r="AA506" i="1"/>
  <c r="I506" i="1"/>
  <c r="R506" i="1" s="1"/>
  <c r="W506" i="1" s="1"/>
  <c r="H506" i="1"/>
  <c r="U506" i="1"/>
  <c r="I505" i="1"/>
  <c r="R505" i="1" s="1"/>
  <c r="W505" i="1" s="1"/>
  <c r="H505" i="1"/>
  <c r="U504" i="1"/>
  <c r="I504" i="1"/>
  <c r="AA502" i="1"/>
  <c r="AA501" i="1"/>
  <c r="AA503" i="1"/>
  <c r="U503" i="1"/>
  <c r="I503" i="1"/>
  <c r="I502" i="1"/>
  <c r="R502" i="1" s="1"/>
  <c r="W502" i="1" s="1"/>
  <c r="H502" i="1"/>
  <c r="I501" i="1"/>
  <c r="R501" i="1" s="1"/>
  <c r="W501" i="1" s="1"/>
  <c r="AA500" i="1"/>
  <c r="U486" i="1"/>
  <c r="I500" i="1"/>
  <c r="U500" i="1"/>
  <c r="H500" i="1"/>
  <c r="U497" i="1"/>
  <c r="AA495" i="1"/>
  <c r="AA498" i="1"/>
  <c r="U499" i="1"/>
  <c r="AA496" i="1"/>
  <c r="AA497" i="1"/>
  <c r="AA499" i="1"/>
  <c r="I499" i="1"/>
  <c r="U498" i="1"/>
  <c r="I498" i="1"/>
  <c r="R498" i="1" s="1"/>
  <c r="W498" i="1" s="1"/>
  <c r="I497" i="1"/>
  <c r="U496" i="1"/>
  <c r="I496" i="1"/>
  <c r="I495" i="1"/>
  <c r="U495" i="1"/>
  <c r="AA494" i="1"/>
  <c r="I455" i="1"/>
  <c r="R455" i="1" s="1"/>
  <c r="W455" i="1" s="1"/>
  <c r="AA491" i="1"/>
  <c r="U492" i="1"/>
  <c r="AA493" i="1"/>
  <c r="I492" i="1"/>
  <c r="R492" i="1" s="1"/>
  <c r="W492" i="1" s="1"/>
  <c r="I484" i="1"/>
  <c r="R484" i="1" s="1"/>
  <c r="W484" i="1" s="1"/>
  <c r="U491" i="1"/>
  <c r="U494" i="1"/>
  <c r="AA492" i="1"/>
  <c r="U475" i="1"/>
  <c r="I494" i="1"/>
  <c r="H494" i="1"/>
  <c r="I493" i="1"/>
  <c r="R493" i="1" s="1"/>
  <c r="W493" i="1" s="1"/>
  <c r="U493" i="1"/>
  <c r="I491" i="1"/>
  <c r="I428" i="1"/>
  <c r="R428" i="1" s="1"/>
  <c r="W428" i="1" s="1"/>
  <c r="U455" i="1"/>
  <c r="AA461" i="1"/>
  <c r="U469" i="1"/>
  <c r="U478" i="1"/>
  <c r="AA472" i="1"/>
  <c r="AA471" i="1"/>
  <c r="AA468" i="1"/>
  <c r="AA487" i="1"/>
  <c r="AA463" i="1"/>
  <c r="AA479" i="1"/>
  <c r="AA457" i="1"/>
  <c r="U464" i="1"/>
  <c r="AA465" i="1"/>
  <c r="AA473" i="1"/>
  <c r="AA481" i="1"/>
  <c r="AA484" i="1"/>
  <c r="AA489" i="1"/>
  <c r="AA455" i="1"/>
  <c r="AA470" i="1"/>
  <c r="AA476" i="1"/>
  <c r="AA458" i="1"/>
  <c r="AA462" i="1"/>
  <c r="AA467" i="1"/>
  <c r="AA478" i="1"/>
  <c r="AA486" i="1"/>
  <c r="U461" i="1"/>
  <c r="AA475" i="1"/>
  <c r="U471" i="1"/>
  <c r="U477" i="1"/>
  <c r="AA483" i="1"/>
  <c r="U463" i="1"/>
  <c r="AA464" i="1"/>
  <c r="AA469" i="1"/>
  <c r="AA488" i="1"/>
  <c r="AA459" i="1"/>
  <c r="AA466" i="1"/>
  <c r="AA480" i="1"/>
  <c r="I459" i="1"/>
  <c r="R459" i="1" s="1"/>
  <c r="W459" i="1" s="1"/>
  <c r="U465" i="1"/>
  <c r="U473" i="1"/>
  <c r="U484" i="1"/>
  <c r="AA485" i="1"/>
  <c r="AA490" i="1"/>
  <c r="AA474" i="1"/>
  <c r="U476" i="1"/>
  <c r="AA482" i="1"/>
  <c r="U490" i="1"/>
  <c r="I490" i="1"/>
  <c r="I489" i="1"/>
  <c r="R489" i="1" s="1"/>
  <c r="W489" i="1" s="1"/>
  <c r="H489" i="1"/>
  <c r="U489" i="1"/>
  <c r="U488" i="1"/>
  <c r="I488" i="1"/>
  <c r="U487" i="1"/>
  <c r="I487" i="1"/>
  <c r="I486" i="1"/>
  <c r="H486" i="1"/>
  <c r="U485" i="1"/>
  <c r="I485" i="1"/>
  <c r="U483" i="1"/>
  <c r="I483" i="1"/>
  <c r="U482" i="1"/>
  <c r="I482" i="1"/>
  <c r="U481" i="1"/>
  <c r="I481" i="1"/>
  <c r="U480" i="1"/>
  <c r="I480" i="1"/>
  <c r="R480" i="1" s="1"/>
  <c r="W480" i="1" s="1"/>
  <c r="U479" i="1"/>
  <c r="I479" i="1"/>
  <c r="I478" i="1"/>
  <c r="AA477" i="1"/>
  <c r="I477" i="1"/>
  <c r="I476" i="1"/>
  <c r="I475" i="1"/>
  <c r="U474" i="1"/>
  <c r="I474" i="1"/>
  <c r="I473" i="1"/>
  <c r="U472" i="1"/>
  <c r="I472" i="1"/>
  <c r="I471" i="1"/>
  <c r="U470" i="1"/>
  <c r="I470" i="1"/>
  <c r="I469" i="1"/>
  <c r="R469" i="1" s="1"/>
  <c r="W469" i="1" s="1"/>
  <c r="U468" i="1"/>
  <c r="I468" i="1"/>
  <c r="U467" i="1"/>
  <c r="I467" i="1"/>
  <c r="I466" i="1"/>
  <c r="R466" i="1" s="1"/>
  <c r="W466" i="1" s="1"/>
  <c r="H466" i="1"/>
  <c r="U466" i="1"/>
  <c r="I465" i="1"/>
  <c r="I464" i="1"/>
  <c r="R464" i="1" s="1"/>
  <c r="W464" i="1" s="1"/>
  <c r="I463" i="1"/>
  <c r="U462" i="1"/>
  <c r="I462" i="1"/>
  <c r="I461" i="1"/>
  <c r="R461" i="1" s="1"/>
  <c r="AA460" i="1"/>
  <c r="U460" i="1"/>
  <c r="I460" i="1"/>
  <c r="U459" i="1"/>
  <c r="I458" i="1"/>
  <c r="U458" i="1"/>
  <c r="H458" i="1"/>
  <c r="U457" i="1"/>
  <c r="I457" i="1"/>
  <c r="AA456" i="1"/>
  <c r="U456" i="1"/>
  <c r="I456" i="1"/>
  <c r="H455" i="1"/>
  <c r="U444" i="1"/>
  <c r="U451" i="1"/>
  <c r="U417" i="1"/>
  <c r="U408" i="1"/>
  <c r="AA451" i="1"/>
  <c r="AA453" i="1"/>
  <c r="AA450" i="1"/>
  <c r="AA452" i="1"/>
  <c r="AA405" i="1"/>
  <c r="AA449" i="1"/>
  <c r="U453" i="1"/>
  <c r="AA454" i="1"/>
  <c r="U454" i="1"/>
  <c r="I454" i="1"/>
  <c r="I453" i="1"/>
  <c r="U452" i="1"/>
  <c r="I452" i="1"/>
  <c r="I451" i="1"/>
  <c r="R451" i="1" s="1"/>
  <c r="W451" i="1" s="1"/>
  <c r="U450" i="1"/>
  <c r="I450" i="1"/>
  <c r="U449" i="1"/>
  <c r="I449" i="1"/>
  <c r="U429" i="1"/>
  <c r="AA448" i="1"/>
  <c r="I429" i="1"/>
  <c r="R429" i="1" s="1"/>
  <c r="W429" i="1" s="1"/>
  <c r="U431" i="1"/>
  <c r="U411" i="1"/>
  <c r="AA429" i="1"/>
  <c r="U441" i="1"/>
  <c r="AA431" i="1"/>
  <c r="U416" i="1"/>
  <c r="U421" i="1"/>
  <c r="U414" i="1"/>
  <c r="AA435" i="1"/>
  <c r="AA432" i="1"/>
  <c r="AA407" i="1"/>
  <c r="AA445" i="1"/>
  <c r="AA417" i="1"/>
  <c r="AA428" i="1"/>
  <c r="AA442" i="1"/>
  <c r="AA409" i="1"/>
  <c r="AA412" i="1"/>
  <c r="U423" i="1"/>
  <c r="U430" i="1"/>
  <c r="U433" i="1"/>
  <c r="AA434" i="1"/>
  <c r="U438" i="1"/>
  <c r="AA424" i="1"/>
  <c r="AA439" i="1"/>
  <c r="AA427" i="1"/>
  <c r="U446" i="1"/>
  <c r="AA422" i="1"/>
  <c r="AA436" i="1"/>
  <c r="AA444" i="1"/>
  <c r="U432" i="1"/>
  <c r="AA443" i="1"/>
  <c r="AA415" i="1"/>
  <c r="AA437" i="1"/>
  <c r="U435" i="1"/>
  <c r="AA406" i="1"/>
  <c r="AA411" i="1"/>
  <c r="AA441" i="1"/>
  <c r="U422" i="1"/>
  <c r="AA423" i="1"/>
  <c r="AA430" i="1"/>
  <c r="AA433" i="1"/>
  <c r="AA438" i="1"/>
  <c r="U405" i="1"/>
  <c r="U412" i="1"/>
  <c r="AA413" i="1"/>
  <c r="AA418" i="1"/>
  <c r="AA420" i="1"/>
  <c r="I445" i="1"/>
  <c r="R445" i="1" s="1"/>
  <c r="W445" i="1" s="1"/>
  <c r="AA446" i="1"/>
  <c r="AA414" i="1"/>
  <c r="AA416" i="1"/>
  <c r="AA408" i="1"/>
  <c r="AA426" i="1"/>
  <c r="U445" i="1"/>
  <c r="AA410" i="1"/>
  <c r="U424" i="1"/>
  <c r="U439" i="1"/>
  <c r="AA440" i="1"/>
  <c r="U448" i="1"/>
  <c r="I448" i="1"/>
  <c r="AA447" i="1"/>
  <c r="U447" i="1"/>
  <c r="I447" i="1"/>
  <c r="I446" i="1"/>
  <c r="I444" i="1"/>
  <c r="U443" i="1"/>
  <c r="I443" i="1"/>
  <c r="I442" i="1"/>
  <c r="R442" i="1" s="1"/>
  <c r="W442" i="1" s="1"/>
  <c r="H442" i="1"/>
  <c r="U442" i="1"/>
  <c r="I441" i="1"/>
  <c r="R441" i="1" s="1"/>
  <c r="U440" i="1"/>
  <c r="I440" i="1"/>
  <c r="R440" i="1" s="1"/>
  <c r="W440" i="1" s="1"/>
  <c r="I439" i="1"/>
  <c r="R439" i="1" s="1"/>
  <c r="W439" i="1" s="1"/>
  <c r="I438" i="1"/>
  <c r="I437" i="1"/>
  <c r="R437" i="1" s="1"/>
  <c r="W437" i="1" s="1"/>
  <c r="U437" i="1"/>
  <c r="U436" i="1"/>
  <c r="I436" i="1"/>
  <c r="I435" i="1"/>
  <c r="R435" i="1" s="1"/>
  <c r="I434" i="1"/>
  <c r="R434" i="1" s="1"/>
  <c r="W434" i="1" s="1"/>
  <c r="U434" i="1"/>
  <c r="I433" i="1"/>
  <c r="R433" i="1" s="1"/>
  <c r="W433" i="1" s="1"/>
  <c r="H432" i="1"/>
  <c r="I432" i="1"/>
  <c r="I431" i="1"/>
  <c r="H431" i="1"/>
  <c r="I430" i="1"/>
  <c r="R430" i="1" s="1"/>
  <c r="W430" i="1" s="1"/>
  <c r="H430" i="1"/>
  <c r="U425" i="1"/>
  <c r="AA425" i="1"/>
  <c r="I425" i="1"/>
  <c r="R425" i="1" s="1"/>
  <c r="W425" i="1" s="1"/>
  <c r="H425" i="1"/>
  <c r="U428" i="1"/>
  <c r="U427" i="1"/>
  <c r="I427" i="1"/>
  <c r="U426" i="1"/>
  <c r="I426" i="1"/>
  <c r="I424" i="1"/>
  <c r="I423" i="1"/>
  <c r="I422" i="1"/>
  <c r="AA421" i="1"/>
  <c r="I421" i="1"/>
  <c r="R421" i="1" s="1"/>
  <c r="W421" i="1" s="1"/>
  <c r="I420" i="1"/>
  <c r="R420" i="1" s="1"/>
  <c r="W420" i="1" s="1"/>
  <c r="H420" i="1"/>
  <c r="U420" i="1"/>
  <c r="U419" i="1"/>
  <c r="AA419" i="1"/>
  <c r="I419" i="1"/>
  <c r="U418" i="1"/>
  <c r="I418" i="1"/>
  <c r="H417" i="1"/>
  <c r="I417" i="1"/>
  <c r="R417" i="1" s="1"/>
  <c r="W417" i="1" s="1"/>
  <c r="I416" i="1"/>
  <c r="H416" i="1"/>
  <c r="U415" i="1"/>
  <c r="I415" i="1"/>
  <c r="H414" i="1"/>
  <c r="I414" i="1"/>
  <c r="R414" i="1" s="1"/>
  <c r="U413" i="1"/>
  <c r="I413" i="1"/>
  <c r="I412" i="1"/>
  <c r="I411" i="1"/>
  <c r="R411" i="1" s="1"/>
  <c r="W411" i="1" s="1"/>
  <c r="H411" i="1"/>
  <c r="U410" i="1"/>
  <c r="I410" i="1"/>
  <c r="U409" i="1"/>
  <c r="I409" i="1"/>
  <c r="I408" i="1"/>
  <c r="H408" i="1"/>
  <c r="U407" i="1"/>
  <c r="I407" i="1"/>
  <c r="U406" i="1"/>
  <c r="I406" i="1"/>
  <c r="I405" i="1"/>
  <c r="H405" i="1"/>
  <c r="U387" i="1"/>
  <c r="U393" i="1"/>
  <c r="U403" i="1"/>
  <c r="AA403" i="1"/>
  <c r="AA398" i="1"/>
  <c r="U400" i="1"/>
  <c r="AA401" i="1"/>
  <c r="AA400" i="1"/>
  <c r="AA397" i="1"/>
  <c r="AA402" i="1"/>
  <c r="AA399" i="1"/>
  <c r="AA404" i="1"/>
  <c r="U382" i="1"/>
  <c r="AA396" i="1"/>
  <c r="U404" i="1"/>
  <c r="I404" i="1"/>
  <c r="I403" i="1"/>
  <c r="H403" i="1"/>
  <c r="U402" i="1"/>
  <c r="I402" i="1"/>
  <c r="U401" i="1"/>
  <c r="I401" i="1"/>
  <c r="I400" i="1"/>
  <c r="R400" i="1" s="1"/>
  <c r="W400" i="1" s="1"/>
  <c r="H400" i="1"/>
  <c r="U399" i="1"/>
  <c r="I399" i="1"/>
  <c r="U398" i="1"/>
  <c r="I398" i="1"/>
  <c r="I397" i="1"/>
  <c r="U397" i="1"/>
  <c r="U396" i="1"/>
  <c r="I396" i="1"/>
  <c r="AA393" i="1"/>
  <c r="U392" i="1"/>
  <c r="AA392" i="1"/>
  <c r="AA388" i="1"/>
  <c r="I393" i="1"/>
  <c r="R393" i="1" s="1"/>
  <c r="W393" i="1" s="1"/>
  <c r="AA390" i="1"/>
  <c r="AA395" i="1"/>
  <c r="U389" i="1"/>
  <c r="U394" i="1"/>
  <c r="U388" i="1"/>
  <c r="AA389" i="1"/>
  <c r="AA394" i="1"/>
  <c r="AA386" i="1"/>
  <c r="AA391" i="1"/>
  <c r="U395" i="1"/>
  <c r="I395" i="1"/>
  <c r="I394" i="1"/>
  <c r="H393" i="1"/>
  <c r="I392" i="1"/>
  <c r="R392" i="1" s="1"/>
  <c r="W392" i="1" s="1"/>
  <c r="H392" i="1"/>
  <c r="U391" i="1"/>
  <c r="I391" i="1"/>
  <c r="U390" i="1"/>
  <c r="I390" i="1"/>
  <c r="I389" i="1"/>
  <c r="H389" i="1"/>
  <c r="I388" i="1"/>
  <c r="AA387" i="1"/>
  <c r="I387" i="1"/>
  <c r="I386" i="1"/>
  <c r="R386" i="1" s="1"/>
  <c r="U386" i="1"/>
  <c r="H386" i="1"/>
  <c r="AA385" i="1"/>
  <c r="AA384" i="1"/>
  <c r="U384" i="1"/>
  <c r="I384" i="1"/>
  <c r="R384" i="1" s="1"/>
  <c r="W384" i="1" s="1"/>
  <c r="I385" i="1"/>
  <c r="R385" i="1" s="1"/>
  <c r="W385" i="1" s="1"/>
  <c r="U385" i="1"/>
  <c r="W5" i="10"/>
  <c r="X5" i="10" s="1"/>
  <c r="Q7" i="10"/>
  <c r="R7" i="10" s="1"/>
  <c r="S7" i="10" s="1"/>
  <c r="AA382" i="1"/>
  <c r="AA383" i="1"/>
  <c r="U383" i="1"/>
  <c r="I383" i="1"/>
  <c r="R383" i="1" s="1"/>
  <c r="W383" i="1" s="1"/>
  <c r="I382" i="1"/>
  <c r="U381" i="1"/>
  <c r="AA380" i="1"/>
  <c r="AA381" i="1"/>
  <c r="I381" i="1"/>
  <c r="R381" i="1" s="1"/>
  <c r="H381" i="1"/>
  <c r="U380" i="1"/>
  <c r="I380" i="1"/>
  <c r="I359" i="1"/>
  <c r="R359" i="1" s="1"/>
  <c r="W359" i="1" s="1"/>
  <c r="I370" i="1"/>
  <c r="R370" i="1" s="1"/>
  <c r="W370" i="1" s="1"/>
  <c r="I376" i="1"/>
  <c r="R376" i="1" s="1"/>
  <c r="W376" i="1" s="1"/>
  <c r="U379" i="1"/>
  <c r="AA379" i="1"/>
  <c r="I379" i="1"/>
  <c r="R379" i="1" s="1"/>
  <c r="W379" i="1" s="1"/>
  <c r="H379" i="1"/>
  <c r="AA378" i="1"/>
  <c r="I378" i="1"/>
  <c r="U378" i="1"/>
  <c r="U358" i="1"/>
  <c r="U365" i="1"/>
  <c r="AA376" i="1"/>
  <c r="U377" i="1"/>
  <c r="U369" i="1"/>
  <c r="AA377" i="1"/>
  <c r="I377" i="1"/>
  <c r="R377" i="1" s="1"/>
  <c r="W377" i="1" s="1"/>
  <c r="H377" i="1"/>
  <c r="U363" i="1"/>
  <c r="U361" i="1"/>
  <c r="U357" i="1"/>
  <c r="U366" i="1"/>
  <c r="AA364" i="1"/>
  <c r="AA372" i="1"/>
  <c r="AA361" i="1"/>
  <c r="AA367" i="1"/>
  <c r="AA369" i="1"/>
  <c r="U362" i="1"/>
  <c r="AA375" i="1"/>
  <c r="AA363" i="1"/>
  <c r="AA366" i="1"/>
  <c r="AA371" i="1"/>
  <c r="AA368" i="1"/>
  <c r="U370" i="1"/>
  <c r="U367" i="1"/>
  <c r="U376" i="1"/>
  <c r="AA362" i="1"/>
  <c r="AA365" i="1"/>
  <c r="AA373" i="1"/>
  <c r="AA374" i="1"/>
  <c r="U359" i="1"/>
  <c r="U364" i="1"/>
  <c r="AA370" i="1"/>
  <c r="H376" i="1"/>
  <c r="U375" i="1"/>
  <c r="I375" i="1"/>
  <c r="R375" i="1" s="1"/>
  <c r="I374" i="1"/>
  <c r="R374" i="1" s="1"/>
  <c r="W374" i="1" s="1"/>
  <c r="H374" i="1"/>
  <c r="U374" i="1"/>
  <c r="U373" i="1"/>
  <c r="I373" i="1"/>
  <c r="R373" i="1" s="1"/>
  <c r="W373" i="1" s="1"/>
  <c r="I372" i="1"/>
  <c r="H372" i="1"/>
  <c r="U372" i="1"/>
  <c r="U371" i="1"/>
  <c r="I371" i="1"/>
  <c r="H370" i="1"/>
  <c r="I369" i="1"/>
  <c r="H369" i="1"/>
  <c r="U368" i="1"/>
  <c r="I368" i="1"/>
  <c r="I367" i="1"/>
  <c r="I366" i="1"/>
  <c r="I365" i="1"/>
  <c r="I364" i="1"/>
  <c r="H364" i="1"/>
  <c r="I363" i="1"/>
  <c r="R363" i="1" s="1"/>
  <c r="W363" i="1" s="1"/>
  <c r="H363" i="1"/>
  <c r="I362" i="1"/>
  <c r="I361" i="1"/>
  <c r="H361" i="1"/>
  <c r="I360" i="1"/>
  <c r="U360" i="1"/>
  <c r="H359" i="1"/>
  <c r="I358" i="1"/>
  <c r="I357" i="1"/>
  <c r="H357" i="1"/>
  <c r="I356" i="1"/>
  <c r="R356" i="1" s="1"/>
  <c r="W356" i="1" s="1"/>
  <c r="U356" i="1"/>
  <c r="H356" i="1"/>
  <c r="I355" i="1"/>
  <c r="R355" i="1" s="1"/>
  <c r="W355" i="1" s="1"/>
  <c r="H355" i="1"/>
  <c r="V8" i="10" l="1"/>
  <c r="W8" i="10" s="1"/>
  <c r="X8" i="10" s="1"/>
  <c r="Q627" i="1"/>
  <c r="T649" i="1"/>
  <c r="T634" i="1"/>
  <c r="T612" i="1"/>
  <c r="Q580" i="1"/>
  <c r="T648" i="1"/>
  <c r="T637" i="1"/>
  <c r="T644" i="1"/>
  <c r="T629" i="1"/>
  <c r="T635" i="1"/>
  <c r="T632" i="1"/>
  <c r="Y627" i="1"/>
  <c r="Y636" i="1"/>
  <c r="Q630" i="1"/>
  <c r="T639" i="1"/>
  <c r="Y645" i="1"/>
  <c r="R648" i="1"/>
  <c r="Y648" i="1" s="1"/>
  <c r="T621" i="1"/>
  <c r="T630" i="1"/>
  <c r="W643" i="1"/>
  <c r="R651" i="1"/>
  <c r="AB655" i="1" s="1"/>
  <c r="T651" i="1"/>
  <c r="T650" i="1"/>
  <c r="Q650" i="1"/>
  <c r="W650" i="1"/>
  <c r="Y650" i="1"/>
  <c r="Q649" i="1"/>
  <c r="W649" i="1"/>
  <c r="Y649" i="1"/>
  <c r="R647" i="1"/>
  <c r="T647" i="1"/>
  <c r="R646" i="1"/>
  <c r="T646" i="1"/>
  <c r="W645" i="1"/>
  <c r="Q645" i="1"/>
  <c r="T645" i="1"/>
  <c r="R644" i="1"/>
  <c r="T643" i="1"/>
  <c r="Y643" i="1"/>
  <c r="R642" i="1"/>
  <c r="T642" i="1"/>
  <c r="R641" i="1"/>
  <c r="T641" i="1"/>
  <c r="R640" i="1"/>
  <c r="T640" i="1"/>
  <c r="Q639" i="1"/>
  <c r="W639" i="1"/>
  <c r="Y639" i="1"/>
  <c r="T638" i="1"/>
  <c r="Q638" i="1"/>
  <c r="W638" i="1"/>
  <c r="Y638" i="1"/>
  <c r="Q637" i="1"/>
  <c r="W637" i="1"/>
  <c r="Y637" i="1"/>
  <c r="W636" i="1"/>
  <c r="Q636" i="1"/>
  <c r="T636" i="1"/>
  <c r="Q635" i="1"/>
  <c r="W635" i="1"/>
  <c r="Y635" i="1"/>
  <c r="Q634" i="1"/>
  <c r="W634" i="1"/>
  <c r="Y634" i="1"/>
  <c r="R633" i="1"/>
  <c r="AB639" i="1" s="1"/>
  <c r="AD639" i="1" s="1"/>
  <c r="T633" i="1"/>
  <c r="Q632" i="1"/>
  <c r="W632" i="1"/>
  <c r="Y632" i="1"/>
  <c r="R631" i="1"/>
  <c r="T631" i="1"/>
  <c r="Q629" i="1"/>
  <c r="W629" i="1"/>
  <c r="Y629" i="1"/>
  <c r="R628" i="1"/>
  <c r="T628" i="1"/>
  <c r="T627" i="1"/>
  <c r="T626" i="1"/>
  <c r="Q626" i="1"/>
  <c r="W626" i="1"/>
  <c r="Y626" i="1"/>
  <c r="T616" i="1"/>
  <c r="T614" i="1"/>
  <c r="T624" i="1"/>
  <c r="Q617" i="1"/>
  <c r="Y624" i="1"/>
  <c r="Q624" i="1"/>
  <c r="W624" i="1"/>
  <c r="R625" i="1"/>
  <c r="T625" i="1"/>
  <c r="R623" i="1"/>
  <c r="T623" i="1"/>
  <c r="R622" i="1"/>
  <c r="T622" i="1"/>
  <c r="Q621" i="1"/>
  <c r="W621" i="1"/>
  <c r="Y621" i="1"/>
  <c r="R620" i="1"/>
  <c r="T620" i="1"/>
  <c r="R619" i="1"/>
  <c r="T619" i="1"/>
  <c r="R618" i="1"/>
  <c r="T618" i="1"/>
  <c r="T617" i="1"/>
  <c r="W617" i="1"/>
  <c r="Y617" i="1"/>
  <c r="T604" i="1"/>
  <c r="W597" i="1"/>
  <c r="Q604" i="1"/>
  <c r="R616" i="1"/>
  <c r="Q616" i="1" s="1"/>
  <c r="R615" i="1"/>
  <c r="T615" i="1"/>
  <c r="Q614" i="1"/>
  <c r="W614" i="1"/>
  <c r="Y614" i="1"/>
  <c r="T613" i="1"/>
  <c r="R613" i="1"/>
  <c r="Q612" i="1"/>
  <c r="W612" i="1"/>
  <c r="Y612" i="1"/>
  <c r="R611" i="1"/>
  <c r="T611" i="1"/>
  <c r="R610" i="1"/>
  <c r="T610" i="1"/>
  <c r="R609" i="1"/>
  <c r="T609" i="1"/>
  <c r="R608" i="1"/>
  <c r="T608" i="1"/>
  <c r="R607" i="1"/>
  <c r="T607" i="1"/>
  <c r="R606" i="1"/>
  <c r="T606" i="1"/>
  <c r="R605" i="1"/>
  <c r="T605" i="1"/>
  <c r="W604" i="1"/>
  <c r="R603" i="1"/>
  <c r="T603" i="1"/>
  <c r="R602" i="1"/>
  <c r="T602" i="1"/>
  <c r="T595" i="1"/>
  <c r="R601" i="1"/>
  <c r="T601" i="1"/>
  <c r="R600" i="1"/>
  <c r="T600" i="1"/>
  <c r="T592" i="1"/>
  <c r="W587" i="1"/>
  <c r="T597" i="1"/>
  <c r="Q590" i="1"/>
  <c r="R599" i="1"/>
  <c r="T599" i="1"/>
  <c r="R598" i="1"/>
  <c r="T598" i="1"/>
  <c r="Q597" i="1"/>
  <c r="Y597" i="1"/>
  <c r="T596" i="1"/>
  <c r="Q596" i="1"/>
  <c r="W596" i="1"/>
  <c r="Y596" i="1"/>
  <c r="Q595" i="1"/>
  <c r="W595" i="1"/>
  <c r="Y595" i="1"/>
  <c r="R594" i="1"/>
  <c r="T594" i="1"/>
  <c r="T593" i="1"/>
  <c r="Q593" i="1"/>
  <c r="W593" i="1"/>
  <c r="Y593" i="1"/>
  <c r="R592" i="1"/>
  <c r="W592" i="1" s="1"/>
  <c r="T591" i="1"/>
  <c r="T587" i="1"/>
  <c r="T586" i="1"/>
  <c r="Y587" i="1"/>
  <c r="Q587" i="1"/>
  <c r="R591" i="1"/>
  <c r="Q591" i="1" s="1"/>
  <c r="W580" i="1"/>
  <c r="T574" i="1"/>
  <c r="W578" i="1"/>
  <c r="Q585" i="1"/>
  <c r="T590" i="1"/>
  <c r="Y590" i="1"/>
  <c r="W590" i="1"/>
  <c r="R589" i="1"/>
  <c r="T589" i="1"/>
  <c r="T588" i="1"/>
  <c r="R588" i="1"/>
  <c r="Q586" i="1"/>
  <c r="W586" i="1"/>
  <c r="Y586" i="1"/>
  <c r="T585" i="1"/>
  <c r="Y585" i="1"/>
  <c r="W585" i="1"/>
  <c r="T584" i="1"/>
  <c r="W584" i="1"/>
  <c r="Q584" i="1"/>
  <c r="Y584" i="1"/>
  <c r="R583" i="1"/>
  <c r="T583" i="1"/>
  <c r="R582" i="1"/>
  <c r="T582" i="1"/>
  <c r="R581" i="1"/>
  <c r="T581" i="1"/>
  <c r="T580" i="1"/>
  <c r="R579" i="1"/>
  <c r="T579" i="1"/>
  <c r="Q578" i="1"/>
  <c r="T578" i="1"/>
  <c r="R577" i="1"/>
  <c r="T577" i="1"/>
  <c r="R576" i="1"/>
  <c r="T576" i="1"/>
  <c r="R575" i="1"/>
  <c r="T575" i="1"/>
  <c r="Q574" i="1"/>
  <c r="W574" i="1"/>
  <c r="Y574" i="1"/>
  <c r="R573" i="1"/>
  <c r="T573" i="1"/>
  <c r="R572" i="1"/>
  <c r="T572" i="1"/>
  <c r="R571" i="1"/>
  <c r="T571" i="1"/>
  <c r="Q558" i="1"/>
  <c r="R570" i="1"/>
  <c r="T570" i="1"/>
  <c r="Y525" i="1"/>
  <c r="T562" i="1"/>
  <c r="Q563" i="1"/>
  <c r="R569" i="1"/>
  <c r="T569" i="1"/>
  <c r="R568" i="1"/>
  <c r="T568" i="1"/>
  <c r="T538" i="1"/>
  <c r="T524" i="1"/>
  <c r="T550" i="1"/>
  <c r="Y558" i="1"/>
  <c r="Q559" i="1"/>
  <c r="Q525" i="1"/>
  <c r="Q560" i="1"/>
  <c r="T549" i="1"/>
  <c r="R549" i="1"/>
  <c r="Q549" i="1" s="1"/>
  <c r="R567" i="1"/>
  <c r="T567" i="1"/>
  <c r="R566" i="1"/>
  <c r="T566" i="1"/>
  <c r="R565" i="1"/>
  <c r="T565" i="1"/>
  <c r="T564" i="1"/>
  <c r="R564" i="1"/>
  <c r="Y563" i="1"/>
  <c r="W563" i="1"/>
  <c r="T563" i="1"/>
  <c r="Q562" i="1"/>
  <c r="W562" i="1"/>
  <c r="Y562" i="1"/>
  <c r="R561" i="1"/>
  <c r="T561" i="1"/>
  <c r="T525" i="1"/>
  <c r="W536" i="1"/>
  <c r="T528" i="1"/>
  <c r="T558" i="1"/>
  <c r="Y550" i="1"/>
  <c r="Y536" i="1"/>
  <c r="Q545" i="1"/>
  <c r="T557" i="1"/>
  <c r="Q547" i="1"/>
  <c r="T547" i="1"/>
  <c r="T548" i="1"/>
  <c r="Q516" i="1"/>
  <c r="Y534" i="1"/>
  <c r="T559" i="1"/>
  <c r="Y522" i="1"/>
  <c r="Q550" i="1"/>
  <c r="T560" i="1"/>
  <c r="Y560" i="1"/>
  <c r="W560" i="1"/>
  <c r="W559" i="1"/>
  <c r="Y559" i="1"/>
  <c r="R557" i="1"/>
  <c r="R556" i="1"/>
  <c r="T556" i="1"/>
  <c r="R555" i="1"/>
  <c r="T555" i="1"/>
  <c r="R554" i="1"/>
  <c r="T554" i="1"/>
  <c r="R553" i="1"/>
  <c r="T553" i="1"/>
  <c r="R552" i="1"/>
  <c r="T552" i="1"/>
  <c r="R551" i="1"/>
  <c r="T551" i="1"/>
  <c r="Q548" i="1"/>
  <c r="W548" i="1"/>
  <c r="Y548" i="1"/>
  <c r="Y547" i="1"/>
  <c r="R546" i="1"/>
  <c r="T546" i="1"/>
  <c r="Y545" i="1"/>
  <c r="T545" i="1"/>
  <c r="W545" i="1"/>
  <c r="R544" i="1"/>
  <c r="T544" i="1"/>
  <c r="T543" i="1"/>
  <c r="Q543" i="1"/>
  <c r="W543" i="1"/>
  <c r="Y543" i="1"/>
  <c r="R542" i="1"/>
  <c r="T542" i="1"/>
  <c r="R541" i="1"/>
  <c r="T541" i="1"/>
  <c r="R540" i="1"/>
  <c r="T540" i="1"/>
  <c r="R539" i="1"/>
  <c r="T539" i="1"/>
  <c r="R538" i="1"/>
  <c r="Q538" i="1" s="1"/>
  <c r="T537" i="1"/>
  <c r="Q537" i="1"/>
  <c r="W537" i="1"/>
  <c r="Y537" i="1"/>
  <c r="T536" i="1"/>
  <c r="R535" i="1"/>
  <c r="T535" i="1"/>
  <c r="Q534" i="1"/>
  <c r="T534" i="1"/>
  <c r="R533" i="1"/>
  <c r="T533" i="1"/>
  <c r="R532" i="1"/>
  <c r="T532" i="1"/>
  <c r="R531" i="1"/>
  <c r="T531" i="1"/>
  <c r="R530" i="1"/>
  <c r="T530" i="1"/>
  <c r="R529" i="1"/>
  <c r="T529" i="1"/>
  <c r="Q528" i="1"/>
  <c r="W528" i="1"/>
  <c r="Y528" i="1"/>
  <c r="R527" i="1"/>
  <c r="T527" i="1"/>
  <c r="R526" i="1"/>
  <c r="T526" i="1"/>
  <c r="Q524" i="1"/>
  <c r="W524" i="1"/>
  <c r="Y524" i="1"/>
  <c r="T523" i="1"/>
  <c r="R523" i="1"/>
  <c r="Q522" i="1"/>
  <c r="W522" i="1"/>
  <c r="T522" i="1"/>
  <c r="R521" i="1"/>
  <c r="T521" i="1"/>
  <c r="T520" i="1"/>
  <c r="R520" i="1"/>
  <c r="R519" i="1"/>
  <c r="T519" i="1"/>
  <c r="R518" i="1"/>
  <c r="T518" i="1"/>
  <c r="T517" i="1"/>
  <c r="W508" i="1"/>
  <c r="W511" i="1"/>
  <c r="W507" i="1"/>
  <c r="W509" i="1"/>
  <c r="Q517" i="1"/>
  <c r="Y517" i="1"/>
  <c r="W517" i="1"/>
  <c r="T516" i="1"/>
  <c r="Y516" i="1"/>
  <c r="W516" i="1"/>
  <c r="T515" i="1"/>
  <c r="R515" i="1"/>
  <c r="T514" i="1"/>
  <c r="R514" i="1"/>
  <c r="R513" i="1"/>
  <c r="T513" i="1"/>
  <c r="Y435" i="1"/>
  <c r="W435" i="1"/>
  <c r="Q461" i="1"/>
  <c r="W461" i="1"/>
  <c r="Q510" i="1"/>
  <c r="W510" i="1"/>
  <c r="Y375" i="1"/>
  <c r="W375" i="1"/>
  <c r="Q386" i="1"/>
  <c r="W386" i="1"/>
  <c r="Q441" i="1"/>
  <c r="W441" i="1"/>
  <c r="T507" i="1"/>
  <c r="Q512" i="1"/>
  <c r="W512" i="1"/>
  <c r="Q381" i="1"/>
  <c r="W381" i="1"/>
  <c r="T508" i="1"/>
  <c r="Q414" i="1"/>
  <c r="W414" i="1"/>
  <c r="T511" i="1"/>
  <c r="Q505" i="1"/>
  <c r="AB511" i="1"/>
  <c r="AD511" i="1" s="1"/>
  <c r="Q501" i="1"/>
  <c r="AB512" i="1"/>
  <c r="AD512" i="1" s="1"/>
  <c r="T512" i="1"/>
  <c r="Y512" i="1"/>
  <c r="Q511" i="1"/>
  <c r="Y511" i="1"/>
  <c r="T510" i="1"/>
  <c r="Y510" i="1"/>
  <c r="T509" i="1"/>
  <c r="Q509" i="1"/>
  <c r="Y509" i="1"/>
  <c r="Q508" i="1"/>
  <c r="Y508" i="1"/>
  <c r="Q507" i="1"/>
  <c r="Y507" i="1"/>
  <c r="Q498" i="1"/>
  <c r="T506" i="1"/>
  <c r="Q506" i="1"/>
  <c r="Y506" i="1"/>
  <c r="T505" i="1"/>
  <c r="Y505" i="1"/>
  <c r="R504" i="1"/>
  <c r="T504" i="1"/>
  <c r="Y498" i="1"/>
  <c r="R503" i="1"/>
  <c r="T503" i="1"/>
  <c r="T502" i="1"/>
  <c r="Q502" i="1"/>
  <c r="Y502" i="1"/>
  <c r="T501" i="1"/>
  <c r="Y501" i="1"/>
  <c r="T484" i="1"/>
  <c r="T500" i="1"/>
  <c r="R500" i="1"/>
  <c r="W500" i="1" s="1"/>
  <c r="Q493" i="1"/>
  <c r="T455" i="1"/>
  <c r="R499" i="1"/>
  <c r="W499" i="1" s="1"/>
  <c r="T499" i="1"/>
  <c r="T498" i="1"/>
  <c r="R497" i="1"/>
  <c r="W497" i="1" s="1"/>
  <c r="T497" i="1"/>
  <c r="R496" i="1"/>
  <c r="W496" i="1" s="1"/>
  <c r="T496" i="1"/>
  <c r="R495" i="1"/>
  <c r="W495" i="1" s="1"/>
  <c r="T495" i="1"/>
  <c r="T428" i="1"/>
  <c r="T469" i="1"/>
  <c r="T492" i="1"/>
  <c r="R494" i="1"/>
  <c r="W494" i="1" s="1"/>
  <c r="T494" i="1"/>
  <c r="T493" i="1"/>
  <c r="Y493" i="1"/>
  <c r="Q492" i="1"/>
  <c r="Y492" i="1"/>
  <c r="T491" i="1"/>
  <c r="R491" i="1"/>
  <c r="W491" i="1" s="1"/>
  <c r="T483" i="1"/>
  <c r="R483" i="1"/>
  <c r="T458" i="1"/>
  <c r="T480" i="1"/>
  <c r="R458" i="1"/>
  <c r="Q451" i="1"/>
  <c r="T459" i="1"/>
  <c r="T433" i="1"/>
  <c r="R490" i="1"/>
  <c r="W490" i="1" s="1"/>
  <c r="T490" i="1"/>
  <c r="T489" i="1"/>
  <c r="Q489" i="1"/>
  <c r="Y489" i="1"/>
  <c r="R488" i="1"/>
  <c r="W488" i="1" s="1"/>
  <c r="T488" i="1"/>
  <c r="R487" i="1"/>
  <c r="W487" i="1" s="1"/>
  <c r="T487" i="1"/>
  <c r="R486" i="1"/>
  <c r="W486" i="1" s="1"/>
  <c r="T486" i="1"/>
  <c r="T485" i="1"/>
  <c r="R485" i="1"/>
  <c r="W485" i="1" s="1"/>
  <c r="Q484" i="1"/>
  <c r="Y484" i="1"/>
  <c r="R482" i="1"/>
  <c r="W482" i="1" s="1"/>
  <c r="T482" i="1"/>
  <c r="R481" i="1"/>
  <c r="W481" i="1" s="1"/>
  <c r="T481" i="1"/>
  <c r="Q480" i="1"/>
  <c r="Y480" i="1"/>
  <c r="R479" i="1"/>
  <c r="W479" i="1" s="1"/>
  <c r="T479" i="1"/>
  <c r="R478" i="1"/>
  <c r="W478" i="1" s="1"/>
  <c r="T478" i="1"/>
  <c r="R477" i="1"/>
  <c r="W477" i="1" s="1"/>
  <c r="T477" i="1"/>
  <c r="R476" i="1"/>
  <c r="W476" i="1" s="1"/>
  <c r="T476" i="1"/>
  <c r="R475" i="1"/>
  <c r="W475" i="1" s="1"/>
  <c r="T475" i="1"/>
  <c r="R474" i="1"/>
  <c r="W474" i="1" s="1"/>
  <c r="T474" i="1"/>
  <c r="R473" i="1"/>
  <c r="W473" i="1" s="1"/>
  <c r="T473" i="1"/>
  <c r="R472" i="1"/>
  <c r="W472" i="1" s="1"/>
  <c r="T472" i="1"/>
  <c r="R471" i="1"/>
  <c r="W471" i="1" s="1"/>
  <c r="T471" i="1"/>
  <c r="R470" i="1"/>
  <c r="W470" i="1" s="1"/>
  <c r="T470" i="1"/>
  <c r="Q469" i="1"/>
  <c r="Y469" i="1"/>
  <c r="R468" i="1"/>
  <c r="W468" i="1" s="1"/>
  <c r="T468" i="1"/>
  <c r="T467" i="1"/>
  <c r="R467" i="1"/>
  <c r="W467" i="1" s="1"/>
  <c r="T466" i="1"/>
  <c r="Q466" i="1"/>
  <c r="Y466" i="1"/>
  <c r="R465" i="1"/>
  <c r="W465" i="1" s="1"/>
  <c r="T465" i="1"/>
  <c r="T464" i="1"/>
  <c r="Y464" i="1"/>
  <c r="Q464" i="1"/>
  <c r="R463" i="1"/>
  <c r="W463" i="1" s="1"/>
  <c r="T463" i="1"/>
  <c r="R462" i="1"/>
  <c r="W462" i="1" s="1"/>
  <c r="T462" i="1"/>
  <c r="Y461" i="1"/>
  <c r="T461" i="1"/>
  <c r="R460" i="1"/>
  <c r="W460" i="1" s="1"/>
  <c r="T460" i="1"/>
  <c r="Q459" i="1"/>
  <c r="Y459" i="1"/>
  <c r="R457" i="1"/>
  <c r="W457" i="1" s="1"/>
  <c r="T457" i="1"/>
  <c r="R456" i="1"/>
  <c r="W456" i="1" s="1"/>
  <c r="T456" i="1"/>
  <c r="Q455" i="1"/>
  <c r="Y455" i="1"/>
  <c r="Y414" i="1"/>
  <c r="T445" i="1"/>
  <c r="T429" i="1"/>
  <c r="T451" i="1"/>
  <c r="Y451" i="1"/>
  <c r="T424" i="1"/>
  <c r="R454" i="1"/>
  <c r="W454" i="1" s="1"/>
  <c r="T454" i="1"/>
  <c r="T453" i="1"/>
  <c r="R453" i="1"/>
  <c r="W453" i="1" s="1"/>
  <c r="R452" i="1"/>
  <c r="W452" i="1" s="1"/>
  <c r="T452" i="1"/>
  <c r="R450" i="1"/>
  <c r="W450" i="1" s="1"/>
  <c r="T450" i="1"/>
  <c r="R449" i="1"/>
  <c r="W449" i="1" s="1"/>
  <c r="T449" i="1"/>
  <c r="R424" i="1"/>
  <c r="T425" i="1"/>
  <c r="T421" i="1"/>
  <c r="Y440" i="1"/>
  <c r="Q417" i="1"/>
  <c r="Q434" i="1"/>
  <c r="T442" i="1"/>
  <c r="T435" i="1"/>
  <c r="Q437" i="1"/>
  <c r="Y433" i="1"/>
  <c r="T403" i="1"/>
  <c r="T400" i="1"/>
  <c r="T405" i="1"/>
  <c r="Q435" i="1"/>
  <c r="T414" i="1"/>
  <c r="T448" i="1"/>
  <c r="R448" i="1"/>
  <c r="W448" i="1" s="1"/>
  <c r="R447" i="1"/>
  <c r="W447" i="1" s="1"/>
  <c r="T447" i="1"/>
  <c r="R446" i="1"/>
  <c r="W446" i="1" s="1"/>
  <c r="T446" i="1"/>
  <c r="Q445" i="1"/>
  <c r="Y445" i="1"/>
  <c r="R444" i="1"/>
  <c r="W444" i="1" s="1"/>
  <c r="T444" i="1"/>
  <c r="R443" i="1"/>
  <c r="W443" i="1" s="1"/>
  <c r="T443" i="1"/>
  <c r="Q442" i="1"/>
  <c r="Y442" i="1"/>
  <c r="T441" i="1"/>
  <c r="Y441" i="1"/>
  <c r="Q440" i="1"/>
  <c r="T440" i="1"/>
  <c r="T439" i="1"/>
  <c r="Q439" i="1"/>
  <c r="Y439" i="1"/>
  <c r="T438" i="1"/>
  <c r="R438" i="1"/>
  <c r="W438" i="1" s="1"/>
  <c r="T437" i="1"/>
  <c r="Y437" i="1"/>
  <c r="R436" i="1"/>
  <c r="W436" i="1" s="1"/>
  <c r="T436" i="1"/>
  <c r="T434" i="1"/>
  <c r="Y434" i="1"/>
  <c r="Q433" i="1"/>
  <c r="R432" i="1"/>
  <c r="W432" i="1" s="1"/>
  <c r="T432" i="1"/>
  <c r="R431" i="1"/>
  <c r="W431" i="1" s="1"/>
  <c r="T431" i="1"/>
  <c r="T430" i="1"/>
  <c r="Q430" i="1"/>
  <c r="Y430" i="1"/>
  <c r="Q429" i="1"/>
  <c r="Y429" i="1"/>
  <c r="Y428" i="1"/>
  <c r="Q428" i="1"/>
  <c r="T426" i="1"/>
  <c r="R426" i="1"/>
  <c r="W426" i="1" s="1"/>
  <c r="T427" i="1"/>
  <c r="R427" i="1"/>
  <c r="W427" i="1" s="1"/>
  <c r="Q425" i="1"/>
  <c r="Y425" i="1"/>
  <c r="R423" i="1"/>
  <c r="W423" i="1" s="1"/>
  <c r="T423" i="1"/>
  <c r="R422" i="1"/>
  <c r="W422" i="1" s="1"/>
  <c r="T422" i="1"/>
  <c r="Q421" i="1"/>
  <c r="Y421" i="1"/>
  <c r="T420" i="1"/>
  <c r="Q420" i="1"/>
  <c r="Y420" i="1"/>
  <c r="R419" i="1"/>
  <c r="W419" i="1" s="1"/>
  <c r="T419" i="1"/>
  <c r="T418" i="1"/>
  <c r="R418" i="1"/>
  <c r="W418" i="1" s="1"/>
  <c r="T417" i="1"/>
  <c r="Y417" i="1"/>
  <c r="R416" i="1"/>
  <c r="W416" i="1" s="1"/>
  <c r="T416" i="1"/>
  <c r="R415" i="1"/>
  <c r="W415" i="1" s="1"/>
  <c r="T415" i="1"/>
  <c r="R413" i="1"/>
  <c r="W413" i="1" s="1"/>
  <c r="T413" i="1"/>
  <c r="R412" i="1"/>
  <c r="W412" i="1" s="1"/>
  <c r="T412" i="1"/>
  <c r="T411" i="1"/>
  <c r="Q411" i="1"/>
  <c r="Y411" i="1"/>
  <c r="R410" i="1"/>
  <c r="W410" i="1" s="1"/>
  <c r="T410" i="1"/>
  <c r="R409" i="1"/>
  <c r="W409" i="1" s="1"/>
  <c r="T409" i="1"/>
  <c r="R408" i="1"/>
  <c r="W408" i="1" s="1"/>
  <c r="T408" i="1"/>
  <c r="R407" i="1"/>
  <c r="W407" i="1" s="1"/>
  <c r="T407" i="1"/>
  <c r="T406" i="1"/>
  <c r="R406" i="1"/>
  <c r="W406" i="1" s="1"/>
  <c r="R405" i="1"/>
  <c r="W405" i="1" s="1"/>
  <c r="T397" i="1"/>
  <c r="R403" i="1"/>
  <c r="Q392" i="1"/>
  <c r="R397" i="1"/>
  <c r="R404" i="1"/>
  <c r="W404" i="1" s="1"/>
  <c r="T404" i="1"/>
  <c r="R402" i="1"/>
  <c r="W402" i="1" s="1"/>
  <c r="T402" i="1"/>
  <c r="T401" i="1"/>
  <c r="R401" i="1"/>
  <c r="W401" i="1" s="1"/>
  <c r="Q400" i="1"/>
  <c r="Y400" i="1"/>
  <c r="R399" i="1"/>
  <c r="W399" i="1" s="1"/>
  <c r="T399" i="1"/>
  <c r="R398" i="1"/>
  <c r="W398" i="1" s="1"/>
  <c r="T398" i="1"/>
  <c r="R396" i="1"/>
  <c r="W396" i="1" s="1"/>
  <c r="T396" i="1"/>
  <c r="Q385" i="1"/>
  <c r="Y386" i="1"/>
  <c r="T393" i="1"/>
  <c r="R395" i="1"/>
  <c r="W395" i="1" s="1"/>
  <c r="T395" i="1"/>
  <c r="R394" i="1"/>
  <c r="W394" i="1" s="1"/>
  <c r="T394" i="1"/>
  <c r="Q393" i="1"/>
  <c r="Y393" i="1"/>
  <c r="T392" i="1"/>
  <c r="Y392" i="1"/>
  <c r="R391" i="1"/>
  <c r="W391" i="1" s="1"/>
  <c r="T391" i="1"/>
  <c r="R390" i="1"/>
  <c r="W390" i="1" s="1"/>
  <c r="T390" i="1"/>
  <c r="R389" i="1"/>
  <c r="W389" i="1" s="1"/>
  <c r="T389" i="1"/>
  <c r="R388" i="1"/>
  <c r="W388" i="1" s="1"/>
  <c r="T388" i="1"/>
  <c r="R387" i="1"/>
  <c r="W387" i="1" s="1"/>
  <c r="T387" i="1"/>
  <c r="T386" i="1"/>
  <c r="T384" i="1"/>
  <c r="T383" i="1"/>
  <c r="Q379" i="1"/>
  <c r="T385" i="1"/>
  <c r="Y385" i="1"/>
  <c r="Q384" i="1"/>
  <c r="Y384" i="1"/>
  <c r="Q383" i="1"/>
  <c r="Y383" i="1"/>
  <c r="R382" i="1"/>
  <c r="W382" i="1" s="1"/>
  <c r="T382" i="1"/>
  <c r="Q375" i="1"/>
  <c r="T381" i="1"/>
  <c r="Y381" i="1"/>
  <c r="R380" i="1"/>
  <c r="W380" i="1" s="1"/>
  <c r="T380" i="1"/>
  <c r="T376" i="1"/>
  <c r="T359" i="1"/>
  <c r="T370" i="1"/>
  <c r="Q373" i="1"/>
  <c r="T379" i="1"/>
  <c r="Y379" i="1"/>
  <c r="T378" i="1"/>
  <c r="R378" i="1"/>
  <c r="W378" i="1" s="1"/>
  <c r="T377" i="1"/>
  <c r="Q377" i="1"/>
  <c r="Y377" i="1"/>
  <c r="Q355" i="1"/>
  <c r="T356" i="1"/>
  <c r="T372" i="1"/>
  <c r="Q363" i="1"/>
  <c r="Y376" i="1"/>
  <c r="Q376" i="1"/>
  <c r="T375" i="1"/>
  <c r="T374" i="1"/>
  <c r="Y374" i="1"/>
  <c r="Q374" i="1"/>
  <c r="T373" i="1"/>
  <c r="Y373" i="1"/>
  <c r="R372" i="1"/>
  <c r="R371" i="1"/>
  <c r="W371" i="1" s="1"/>
  <c r="T371" i="1"/>
  <c r="Q370" i="1"/>
  <c r="Y370" i="1"/>
  <c r="R369" i="1"/>
  <c r="W369" i="1" s="1"/>
  <c r="T369" i="1"/>
  <c r="R368" i="1"/>
  <c r="W368" i="1" s="1"/>
  <c r="T368" i="1"/>
  <c r="T367" i="1"/>
  <c r="R367" i="1"/>
  <c r="W367" i="1" s="1"/>
  <c r="R366" i="1"/>
  <c r="W366" i="1" s="1"/>
  <c r="T366" i="1"/>
  <c r="R365" i="1"/>
  <c r="W365" i="1" s="1"/>
  <c r="T365" i="1"/>
  <c r="R364" i="1"/>
  <c r="W364" i="1" s="1"/>
  <c r="T364" i="1"/>
  <c r="Y363" i="1"/>
  <c r="T363" i="1"/>
  <c r="R362" i="1"/>
  <c r="W362" i="1" s="1"/>
  <c r="T362" i="1"/>
  <c r="T361" i="1"/>
  <c r="R361" i="1"/>
  <c r="W361" i="1" s="1"/>
  <c r="R360" i="1"/>
  <c r="W360" i="1" s="1"/>
  <c r="T360" i="1"/>
  <c r="Q359" i="1"/>
  <c r="Y359" i="1"/>
  <c r="R358" i="1"/>
  <c r="W358" i="1" s="1"/>
  <c r="T358" i="1"/>
  <c r="R357" i="1"/>
  <c r="W357" i="1" s="1"/>
  <c r="T357" i="1"/>
  <c r="Q356" i="1"/>
  <c r="Y356" i="1"/>
  <c r="Y355" i="1"/>
  <c r="AB637" i="1" l="1"/>
  <c r="AB656" i="1"/>
  <c r="AB657" i="1"/>
  <c r="AC658" i="1" s="1"/>
  <c r="W648" i="1"/>
  <c r="AB627" i="1"/>
  <c r="AD627" i="1" s="1"/>
  <c r="AB638" i="1"/>
  <c r="AB636" i="1"/>
  <c r="AC637" i="1" s="1"/>
  <c r="AB631" i="1"/>
  <c r="AD631" i="1" s="1"/>
  <c r="AB634" i="1"/>
  <c r="AD634" i="1" s="1"/>
  <c r="AB652" i="1"/>
  <c r="Q648" i="1"/>
  <c r="AC656" i="1"/>
  <c r="AD656" i="1"/>
  <c r="AB646" i="1"/>
  <c r="AB648" i="1"/>
  <c r="AB640" i="1"/>
  <c r="AB653" i="1"/>
  <c r="AB644" i="1"/>
  <c r="AB654" i="1"/>
  <c r="AB641" i="1"/>
  <c r="AB649" i="1"/>
  <c r="AB635" i="1"/>
  <c r="AB626" i="1"/>
  <c r="AB647" i="1"/>
  <c r="AB628" i="1"/>
  <c r="AD652" i="1"/>
  <c r="AB642" i="1"/>
  <c r="AB643" i="1"/>
  <c r="AB629" i="1"/>
  <c r="AB630" i="1"/>
  <c r="AB645" i="1"/>
  <c r="AB633" i="1"/>
  <c r="AD655" i="1"/>
  <c r="Q644" i="1"/>
  <c r="AB650" i="1"/>
  <c r="AD637" i="1"/>
  <c r="AB619" i="1"/>
  <c r="AD619" i="1" s="1"/>
  <c r="AB651" i="1"/>
  <c r="AD636" i="1"/>
  <c r="AB632" i="1"/>
  <c r="Q651" i="1"/>
  <c r="W651" i="1"/>
  <c r="X656" i="1" s="1"/>
  <c r="Y651" i="1"/>
  <c r="Q647" i="1"/>
  <c r="W647" i="1"/>
  <c r="Y647" i="1"/>
  <c r="Q646" i="1"/>
  <c r="W646" i="1"/>
  <c r="Y646" i="1"/>
  <c r="Y644" i="1"/>
  <c r="W644" i="1"/>
  <c r="W642" i="1"/>
  <c r="Y642" i="1"/>
  <c r="Q642" i="1"/>
  <c r="Q641" i="1"/>
  <c r="W641" i="1"/>
  <c r="Y641" i="1"/>
  <c r="Q640" i="1"/>
  <c r="W640" i="1"/>
  <c r="Y640" i="1"/>
  <c r="Q633" i="1"/>
  <c r="W633" i="1"/>
  <c r="Y633" i="1"/>
  <c r="Y631" i="1"/>
  <c r="Q631" i="1"/>
  <c r="W631" i="1"/>
  <c r="Q628" i="1"/>
  <c r="W628" i="1"/>
  <c r="Y628" i="1"/>
  <c r="AB591" i="1"/>
  <c r="AD591" i="1" s="1"/>
  <c r="AB590" i="1"/>
  <c r="AD590" i="1" s="1"/>
  <c r="W616" i="1"/>
  <c r="AB622" i="1"/>
  <c r="AB621" i="1"/>
  <c r="AB609" i="1"/>
  <c r="AB617" i="1"/>
  <c r="AB620" i="1"/>
  <c r="AB618" i="1"/>
  <c r="AB624" i="1"/>
  <c r="AB625" i="1"/>
  <c r="AB623" i="1"/>
  <c r="Q625" i="1"/>
  <c r="W625" i="1"/>
  <c r="Y625" i="1"/>
  <c r="Q623" i="1"/>
  <c r="W623" i="1"/>
  <c r="Y623" i="1"/>
  <c r="Q622" i="1"/>
  <c r="W622" i="1"/>
  <c r="Y622" i="1"/>
  <c r="W620" i="1"/>
  <c r="Q620" i="1"/>
  <c r="Y620" i="1"/>
  <c r="Y619" i="1"/>
  <c r="W619" i="1"/>
  <c r="Q619" i="1"/>
  <c r="Q618" i="1"/>
  <c r="W618" i="1"/>
  <c r="Y618" i="1"/>
  <c r="AB605" i="1"/>
  <c r="AB601" i="1"/>
  <c r="AD601" i="1" s="1"/>
  <c r="AB604" i="1"/>
  <c r="AB611" i="1"/>
  <c r="AB616" i="1"/>
  <c r="AB610" i="1"/>
  <c r="AB612" i="1"/>
  <c r="AB603" i="1"/>
  <c r="AB606" i="1"/>
  <c r="AB613" i="1"/>
  <c r="AB614" i="1"/>
  <c r="AB615" i="1"/>
  <c r="AB607" i="1"/>
  <c r="AB602" i="1"/>
  <c r="AB608" i="1"/>
  <c r="Y616" i="1"/>
  <c r="Q615" i="1"/>
  <c r="W615" i="1"/>
  <c r="Y615" i="1"/>
  <c r="Q613" i="1"/>
  <c r="W613" i="1"/>
  <c r="Y613" i="1"/>
  <c r="Q611" i="1"/>
  <c r="W611" i="1"/>
  <c r="Y611" i="1"/>
  <c r="Q610" i="1"/>
  <c r="W610" i="1"/>
  <c r="Y610" i="1"/>
  <c r="Q609" i="1"/>
  <c r="W609" i="1"/>
  <c r="Y609" i="1"/>
  <c r="Q608" i="1"/>
  <c r="W608" i="1"/>
  <c r="Y608" i="1"/>
  <c r="Q607" i="1"/>
  <c r="Y607" i="1"/>
  <c r="W607" i="1"/>
  <c r="Q606" i="1"/>
  <c r="W606" i="1"/>
  <c r="Y606" i="1"/>
  <c r="Q605" i="1"/>
  <c r="W605" i="1"/>
  <c r="Y605" i="1"/>
  <c r="Q603" i="1"/>
  <c r="W603" i="1"/>
  <c r="Y603" i="1"/>
  <c r="Q602" i="1"/>
  <c r="W602" i="1"/>
  <c r="Y602" i="1"/>
  <c r="Y591" i="1"/>
  <c r="AB600" i="1"/>
  <c r="Q601" i="1"/>
  <c r="Y601" i="1"/>
  <c r="W601" i="1"/>
  <c r="Q600" i="1"/>
  <c r="W600" i="1"/>
  <c r="Y600" i="1"/>
  <c r="AB599" i="1"/>
  <c r="AD599" i="1" s="1"/>
  <c r="Y592" i="1"/>
  <c r="AB598" i="1"/>
  <c r="AB594" i="1"/>
  <c r="AD594" i="1" s="1"/>
  <c r="AB592" i="1"/>
  <c r="W591" i="1"/>
  <c r="AB597" i="1"/>
  <c r="AB596" i="1"/>
  <c r="AD596" i="1" s="1"/>
  <c r="AB595" i="1"/>
  <c r="AD595" i="1" s="1"/>
  <c r="AB593" i="1"/>
  <c r="AD593" i="1" s="1"/>
  <c r="Q599" i="1"/>
  <c r="W599" i="1"/>
  <c r="Y599" i="1"/>
  <c r="Q598" i="1"/>
  <c r="W598" i="1"/>
  <c r="Y598" i="1"/>
  <c r="Q594" i="1"/>
  <c r="W594" i="1"/>
  <c r="Y594" i="1"/>
  <c r="Q592" i="1"/>
  <c r="AB586" i="1"/>
  <c r="AD586" i="1" s="1"/>
  <c r="AB580" i="1"/>
  <c r="AD580" i="1" s="1"/>
  <c r="AB578" i="1"/>
  <c r="AD578" i="1" s="1"/>
  <c r="AB575" i="1"/>
  <c r="AD575" i="1" s="1"/>
  <c r="AB587" i="1"/>
  <c r="AB579" i="1"/>
  <c r="AD579" i="1" s="1"/>
  <c r="AB589" i="1"/>
  <c r="AD589" i="1" s="1"/>
  <c r="AB577" i="1"/>
  <c r="AD577" i="1" s="1"/>
  <c r="AB588" i="1"/>
  <c r="AD588" i="1" s="1"/>
  <c r="AB581" i="1"/>
  <c r="AD581" i="1" s="1"/>
  <c r="AB576" i="1"/>
  <c r="AD576" i="1" s="1"/>
  <c r="AB582" i="1"/>
  <c r="Q589" i="1"/>
  <c r="W589" i="1"/>
  <c r="Y589" i="1"/>
  <c r="W588" i="1"/>
  <c r="Y588" i="1"/>
  <c r="Q588" i="1"/>
  <c r="AB584" i="1"/>
  <c r="AD584" i="1" s="1"/>
  <c r="AB585" i="1"/>
  <c r="AD585" i="1" s="1"/>
  <c r="AB583" i="1"/>
  <c r="AD583" i="1" s="1"/>
  <c r="Q583" i="1"/>
  <c r="W583" i="1"/>
  <c r="Y583" i="1"/>
  <c r="Q582" i="1"/>
  <c r="W582" i="1"/>
  <c r="Y582" i="1"/>
  <c r="Q581" i="1"/>
  <c r="W581" i="1"/>
  <c r="Y581" i="1"/>
  <c r="Q579" i="1"/>
  <c r="W579" i="1"/>
  <c r="Y579" i="1"/>
  <c r="Q577" i="1"/>
  <c r="W577" i="1"/>
  <c r="Y577" i="1"/>
  <c r="Q576" i="1"/>
  <c r="Y576" i="1"/>
  <c r="W576" i="1"/>
  <c r="Q575" i="1"/>
  <c r="Y575" i="1"/>
  <c r="W575" i="1"/>
  <c r="AB574" i="1"/>
  <c r="AD574" i="1" s="1"/>
  <c r="AB571" i="1"/>
  <c r="AD571" i="1" s="1"/>
  <c r="AB572" i="1"/>
  <c r="AB573" i="1"/>
  <c r="Q573" i="1"/>
  <c r="W573" i="1"/>
  <c r="Y573" i="1"/>
  <c r="Q572" i="1"/>
  <c r="W572" i="1"/>
  <c r="Y572" i="1"/>
  <c r="Q571" i="1"/>
  <c r="W571" i="1"/>
  <c r="Y571" i="1"/>
  <c r="AB568" i="1"/>
  <c r="AD568" i="1" s="1"/>
  <c r="AB570" i="1"/>
  <c r="AD570" i="1" s="1"/>
  <c r="Y570" i="1"/>
  <c r="Q570" i="1"/>
  <c r="W570" i="1"/>
  <c r="W538" i="1"/>
  <c r="AB569" i="1"/>
  <c r="AD569" i="1" s="1"/>
  <c r="Q569" i="1"/>
  <c r="W569" i="1"/>
  <c r="Y569" i="1"/>
  <c r="Q568" i="1"/>
  <c r="W568" i="1"/>
  <c r="Y568" i="1"/>
  <c r="AB565" i="1"/>
  <c r="AD565" i="1" s="1"/>
  <c r="AB561" i="1"/>
  <c r="AD561" i="1" s="1"/>
  <c r="AB566" i="1"/>
  <c r="AD566" i="1" s="1"/>
  <c r="Y549" i="1"/>
  <c r="AB562" i="1"/>
  <c r="AD562" i="1" s="1"/>
  <c r="W549" i="1"/>
  <c r="AB563" i="1"/>
  <c r="AD563" i="1" s="1"/>
  <c r="AB528" i="1"/>
  <c r="AD528" i="1" s="1"/>
  <c r="AB567" i="1"/>
  <c r="AD567" i="1" s="1"/>
  <c r="AB522" i="1"/>
  <c r="AD522" i="1" s="1"/>
  <c r="AB564" i="1"/>
  <c r="AD564" i="1" s="1"/>
  <c r="Q567" i="1"/>
  <c r="W567" i="1"/>
  <c r="Y567" i="1"/>
  <c r="Q566" i="1"/>
  <c r="Y566" i="1"/>
  <c r="W566" i="1"/>
  <c r="Q565" i="1"/>
  <c r="Y565" i="1"/>
  <c r="W565" i="1"/>
  <c r="W564" i="1"/>
  <c r="Y564" i="1"/>
  <c r="Q564" i="1"/>
  <c r="Q561" i="1"/>
  <c r="W561" i="1"/>
  <c r="Y561" i="1"/>
  <c r="AB516" i="1"/>
  <c r="AD516" i="1" s="1"/>
  <c r="AB518" i="1"/>
  <c r="AD518" i="1" s="1"/>
  <c r="AB526" i="1"/>
  <c r="AD526" i="1" s="1"/>
  <c r="AB539" i="1"/>
  <c r="AD539" i="1" s="1"/>
  <c r="AB545" i="1"/>
  <c r="AD545" i="1" s="1"/>
  <c r="AB558" i="1"/>
  <c r="AD558" i="1" s="1"/>
  <c r="AB549" i="1"/>
  <c r="AD549" i="1" s="1"/>
  <c r="AB533" i="1"/>
  <c r="AD533" i="1" s="1"/>
  <c r="AB556" i="1"/>
  <c r="AD556" i="1" s="1"/>
  <c r="AB546" i="1"/>
  <c r="AD546" i="1" s="1"/>
  <c r="AB559" i="1"/>
  <c r="AD559" i="1" s="1"/>
  <c r="AB527" i="1"/>
  <c r="AD527" i="1" s="1"/>
  <c r="AB552" i="1"/>
  <c r="AD552" i="1" s="1"/>
  <c r="AB534" i="1"/>
  <c r="AD534" i="1" s="1"/>
  <c r="AB553" i="1"/>
  <c r="AD553" i="1" s="1"/>
  <c r="AB541" i="1"/>
  <c r="AD541" i="1" s="1"/>
  <c r="AB547" i="1"/>
  <c r="AD547" i="1" s="1"/>
  <c r="AB560" i="1"/>
  <c r="AD560" i="1" s="1"/>
  <c r="AB535" i="1"/>
  <c r="AD535" i="1" s="1"/>
  <c r="AB548" i="1"/>
  <c r="AD548" i="1" s="1"/>
  <c r="AB543" i="1"/>
  <c r="AD543" i="1" s="1"/>
  <c r="AB540" i="1"/>
  <c r="AD540" i="1" s="1"/>
  <c r="AB521" i="1"/>
  <c r="AD521" i="1" s="1"/>
  <c r="AB537" i="1"/>
  <c r="AD537" i="1" s="1"/>
  <c r="AB542" i="1"/>
  <c r="AD542" i="1" s="1"/>
  <c r="AB529" i="1"/>
  <c r="AD529" i="1" s="1"/>
  <c r="AB554" i="1"/>
  <c r="AD554" i="1" s="1"/>
  <c r="AB520" i="1"/>
  <c r="AD520" i="1" s="1"/>
  <c r="AB536" i="1"/>
  <c r="AD536" i="1" s="1"/>
  <c r="AB524" i="1"/>
  <c r="AD524" i="1" s="1"/>
  <c r="AB538" i="1"/>
  <c r="AD538" i="1" s="1"/>
  <c r="Y538" i="1"/>
  <c r="AB544" i="1"/>
  <c r="AD544" i="1" s="1"/>
  <c r="AB550" i="1"/>
  <c r="AD550" i="1" s="1"/>
  <c r="AB557" i="1"/>
  <c r="AD557" i="1" s="1"/>
  <c r="AB523" i="1"/>
  <c r="AD523" i="1" s="1"/>
  <c r="AB517" i="1"/>
  <c r="AD517" i="1" s="1"/>
  <c r="AB519" i="1"/>
  <c r="AD519" i="1" s="1"/>
  <c r="AB530" i="1"/>
  <c r="AD530" i="1" s="1"/>
  <c r="AB551" i="1"/>
  <c r="AD551" i="1" s="1"/>
  <c r="AB525" i="1"/>
  <c r="AD525" i="1" s="1"/>
  <c r="AB532" i="1"/>
  <c r="AD532" i="1" s="1"/>
  <c r="AB531" i="1"/>
  <c r="AD531" i="1" s="1"/>
  <c r="AB555" i="1"/>
  <c r="AD555" i="1" s="1"/>
  <c r="Q557" i="1"/>
  <c r="W557" i="1"/>
  <c r="Y557" i="1"/>
  <c r="Q556" i="1"/>
  <c r="Y556" i="1"/>
  <c r="W556" i="1"/>
  <c r="Q555" i="1"/>
  <c r="Y555" i="1"/>
  <c r="W555" i="1"/>
  <c r="Q554" i="1"/>
  <c r="W554" i="1"/>
  <c r="Y554" i="1"/>
  <c r="Q553" i="1"/>
  <c r="W553" i="1"/>
  <c r="Y553" i="1"/>
  <c r="Y552" i="1"/>
  <c r="Q552" i="1"/>
  <c r="W552" i="1"/>
  <c r="Q551" i="1"/>
  <c r="W551" i="1"/>
  <c r="Y551" i="1"/>
  <c r="Q546" i="1"/>
  <c r="W546" i="1"/>
  <c r="Y546" i="1"/>
  <c r="Q544" i="1"/>
  <c r="W544" i="1"/>
  <c r="Y544" i="1"/>
  <c r="Q542" i="1"/>
  <c r="Y542" i="1"/>
  <c r="W542" i="1"/>
  <c r="Q541" i="1"/>
  <c r="W541" i="1"/>
  <c r="Y541" i="1"/>
  <c r="W540" i="1"/>
  <c r="Q540" i="1"/>
  <c r="Y540" i="1"/>
  <c r="Q539" i="1"/>
  <c r="W539" i="1"/>
  <c r="Y539" i="1"/>
  <c r="Q535" i="1"/>
  <c r="W535" i="1"/>
  <c r="Y535" i="1"/>
  <c r="Q533" i="1"/>
  <c r="Y533" i="1"/>
  <c r="W533" i="1"/>
  <c r="Q532" i="1"/>
  <c r="Y532" i="1"/>
  <c r="W532" i="1"/>
  <c r="Q531" i="1"/>
  <c r="Y531" i="1"/>
  <c r="W531" i="1"/>
  <c r="Q530" i="1"/>
  <c r="W530" i="1"/>
  <c r="Y530" i="1"/>
  <c r="Y529" i="1"/>
  <c r="Q529" i="1"/>
  <c r="W529" i="1"/>
  <c r="Q527" i="1"/>
  <c r="W527" i="1"/>
  <c r="Y527" i="1"/>
  <c r="Q526" i="1"/>
  <c r="W526" i="1"/>
  <c r="Y526" i="1"/>
  <c r="W523" i="1"/>
  <c r="Q523" i="1"/>
  <c r="Y523" i="1"/>
  <c r="X386" i="1"/>
  <c r="Y521" i="1"/>
  <c r="Q521" i="1"/>
  <c r="W521" i="1"/>
  <c r="Q520" i="1"/>
  <c r="Y520" i="1"/>
  <c r="W520" i="1"/>
  <c r="X411" i="1"/>
  <c r="X480" i="1"/>
  <c r="Q519" i="1"/>
  <c r="W519" i="1"/>
  <c r="Y519" i="1"/>
  <c r="Q518" i="1"/>
  <c r="W518" i="1"/>
  <c r="Y518" i="1"/>
  <c r="AB515" i="1"/>
  <c r="AD515" i="1" s="1"/>
  <c r="AB513" i="1"/>
  <c r="AB514" i="1"/>
  <c r="AD514" i="1" s="1"/>
  <c r="X421" i="1"/>
  <c r="X434" i="1"/>
  <c r="X472" i="1"/>
  <c r="X512" i="1"/>
  <c r="X390" i="1"/>
  <c r="X457" i="1"/>
  <c r="X382" i="1"/>
  <c r="W515" i="1"/>
  <c r="Y515" i="1"/>
  <c r="Q515" i="1"/>
  <c r="X412" i="1"/>
  <c r="X469" i="1"/>
  <c r="X394" i="1"/>
  <c r="X439" i="1"/>
  <c r="X444" i="1"/>
  <c r="X388" i="1"/>
  <c r="X380" i="1"/>
  <c r="W514" i="1"/>
  <c r="Q514" i="1"/>
  <c r="Y514" i="1"/>
  <c r="X364" i="1"/>
  <c r="X450" i="1"/>
  <c r="X365" i="1"/>
  <c r="X451" i="1"/>
  <c r="X493" i="1"/>
  <c r="X391" i="1"/>
  <c r="X371" i="1"/>
  <c r="X491" i="1"/>
  <c r="X431" i="1"/>
  <c r="X418" i="1"/>
  <c r="X420" i="1"/>
  <c r="X475" i="1"/>
  <c r="X383" i="1"/>
  <c r="X442" i="1"/>
  <c r="X455" i="1"/>
  <c r="X468" i="1"/>
  <c r="X474" i="1"/>
  <c r="X481" i="1"/>
  <c r="Q513" i="1"/>
  <c r="W513" i="1"/>
  <c r="Y513" i="1"/>
  <c r="X363" i="1"/>
  <c r="X370" i="1"/>
  <c r="X419" i="1"/>
  <c r="X449" i="1"/>
  <c r="X496" i="1"/>
  <c r="X467" i="1"/>
  <c r="X440" i="1"/>
  <c r="X436" i="1"/>
  <c r="X393" i="1"/>
  <c r="X413" i="1"/>
  <c r="X456" i="1"/>
  <c r="X482" i="1"/>
  <c r="X387" i="1"/>
  <c r="X417" i="1"/>
  <c r="X500" i="1"/>
  <c r="X441" i="1"/>
  <c r="X499" i="1"/>
  <c r="X476" i="1"/>
  <c r="X448" i="1"/>
  <c r="X384" i="1"/>
  <c r="X422" i="1"/>
  <c r="X498" i="1"/>
  <c r="X385" i="1"/>
  <c r="X414" i="1"/>
  <c r="X415" i="1"/>
  <c r="X477" i="1"/>
  <c r="X492" i="1"/>
  <c r="X443" i="1"/>
  <c r="X511" i="1"/>
  <c r="X395" i="1"/>
  <c r="X366" i="1"/>
  <c r="X410" i="1"/>
  <c r="X437" i="1"/>
  <c r="X452" i="1"/>
  <c r="X471" i="1"/>
  <c r="X447" i="1"/>
  <c r="X495" i="1"/>
  <c r="X396" i="1"/>
  <c r="X361" i="1"/>
  <c r="X438" i="1"/>
  <c r="X453" i="1"/>
  <c r="X392" i="1"/>
  <c r="X379" i="1"/>
  <c r="X435" i="1"/>
  <c r="X445" i="1"/>
  <c r="X470" i="1"/>
  <c r="X466" i="1"/>
  <c r="X502" i="1"/>
  <c r="X490" i="1"/>
  <c r="X465" i="1"/>
  <c r="X389" i="1"/>
  <c r="X367" i="1"/>
  <c r="X416" i="1"/>
  <c r="X478" i="1"/>
  <c r="X501" i="1"/>
  <c r="X362" i="1"/>
  <c r="X446" i="1"/>
  <c r="X433" i="1"/>
  <c r="X454" i="1"/>
  <c r="X479" i="1"/>
  <c r="X494" i="1"/>
  <c r="X497" i="1"/>
  <c r="X368" i="1"/>
  <c r="X432" i="1"/>
  <c r="X473" i="1"/>
  <c r="X381" i="1"/>
  <c r="X369" i="1"/>
  <c r="X423" i="1"/>
  <c r="Y397" i="1"/>
  <c r="W397" i="1"/>
  <c r="Q483" i="1"/>
  <c r="W483" i="1"/>
  <c r="X489" i="1" s="1"/>
  <c r="Y458" i="1"/>
  <c r="W458" i="1"/>
  <c r="X464" i="1" s="1"/>
  <c r="Q424" i="1"/>
  <c r="W424" i="1"/>
  <c r="X430" i="1" s="1"/>
  <c r="Q403" i="1"/>
  <c r="W403" i="1"/>
  <c r="X409" i="1" s="1"/>
  <c r="AB508" i="1"/>
  <c r="AD508" i="1" s="1"/>
  <c r="W503" i="1"/>
  <c r="Q372" i="1"/>
  <c r="W372" i="1"/>
  <c r="X378" i="1" s="1"/>
  <c r="AB510" i="1"/>
  <c r="W504" i="1"/>
  <c r="X510" i="1" s="1"/>
  <c r="AC512" i="1"/>
  <c r="AB507" i="1"/>
  <c r="AD507" i="1" s="1"/>
  <c r="AB509" i="1"/>
  <c r="AD509" i="1" s="1"/>
  <c r="Q500" i="1"/>
  <c r="AB506" i="1"/>
  <c r="AD506" i="1" s="1"/>
  <c r="AB505" i="1"/>
  <c r="AD505" i="1" s="1"/>
  <c r="AB504" i="1"/>
  <c r="AD504" i="1" s="1"/>
  <c r="Q504" i="1"/>
  <c r="Y504" i="1"/>
  <c r="AB501" i="1"/>
  <c r="AD501" i="1" s="1"/>
  <c r="AB502" i="1"/>
  <c r="AD502" i="1" s="1"/>
  <c r="AB503" i="1"/>
  <c r="AD503" i="1" s="1"/>
  <c r="Q503" i="1"/>
  <c r="Y503" i="1"/>
  <c r="AB500" i="1"/>
  <c r="AD500" i="1" s="1"/>
  <c r="Y500" i="1"/>
  <c r="AB498" i="1"/>
  <c r="AD498" i="1" s="1"/>
  <c r="AB499" i="1"/>
  <c r="AD499" i="1" s="1"/>
  <c r="AB497" i="1"/>
  <c r="AD497" i="1" s="1"/>
  <c r="AB496" i="1"/>
  <c r="AD496" i="1" s="1"/>
  <c r="AB495" i="1"/>
  <c r="AD495" i="1" s="1"/>
  <c r="AB492" i="1"/>
  <c r="AD492" i="1" s="1"/>
  <c r="Q499" i="1"/>
  <c r="Y499" i="1"/>
  <c r="Q497" i="1"/>
  <c r="Y497" i="1"/>
  <c r="Q496" i="1"/>
  <c r="Y496" i="1"/>
  <c r="Q495" i="1"/>
  <c r="Y495" i="1"/>
  <c r="AB494" i="1"/>
  <c r="AD494" i="1" s="1"/>
  <c r="AB493" i="1"/>
  <c r="AD493" i="1" s="1"/>
  <c r="Y483" i="1"/>
  <c r="AB491" i="1"/>
  <c r="AD491" i="1" s="1"/>
  <c r="Q458" i="1"/>
  <c r="Q494" i="1"/>
  <c r="Y494" i="1"/>
  <c r="Q491" i="1"/>
  <c r="Y491" i="1"/>
  <c r="AB489" i="1"/>
  <c r="AD489" i="1" s="1"/>
  <c r="AB484" i="1"/>
  <c r="AD484" i="1" s="1"/>
  <c r="AB490" i="1"/>
  <c r="AD490" i="1" s="1"/>
  <c r="AB469" i="1"/>
  <c r="AD469" i="1" s="1"/>
  <c r="AB482" i="1"/>
  <c r="AD482" i="1" s="1"/>
  <c r="AB459" i="1"/>
  <c r="AD459" i="1" s="1"/>
  <c r="AB472" i="1"/>
  <c r="AD472" i="1" s="1"/>
  <c r="AB486" i="1"/>
  <c r="AD486" i="1" s="1"/>
  <c r="AB475" i="1"/>
  <c r="AD475" i="1" s="1"/>
  <c r="AB471" i="1"/>
  <c r="AD471" i="1" s="1"/>
  <c r="AB463" i="1"/>
  <c r="AD463" i="1" s="1"/>
  <c r="AB476" i="1"/>
  <c r="AD476" i="1" s="1"/>
  <c r="AB478" i="1"/>
  <c r="AD478" i="1" s="1"/>
  <c r="AB460" i="1"/>
  <c r="AD460" i="1" s="1"/>
  <c r="AB466" i="1"/>
  <c r="AD466" i="1" s="1"/>
  <c r="AB479" i="1"/>
  <c r="AD479" i="1" s="1"/>
  <c r="AB477" i="1"/>
  <c r="AD477" i="1" s="1"/>
  <c r="AB483" i="1"/>
  <c r="AD483" i="1" s="1"/>
  <c r="AB465" i="1"/>
  <c r="AD465" i="1" s="1"/>
  <c r="AB485" i="1"/>
  <c r="AD485" i="1" s="1"/>
  <c r="AB457" i="1"/>
  <c r="AD457" i="1" s="1"/>
  <c r="AB455" i="1"/>
  <c r="AD455" i="1" s="1"/>
  <c r="AB461" i="1"/>
  <c r="AD461" i="1" s="1"/>
  <c r="AB473" i="1"/>
  <c r="AD473" i="1" s="1"/>
  <c r="AB480" i="1"/>
  <c r="AD480" i="1" s="1"/>
  <c r="AB487" i="1"/>
  <c r="AD487" i="1" s="1"/>
  <c r="AB470" i="1"/>
  <c r="AD470" i="1" s="1"/>
  <c r="AB458" i="1"/>
  <c r="AD458" i="1" s="1"/>
  <c r="AB464" i="1"/>
  <c r="AD464" i="1" s="1"/>
  <c r="AB468" i="1"/>
  <c r="AD468" i="1" s="1"/>
  <c r="AB474" i="1"/>
  <c r="AD474" i="1" s="1"/>
  <c r="AB481" i="1"/>
  <c r="AD481" i="1" s="1"/>
  <c r="AB488" i="1"/>
  <c r="AD488" i="1" s="1"/>
  <c r="AB467" i="1"/>
  <c r="AD467" i="1" s="1"/>
  <c r="AB456" i="1"/>
  <c r="AD456" i="1" s="1"/>
  <c r="AB462" i="1"/>
  <c r="AD462" i="1" s="1"/>
  <c r="Q490" i="1"/>
  <c r="Y490" i="1"/>
  <c r="Q488" i="1"/>
  <c r="Y488" i="1"/>
  <c r="Q487" i="1"/>
  <c r="Y487" i="1"/>
  <c r="Q486" i="1"/>
  <c r="Y486" i="1"/>
  <c r="Q485" i="1"/>
  <c r="Y485" i="1"/>
  <c r="Q482" i="1"/>
  <c r="Y482" i="1"/>
  <c r="Q481" i="1"/>
  <c r="Y481" i="1"/>
  <c r="Q479" i="1"/>
  <c r="Y479" i="1"/>
  <c r="Y478" i="1"/>
  <c r="Q478" i="1"/>
  <c r="Q477" i="1"/>
  <c r="Y477" i="1"/>
  <c r="Q476" i="1"/>
  <c r="Y476" i="1"/>
  <c r="Q475" i="1"/>
  <c r="Y475" i="1"/>
  <c r="Q474" i="1"/>
  <c r="Y474" i="1"/>
  <c r="Q473" i="1"/>
  <c r="Y473" i="1"/>
  <c r="Q472" i="1"/>
  <c r="Y472" i="1"/>
  <c r="Q471" i="1"/>
  <c r="Y471" i="1"/>
  <c r="Y470" i="1"/>
  <c r="Q470" i="1"/>
  <c r="Q468" i="1"/>
  <c r="Y468" i="1"/>
  <c r="Y467" i="1"/>
  <c r="Q467" i="1"/>
  <c r="Q465" i="1"/>
  <c r="Y465" i="1"/>
  <c r="Q463" i="1"/>
  <c r="Y463" i="1"/>
  <c r="Q462" i="1"/>
  <c r="Y462" i="1"/>
  <c r="Y460" i="1"/>
  <c r="Q460" i="1"/>
  <c r="Q457" i="1"/>
  <c r="Y457" i="1"/>
  <c r="Q456" i="1"/>
  <c r="Y456" i="1"/>
  <c r="AB429" i="1"/>
  <c r="AD429" i="1" s="1"/>
  <c r="Y424" i="1"/>
  <c r="Q397" i="1"/>
  <c r="AB437" i="1"/>
  <c r="AD437" i="1" s="1"/>
  <c r="AB452" i="1"/>
  <c r="AD452" i="1" s="1"/>
  <c r="AB450" i="1"/>
  <c r="AD450" i="1" s="1"/>
  <c r="AB430" i="1"/>
  <c r="AD430" i="1" s="1"/>
  <c r="AB451" i="1"/>
  <c r="AD451" i="1" s="1"/>
  <c r="AB449" i="1"/>
  <c r="AD449" i="1" s="1"/>
  <c r="AB415" i="1"/>
  <c r="AD415" i="1" s="1"/>
  <c r="AB453" i="1"/>
  <c r="AD453" i="1" s="1"/>
  <c r="AB454" i="1"/>
  <c r="AD454" i="1" s="1"/>
  <c r="Q454" i="1"/>
  <c r="Y454" i="1"/>
  <c r="Q453" i="1"/>
  <c r="Y453" i="1"/>
  <c r="Q452" i="1"/>
  <c r="Y452" i="1"/>
  <c r="Q450" i="1"/>
  <c r="Y450" i="1"/>
  <c r="Q449" i="1"/>
  <c r="Y449" i="1"/>
  <c r="AB422" i="1"/>
  <c r="AD422" i="1" s="1"/>
  <c r="AB433" i="1"/>
  <c r="AD433" i="1" s="1"/>
  <c r="AB435" i="1"/>
  <c r="AD435" i="1" s="1"/>
  <c r="AB436" i="1"/>
  <c r="AD436" i="1" s="1"/>
  <c r="AB420" i="1"/>
  <c r="AD420" i="1" s="1"/>
  <c r="AB446" i="1"/>
  <c r="AD446" i="1" s="1"/>
  <c r="AB410" i="1"/>
  <c r="AD410" i="1" s="1"/>
  <c r="AB444" i="1"/>
  <c r="AD444" i="1" s="1"/>
  <c r="AB424" i="1"/>
  <c r="AD424" i="1" s="1"/>
  <c r="AB409" i="1"/>
  <c r="AD409" i="1" s="1"/>
  <c r="AB439" i="1"/>
  <c r="AD439" i="1" s="1"/>
  <c r="AB448" i="1"/>
  <c r="AD448" i="1" s="1"/>
  <c r="AB417" i="1"/>
  <c r="AD417" i="1" s="1"/>
  <c r="AB416" i="1"/>
  <c r="AD416" i="1" s="1"/>
  <c r="AB440" i="1"/>
  <c r="AD440" i="1" s="1"/>
  <c r="AB405" i="1"/>
  <c r="AD405" i="1" s="1"/>
  <c r="AB419" i="1"/>
  <c r="AD419" i="1" s="1"/>
  <c r="AB423" i="1"/>
  <c r="AD423" i="1" s="1"/>
  <c r="Q405" i="1"/>
  <c r="AB411" i="1"/>
  <c r="AD411" i="1" s="1"/>
  <c r="AB427" i="1"/>
  <c r="AD427" i="1" s="1"/>
  <c r="AB412" i="1"/>
  <c r="AD412" i="1" s="1"/>
  <c r="AB418" i="1"/>
  <c r="AD418" i="1" s="1"/>
  <c r="AB432" i="1"/>
  <c r="AD432" i="1" s="1"/>
  <c r="AB438" i="1"/>
  <c r="AD438" i="1" s="1"/>
  <c r="AB447" i="1"/>
  <c r="AD447" i="1" s="1"/>
  <c r="AB421" i="1"/>
  <c r="AD421" i="1" s="1"/>
  <c r="AB434" i="1"/>
  <c r="AD434" i="1" s="1"/>
  <c r="AB407" i="1"/>
  <c r="AD407" i="1" s="1"/>
  <c r="AB445" i="1"/>
  <c r="AD445" i="1" s="1"/>
  <c r="AB413" i="1"/>
  <c r="AD413" i="1" s="1"/>
  <c r="AB443" i="1"/>
  <c r="AD443" i="1" s="1"/>
  <c r="AB408" i="1"/>
  <c r="AD408" i="1" s="1"/>
  <c r="AB426" i="1"/>
  <c r="AD426" i="1" s="1"/>
  <c r="Y403" i="1"/>
  <c r="AB414" i="1"/>
  <c r="AD414" i="1" s="1"/>
  <c r="AB428" i="1"/>
  <c r="AD428" i="1" s="1"/>
  <c r="AB425" i="1"/>
  <c r="AD425" i="1" s="1"/>
  <c r="AB442" i="1"/>
  <c r="AD442" i="1" s="1"/>
  <c r="AB441" i="1"/>
  <c r="AD441" i="1" s="1"/>
  <c r="AB431" i="1"/>
  <c r="AD431" i="1" s="1"/>
  <c r="AB406" i="1"/>
  <c r="AD406" i="1" s="1"/>
  <c r="Q448" i="1"/>
  <c r="Y448" i="1"/>
  <c r="Q447" i="1"/>
  <c r="Y447" i="1"/>
  <c r="Q446" i="1"/>
  <c r="Y446" i="1"/>
  <c r="Q444" i="1"/>
  <c r="Y444" i="1"/>
  <c r="Q443" i="1"/>
  <c r="Y443" i="1"/>
  <c r="Q438" i="1"/>
  <c r="Y438" i="1"/>
  <c r="Q436" i="1"/>
  <c r="Y436" i="1"/>
  <c r="Q432" i="1"/>
  <c r="Y432" i="1"/>
  <c r="Q431" i="1"/>
  <c r="Y431" i="1"/>
  <c r="Y427" i="1"/>
  <c r="Q427" i="1"/>
  <c r="Q426" i="1"/>
  <c r="Y426" i="1"/>
  <c r="Q423" i="1"/>
  <c r="Y423" i="1"/>
  <c r="Q422" i="1"/>
  <c r="Y422" i="1"/>
  <c r="Q419" i="1"/>
  <c r="Y419" i="1"/>
  <c r="Q418" i="1"/>
  <c r="Y418" i="1"/>
  <c r="Q416" i="1"/>
  <c r="Y416" i="1"/>
  <c r="Q415" i="1"/>
  <c r="Y415" i="1"/>
  <c r="Q413" i="1"/>
  <c r="Y413" i="1"/>
  <c r="Q412" i="1"/>
  <c r="Y412" i="1"/>
  <c r="Q410" i="1"/>
  <c r="Y410" i="1"/>
  <c r="Q409" i="1"/>
  <c r="Y409" i="1"/>
  <c r="Q408" i="1"/>
  <c r="Y408" i="1"/>
  <c r="Q407" i="1"/>
  <c r="Y407" i="1"/>
  <c r="Q406" i="1"/>
  <c r="Y406" i="1"/>
  <c r="Y405" i="1"/>
  <c r="AB400" i="1"/>
  <c r="AD400" i="1" s="1"/>
  <c r="AB401" i="1"/>
  <c r="AD401" i="1" s="1"/>
  <c r="AB402" i="1"/>
  <c r="AD402" i="1" s="1"/>
  <c r="AB397" i="1"/>
  <c r="AD397" i="1" s="1"/>
  <c r="AB398" i="1"/>
  <c r="AD398" i="1" s="1"/>
  <c r="AB396" i="1"/>
  <c r="AD396" i="1" s="1"/>
  <c r="AB403" i="1"/>
  <c r="AD403" i="1" s="1"/>
  <c r="AB404" i="1"/>
  <c r="AD404" i="1" s="1"/>
  <c r="AB399" i="1"/>
  <c r="AD399" i="1" s="1"/>
  <c r="Q404" i="1"/>
  <c r="Y404" i="1"/>
  <c r="Q402" i="1"/>
  <c r="Y402" i="1"/>
  <c r="Q401" i="1"/>
  <c r="Y401" i="1"/>
  <c r="Y399" i="1"/>
  <c r="Q399" i="1"/>
  <c r="Q398" i="1"/>
  <c r="Y398" i="1"/>
  <c r="Q396" i="1"/>
  <c r="Y396" i="1"/>
  <c r="AB385" i="1"/>
  <c r="AD385" i="1" s="1"/>
  <c r="AB386" i="1"/>
  <c r="AD386" i="1" s="1"/>
  <c r="AB387" i="1"/>
  <c r="AD387" i="1" s="1"/>
  <c r="AB393" i="1"/>
  <c r="AD393" i="1" s="1"/>
  <c r="AB388" i="1"/>
  <c r="AD388" i="1" s="1"/>
  <c r="AB394" i="1"/>
  <c r="AD394" i="1" s="1"/>
  <c r="AB395" i="1"/>
  <c r="AD395" i="1" s="1"/>
  <c r="AB389" i="1"/>
  <c r="AD389" i="1" s="1"/>
  <c r="AB391" i="1"/>
  <c r="AD391" i="1" s="1"/>
  <c r="AB390" i="1"/>
  <c r="AD390" i="1" s="1"/>
  <c r="AB392" i="1"/>
  <c r="AD392" i="1" s="1"/>
  <c r="Q395" i="1"/>
  <c r="Y395" i="1"/>
  <c r="Q394" i="1"/>
  <c r="Y394" i="1"/>
  <c r="Q391" i="1"/>
  <c r="Y391" i="1"/>
  <c r="Q390" i="1"/>
  <c r="Y390" i="1"/>
  <c r="Q389" i="1"/>
  <c r="Y389" i="1"/>
  <c r="Q388" i="1"/>
  <c r="Y388" i="1"/>
  <c r="Q387" i="1"/>
  <c r="Y387" i="1"/>
  <c r="AB384" i="1"/>
  <c r="AD384" i="1" s="1"/>
  <c r="AB382" i="1"/>
  <c r="AD382" i="1" s="1"/>
  <c r="AB381" i="1"/>
  <c r="AD381" i="1" s="1"/>
  <c r="AB383" i="1"/>
  <c r="AD383" i="1" s="1"/>
  <c r="Q382" i="1"/>
  <c r="Y382" i="1"/>
  <c r="AB380" i="1"/>
  <c r="AD380" i="1" s="1"/>
  <c r="Q380" i="1"/>
  <c r="Y380" i="1"/>
  <c r="AB377" i="1"/>
  <c r="AD377" i="1" s="1"/>
  <c r="AB378" i="1"/>
  <c r="AD378" i="1" s="1"/>
  <c r="AB379" i="1"/>
  <c r="AD379" i="1" s="1"/>
  <c r="Q378" i="1"/>
  <c r="Y378" i="1"/>
  <c r="AB361" i="1"/>
  <c r="AD361" i="1" s="1"/>
  <c r="AB372" i="1"/>
  <c r="AD372" i="1" s="1"/>
  <c r="AB373" i="1"/>
  <c r="AD373" i="1" s="1"/>
  <c r="AB375" i="1"/>
  <c r="AD375" i="1" s="1"/>
  <c r="AB376" i="1"/>
  <c r="AD376" i="1" s="1"/>
  <c r="Y372" i="1"/>
  <c r="AB366" i="1"/>
  <c r="AD366" i="1" s="1"/>
  <c r="AB367" i="1"/>
  <c r="AD367" i="1" s="1"/>
  <c r="AB368" i="1"/>
  <c r="AD368" i="1" s="1"/>
  <c r="AB374" i="1"/>
  <c r="AD374" i="1" s="1"/>
  <c r="AB365" i="1"/>
  <c r="AD365" i="1" s="1"/>
  <c r="AB369" i="1"/>
  <c r="AD369" i="1" s="1"/>
  <c r="AB363" i="1"/>
  <c r="AD363" i="1" s="1"/>
  <c r="AB370" i="1"/>
  <c r="AD370" i="1" s="1"/>
  <c r="AB362" i="1"/>
  <c r="AD362" i="1" s="1"/>
  <c r="AB364" i="1"/>
  <c r="AD364" i="1" s="1"/>
  <c r="AB371" i="1"/>
  <c r="AD371" i="1" s="1"/>
  <c r="Q371" i="1"/>
  <c r="Y371" i="1"/>
  <c r="Y369" i="1"/>
  <c r="Q369" i="1"/>
  <c r="Q368" i="1"/>
  <c r="Y368" i="1"/>
  <c r="Q367" i="1"/>
  <c r="Y367" i="1"/>
  <c r="Q366" i="1"/>
  <c r="Y366" i="1"/>
  <c r="Y365" i="1"/>
  <c r="Q365" i="1"/>
  <c r="Q364" i="1"/>
  <c r="Y364" i="1"/>
  <c r="Y362" i="1"/>
  <c r="Q362" i="1"/>
  <c r="Q361" i="1"/>
  <c r="Y361" i="1"/>
  <c r="Y360" i="1"/>
  <c r="Q360" i="1"/>
  <c r="Q358" i="1"/>
  <c r="Y358" i="1"/>
  <c r="Q357" i="1"/>
  <c r="Y357" i="1"/>
  <c r="F354" i="1"/>
  <c r="N354" i="1"/>
  <c r="O354" i="1"/>
  <c r="P360" i="1" s="1"/>
  <c r="S354" i="1"/>
  <c r="V354" i="1"/>
  <c r="F353" i="1"/>
  <c r="N353" i="1"/>
  <c r="O353" i="1"/>
  <c r="S353" i="1"/>
  <c r="V353" i="1"/>
  <c r="F352" i="1"/>
  <c r="N352" i="1"/>
  <c r="O352" i="1"/>
  <c r="S352" i="1"/>
  <c r="V352" i="1"/>
  <c r="F351" i="1"/>
  <c r="N351" i="1"/>
  <c r="O351" i="1"/>
  <c r="S351" i="1"/>
  <c r="V351" i="1"/>
  <c r="F350" i="1"/>
  <c r="N350" i="1"/>
  <c r="O350" i="1"/>
  <c r="S350" i="1"/>
  <c r="V350" i="1"/>
  <c r="F349" i="1"/>
  <c r="N349" i="1"/>
  <c r="O349" i="1"/>
  <c r="S349" i="1"/>
  <c r="V349" i="1"/>
  <c r="F348" i="1"/>
  <c r="N348" i="1"/>
  <c r="H348" i="1" s="1"/>
  <c r="O348" i="1"/>
  <c r="S348" i="1"/>
  <c r="V348" i="1"/>
  <c r="F347" i="1"/>
  <c r="N347" i="1"/>
  <c r="O347" i="1"/>
  <c r="S347" i="1"/>
  <c r="V347" i="1"/>
  <c r="F346" i="1"/>
  <c r="N346" i="1"/>
  <c r="H346" i="1" s="1"/>
  <c r="O346" i="1"/>
  <c r="S346" i="1"/>
  <c r="V346" i="1"/>
  <c r="F345" i="1"/>
  <c r="N345" i="1"/>
  <c r="H345" i="1" s="1"/>
  <c r="O345" i="1"/>
  <c r="S345" i="1"/>
  <c r="V345" i="1"/>
  <c r="F344" i="1"/>
  <c r="N344" i="1"/>
  <c r="H344" i="1" s="1"/>
  <c r="O344" i="1"/>
  <c r="S344" i="1"/>
  <c r="V344" i="1"/>
  <c r="F343" i="1"/>
  <c r="N343" i="1"/>
  <c r="H343" i="1" s="1"/>
  <c r="O343" i="1"/>
  <c r="S343" i="1"/>
  <c r="V343" i="1"/>
  <c r="F342" i="1"/>
  <c r="N342" i="1"/>
  <c r="O342" i="1"/>
  <c r="S342" i="1"/>
  <c r="V342" i="1"/>
  <c r="F341" i="1"/>
  <c r="N341" i="1"/>
  <c r="H341" i="1" s="1"/>
  <c r="O341" i="1"/>
  <c r="S341" i="1"/>
  <c r="V341" i="1"/>
  <c r="F340" i="1"/>
  <c r="N340" i="1"/>
  <c r="H340" i="1" s="1"/>
  <c r="O340" i="1"/>
  <c r="S340" i="1"/>
  <c r="V340" i="1"/>
  <c r="F339" i="1"/>
  <c r="N339" i="1"/>
  <c r="O339" i="1"/>
  <c r="S339" i="1"/>
  <c r="V339" i="1"/>
  <c r="F338" i="1"/>
  <c r="N338" i="1"/>
  <c r="O338" i="1"/>
  <c r="S338" i="1"/>
  <c r="V338" i="1"/>
  <c r="F337" i="1"/>
  <c r="N337" i="1"/>
  <c r="H337" i="1" s="1"/>
  <c r="O337" i="1"/>
  <c r="S337" i="1"/>
  <c r="V337" i="1"/>
  <c r="F336" i="1"/>
  <c r="N336" i="1"/>
  <c r="H336" i="1" s="1"/>
  <c r="O336" i="1"/>
  <c r="S336" i="1"/>
  <c r="V336" i="1"/>
  <c r="F335" i="1"/>
  <c r="N335" i="1"/>
  <c r="H335" i="1" s="1"/>
  <c r="O335" i="1"/>
  <c r="S335" i="1"/>
  <c r="V335" i="1"/>
  <c r="F334" i="1"/>
  <c r="N334" i="1"/>
  <c r="O334" i="1"/>
  <c r="S334" i="1"/>
  <c r="V334" i="1"/>
  <c r="F333" i="1"/>
  <c r="N333" i="1"/>
  <c r="O333" i="1"/>
  <c r="S333" i="1"/>
  <c r="V333" i="1"/>
  <c r="F332" i="1"/>
  <c r="N332" i="1"/>
  <c r="H332" i="1" s="1"/>
  <c r="O332" i="1"/>
  <c r="S332" i="1"/>
  <c r="V332" i="1"/>
  <c r="F331" i="1"/>
  <c r="N331" i="1"/>
  <c r="H331" i="1" s="1"/>
  <c r="O331" i="1"/>
  <c r="S331" i="1"/>
  <c r="V331" i="1"/>
  <c r="F330" i="1"/>
  <c r="N330" i="1"/>
  <c r="H330" i="1" s="1"/>
  <c r="O330" i="1"/>
  <c r="S330" i="1"/>
  <c r="V330" i="1"/>
  <c r="F329" i="1"/>
  <c r="N329" i="1"/>
  <c r="H329" i="1" s="1"/>
  <c r="O329" i="1"/>
  <c r="S329" i="1"/>
  <c r="V329" i="1"/>
  <c r="F328" i="1"/>
  <c r="N328" i="1"/>
  <c r="H328" i="1" s="1"/>
  <c r="O328" i="1"/>
  <c r="S328" i="1"/>
  <c r="V328" i="1"/>
  <c r="F327" i="1"/>
  <c r="N327" i="1"/>
  <c r="H327" i="1" s="1"/>
  <c r="O327" i="1"/>
  <c r="S327" i="1"/>
  <c r="V327" i="1"/>
  <c r="F326" i="1"/>
  <c r="N326" i="1"/>
  <c r="H326" i="1" s="1"/>
  <c r="O326" i="1"/>
  <c r="S326" i="1"/>
  <c r="V326" i="1"/>
  <c r="F325" i="1"/>
  <c r="N325" i="1"/>
  <c r="H325" i="1" s="1"/>
  <c r="O325" i="1"/>
  <c r="S325" i="1"/>
  <c r="V325" i="1"/>
  <c r="F324" i="1"/>
  <c r="N324" i="1"/>
  <c r="H324" i="1" s="1"/>
  <c r="O324" i="1"/>
  <c r="S324" i="1"/>
  <c r="V324" i="1"/>
  <c r="F323" i="1"/>
  <c r="N323" i="1"/>
  <c r="O323" i="1"/>
  <c r="S323" i="1"/>
  <c r="V323" i="1"/>
  <c r="F322" i="1"/>
  <c r="N322" i="1"/>
  <c r="H322" i="1" s="1"/>
  <c r="O322" i="1"/>
  <c r="S322" i="1"/>
  <c r="V322" i="1"/>
  <c r="F321" i="1"/>
  <c r="N321" i="1"/>
  <c r="H321" i="1" s="1"/>
  <c r="O321" i="1"/>
  <c r="S321" i="1"/>
  <c r="V321" i="1"/>
  <c r="F320" i="1"/>
  <c r="N320" i="1"/>
  <c r="H320" i="1" s="1"/>
  <c r="O320" i="1"/>
  <c r="S320" i="1"/>
  <c r="V320" i="1"/>
  <c r="F319" i="1"/>
  <c r="N319" i="1"/>
  <c r="H319" i="1" s="1"/>
  <c r="O319" i="1"/>
  <c r="S319" i="1"/>
  <c r="V319" i="1"/>
  <c r="F318" i="1"/>
  <c r="N318" i="1"/>
  <c r="H318" i="1" s="1"/>
  <c r="O318" i="1"/>
  <c r="S318" i="1"/>
  <c r="V318" i="1"/>
  <c r="F317" i="1"/>
  <c r="N317" i="1"/>
  <c r="O317" i="1"/>
  <c r="S317" i="1"/>
  <c r="V317" i="1"/>
  <c r="F316" i="1"/>
  <c r="N316" i="1"/>
  <c r="H316" i="1" s="1"/>
  <c r="O316" i="1"/>
  <c r="S316" i="1"/>
  <c r="V316" i="1"/>
  <c r="F315" i="1"/>
  <c r="N315" i="1"/>
  <c r="H315" i="1" s="1"/>
  <c r="O315" i="1"/>
  <c r="S315" i="1"/>
  <c r="V315" i="1"/>
  <c r="F314" i="1"/>
  <c r="N314" i="1"/>
  <c r="H314" i="1" s="1"/>
  <c r="O314" i="1"/>
  <c r="S314" i="1"/>
  <c r="V314" i="1"/>
  <c r="F313" i="1"/>
  <c r="N313" i="1"/>
  <c r="H313" i="1" s="1"/>
  <c r="O313" i="1"/>
  <c r="S313" i="1"/>
  <c r="V313" i="1"/>
  <c r="F312" i="1"/>
  <c r="N312" i="1"/>
  <c r="H312" i="1" s="1"/>
  <c r="O312" i="1"/>
  <c r="S312" i="1"/>
  <c r="V312" i="1"/>
  <c r="F311" i="1"/>
  <c r="N311" i="1"/>
  <c r="H311" i="1" s="1"/>
  <c r="O311" i="1"/>
  <c r="S311" i="1"/>
  <c r="V311" i="1"/>
  <c r="F310" i="1"/>
  <c r="N310" i="1"/>
  <c r="O310" i="1"/>
  <c r="S310" i="1"/>
  <c r="V310" i="1"/>
  <c r="F309" i="1"/>
  <c r="N309" i="1"/>
  <c r="H309" i="1" s="1"/>
  <c r="O309" i="1"/>
  <c r="S309" i="1"/>
  <c r="V309" i="1"/>
  <c r="F308" i="1"/>
  <c r="N308" i="1"/>
  <c r="H308" i="1" s="1"/>
  <c r="O308" i="1"/>
  <c r="S308" i="1"/>
  <c r="V308" i="1"/>
  <c r="F307" i="1"/>
  <c r="N307" i="1"/>
  <c r="H307" i="1" s="1"/>
  <c r="O307" i="1"/>
  <c r="S307" i="1"/>
  <c r="V307" i="1"/>
  <c r="F306" i="1"/>
  <c r="N306" i="1"/>
  <c r="H306" i="1" s="1"/>
  <c r="O306" i="1"/>
  <c r="S306" i="1"/>
  <c r="V306" i="1"/>
  <c r="F305" i="1"/>
  <c r="N305" i="1"/>
  <c r="H305" i="1" s="1"/>
  <c r="O305" i="1"/>
  <c r="S305" i="1"/>
  <c r="V305" i="1"/>
  <c r="F304" i="1"/>
  <c r="N304" i="1"/>
  <c r="H304" i="1" s="1"/>
  <c r="O304" i="1"/>
  <c r="S304" i="1"/>
  <c r="V304" i="1"/>
  <c r="F303" i="1"/>
  <c r="N303" i="1"/>
  <c r="H303" i="1" s="1"/>
  <c r="O303" i="1"/>
  <c r="S303" i="1"/>
  <c r="V303" i="1"/>
  <c r="F302" i="1"/>
  <c r="N302" i="1"/>
  <c r="H302" i="1" s="1"/>
  <c r="O302" i="1"/>
  <c r="S302" i="1"/>
  <c r="V302" i="1"/>
  <c r="F301" i="1"/>
  <c r="N301" i="1"/>
  <c r="H301" i="1" s="1"/>
  <c r="O301" i="1"/>
  <c r="S301" i="1"/>
  <c r="V301" i="1"/>
  <c r="F300" i="1"/>
  <c r="N300" i="1"/>
  <c r="H300" i="1" s="1"/>
  <c r="O300" i="1"/>
  <c r="S300" i="1"/>
  <c r="V300" i="1"/>
  <c r="F299" i="1"/>
  <c r="N299" i="1"/>
  <c r="H299" i="1" s="1"/>
  <c r="O299" i="1"/>
  <c r="S299" i="1"/>
  <c r="V299" i="1"/>
  <c r="F298" i="1"/>
  <c r="N298" i="1"/>
  <c r="H298" i="1" s="1"/>
  <c r="O298" i="1"/>
  <c r="S298" i="1"/>
  <c r="V298" i="1"/>
  <c r="F297" i="1"/>
  <c r="N297" i="1"/>
  <c r="H297" i="1" s="1"/>
  <c r="O297" i="1"/>
  <c r="S297" i="1"/>
  <c r="V297" i="1"/>
  <c r="F296" i="1"/>
  <c r="N296" i="1"/>
  <c r="H296" i="1" s="1"/>
  <c r="O296" i="1"/>
  <c r="S296" i="1"/>
  <c r="V296" i="1"/>
  <c r="F295" i="1"/>
  <c r="N295" i="1"/>
  <c r="H295" i="1" s="1"/>
  <c r="O295" i="1"/>
  <c r="S295" i="1"/>
  <c r="V295" i="1"/>
  <c r="F294" i="1"/>
  <c r="N294" i="1"/>
  <c r="H294" i="1" s="1"/>
  <c r="O294" i="1"/>
  <c r="S294" i="1"/>
  <c r="V294" i="1"/>
  <c r="F293" i="1"/>
  <c r="N293" i="1"/>
  <c r="H293" i="1" s="1"/>
  <c r="O293" i="1"/>
  <c r="S293" i="1"/>
  <c r="V293" i="1"/>
  <c r="V292" i="1"/>
  <c r="O292" i="1"/>
  <c r="S292" i="1"/>
  <c r="N292" i="1"/>
  <c r="H292" i="1" s="1"/>
  <c r="F292" i="1"/>
  <c r="V291" i="1"/>
  <c r="O291" i="1"/>
  <c r="S291" i="1"/>
  <c r="N291" i="1"/>
  <c r="H291" i="1" s="1"/>
  <c r="F291" i="1"/>
  <c r="V290" i="1"/>
  <c r="O290" i="1"/>
  <c r="S290" i="1"/>
  <c r="N290" i="1"/>
  <c r="H290" i="1" s="1"/>
  <c r="F290" i="1"/>
  <c r="V289" i="1"/>
  <c r="O289" i="1"/>
  <c r="S289" i="1"/>
  <c r="N289" i="1"/>
  <c r="H289" i="1" s="1"/>
  <c r="F289" i="1"/>
  <c r="V288" i="1"/>
  <c r="O288" i="1"/>
  <c r="S288" i="1"/>
  <c r="N288" i="1"/>
  <c r="F288" i="1"/>
  <c r="V287" i="1"/>
  <c r="O287" i="1"/>
  <c r="S287" i="1"/>
  <c r="N287" i="1"/>
  <c r="H287" i="1" s="1"/>
  <c r="F287" i="1"/>
  <c r="V286" i="1"/>
  <c r="O286" i="1"/>
  <c r="S286" i="1"/>
  <c r="N286" i="1"/>
  <c r="H286" i="1" s="1"/>
  <c r="F286" i="1"/>
  <c r="V285" i="1"/>
  <c r="O285" i="1"/>
  <c r="S285" i="1"/>
  <c r="N285" i="1"/>
  <c r="H285" i="1" s="1"/>
  <c r="F285" i="1"/>
  <c r="V284" i="1"/>
  <c r="O284" i="1"/>
  <c r="S284" i="1"/>
  <c r="N284" i="1"/>
  <c r="H284" i="1" s="1"/>
  <c r="F284" i="1"/>
  <c r="V283" i="1"/>
  <c r="O283" i="1"/>
  <c r="S283" i="1"/>
  <c r="N283" i="1"/>
  <c r="F283" i="1"/>
  <c r="V282" i="1"/>
  <c r="O282" i="1"/>
  <c r="S282" i="1"/>
  <c r="N282" i="1"/>
  <c r="H282" i="1" s="1"/>
  <c r="F282" i="1"/>
  <c r="V281" i="1"/>
  <c r="O281" i="1"/>
  <c r="S281" i="1"/>
  <c r="N281" i="1"/>
  <c r="F281" i="1"/>
  <c r="V280" i="1"/>
  <c r="O280" i="1"/>
  <c r="S280" i="1"/>
  <c r="N280" i="1"/>
  <c r="H280" i="1" s="1"/>
  <c r="F280" i="1"/>
  <c r="V279" i="1"/>
  <c r="O279" i="1"/>
  <c r="S279" i="1"/>
  <c r="N279" i="1"/>
  <c r="H279" i="1" s="1"/>
  <c r="F279" i="1"/>
  <c r="V278" i="1"/>
  <c r="O278" i="1"/>
  <c r="S278" i="1"/>
  <c r="N278" i="1"/>
  <c r="H278" i="1" s="1"/>
  <c r="F278" i="1"/>
  <c r="V277" i="1"/>
  <c r="O277" i="1"/>
  <c r="S277" i="1"/>
  <c r="N277" i="1"/>
  <c r="H277" i="1" s="1"/>
  <c r="F277" i="1"/>
  <c r="V276" i="1"/>
  <c r="O276" i="1"/>
  <c r="S276" i="1"/>
  <c r="N276" i="1"/>
  <c r="H276" i="1" s="1"/>
  <c r="F276" i="1"/>
  <c r="V275" i="1"/>
  <c r="O275" i="1"/>
  <c r="S275" i="1"/>
  <c r="N275" i="1"/>
  <c r="H275" i="1" s="1"/>
  <c r="F275" i="1"/>
  <c r="V274" i="1"/>
  <c r="O274" i="1"/>
  <c r="S274" i="1"/>
  <c r="N274" i="1"/>
  <c r="H274" i="1" s="1"/>
  <c r="F274" i="1"/>
  <c r="V273" i="1"/>
  <c r="O273" i="1"/>
  <c r="S273" i="1"/>
  <c r="N273" i="1"/>
  <c r="F273" i="1"/>
  <c r="V272" i="1"/>
  <c r="O272" i="1"/>
  <c r="S272" i="1"/>
  <c r="F272" i="1"/>
  <c r="N272" i="1"/>
  <c r="H272" i="1" s="1"/>
  <c r="V271" i="1"/>
  <c r="O271" i="1"/>
  <c r="S271" i="1"/>
  <c r="N271" i="1"/>
  <c r="H271" i="1" s="1"/>
  <c r="F271" i="1"/>
  <c r="V270" i="1"/>
  <c r="O270" i="1"/>
  <c r="S270" i="1"/>
  <c r="N270" i="1"/>
  <c r="H270" i="1" s="1"/>
  <c r="F270" i="1"/>
  <c r="V269" i="1"/>
  <c r="O269" i="1"/>
  <c r="S269" i="1"/>
  <c r="N269" i="1"/>
  <c r="H269" i="1" s="1"/>
  <c r="F269" i="1"/>
  <c r="V268" i="1"/>
  <c r="O268" i="1"/>
  <c r="S268" i="1"/>
  <c r="N268" i="1"/>
  <c r="H268" i="1" s="1"/>
  <c r="F268" i="1"/>
  <c r="V267" i="1"/>
  <c r="O267" i="1"/>
  <c r="S267" i="1"/>
  <c r="N267" i="1"/>
  <c r="H267" i="1" s="1"/>
  <c r="F267" i="1"/>
  <c r="V266" i="1"/>
  <c r="O266" i="1"/>
  <c r="S266" i="1"/>
  <c r="N266" i="1"/>
  <c r="H266" i="1" s="1"/>
  <c r="F266" i="1"/>
  <c r="V265" i="1"/>
  <c r="O265" i="1"/>
  <c r="S265" i="1"/>
  <c r="N265" i="1"/>
  <c r="H265" i="1" s="1"/>
  <c r="F265" i="1"/>
  <c r="V264" i="1"/>
  <c r="O264" i="1"/>
  <c r="S264" i="1"/>
  <c r="N264" i="1"/>
  <c r="H264" i="1" s="1"/>
  <c r="F264" i="1"/>
  <c r="V263" i="1"/>
  <c r="O263" i="1"/>
  <c r="S263" i="1"/>
  <c r="N263" i="1"/>
  <c r="H263" i="1" s="1"/>
  <c r="F263" i="1"/>
  <c r="V262" i="1"/>
  <c r="O262" i="1"/>
  <c r="S262" i="1"/>
  <c r="N262" i="1"/>
  <c r="H262" i="1" s="1"/>
  <c r="F262" i="1"/>
  <c r="V261" i="1"/>
  <c r="O261" i="1"/>
  <c r="S261" i="1"/>
  <c r="N261" i="1"/>
  <c r="H261" i="1" s="1"/>
  <c r="F261" i="1"/>
  <c r="V260" i="1"/>
  <c r="O260" i="1"/>
  <c r="S260" i="1"/>
  <c r="N260" i="1"/>
  <c r="H260" i="1" s="1"/>
  <c r="F260" i="1"/>
  <c r="V259" i="1"/>
  <c r="O259" i="1"/>
  <c r="S259" i="1"/>
  <c r="N259" i="1"/>
  <c r="H259" i="1" s="1"/>
  <c r="F259" i="1"/>
  <c r="S258" i="1"/>
  <c r="V258" i="1"/>
  <c r="O258" i="1"/>
  <c r="S257" i="1"/>
  <c r="V257" i="1"/>
  <c r="O257" i="1"/>
  <c r="N258" i="1"/>
  <c r="H258" i="1" s="1"/>
  <c r="F258" i="1"/>
  <c r="N257" i="1"/>
  <c r="H257" i="1" s="1"/>
  <c r="F257" i="1"/>
  <c r="V256" i="1"/>
  <c r="O256" i="1"/>
  <c r="S256" i="1"/>
  <c r="N256" i="1"/>
  <c r="H256" i="1" s="1"/>
  <c r="F256" i="1"/>
  <c r="V255" i="1"/>
  <c r="O255" i="1"/>
  <c r="S255" i="1"/>
  <c r="N255" i="1"/>
  <c r="H255" i="1" s="1"/>
  <c r="F255" i="1"/>
  <c r="V254" i="1"/>
  <c r="O254" i="1"/>
  <c r="S254" i="1"/>
  <c r="N254" i="1"/>
  <c r="H254" i="1" s="1"/>
  <c r="F254" i="1"/>
  <c r="V253" i="1"/>
  <c r="O253" i="1"/>
  <c r="S253" i="1"/>
  <c r="N253" i="1"/>
  <c r="H253" i="1" s="1"/>
  <c r="F253" i="1"/>
  <c r="V252" i="1"/>
  <c r="O252" i="1"/>
  <c r="S252" i="1"/>
  <c r="N252" i="1"/>
  <c r="H252" i="1" s="1"/>
  <c r="F252" i="1"/>
  <c r="V251" i="1"/>
  <c r="O251" i="1"/>
  <c r="S251" i="1"/>
  <c r="N251" i="1"/>
  <c r="H251" i="1" s="1"/>
  <c r="F251" i="1"/>
  <c r="V250" i="1"/>
  <c r="O250" i="1"/>
  <c r="S250" i="1"/>
  <c r="N250" i="1"/>
  <c r="F250" i="1"/>
  <c r="V249" i="1"/>
  <c r="O249" i="1"/>
  <c r="S249" i="1"/>
  <c r="N249" i="1"/>
  <c r="H249" i="1" s="1"/>
  <c r="F249" i="1"/>
  <c r="V248" i="1"/>
  <c r="O248" i="1"/>
  <c r="S248" i="1"/>
  <c r="N248" i="1"/>
  <c r="H248" i="1" s="1"/>
  <c r="F248" i="1"/>
  <c r="V247" i="1"/>
  <c r="O247" i="1"/>
  <c r="S247" i="1"/>
  <c r="N247" i="1"/>
  <c r="H247" i="1" s="1"/>
  <c r="F247" i="1"/>
  <c r="V246" i="1"/>
  <c r="O246" i="1"/>
  <c r="S246" i="1"/>
  <c r="N246" i="1"/>
  <c r="H246" i="1" s="1"/>
  <c r="F246" i="1"/>
  <c r="V245" i="1"/>
  <c r="O245" i="1"/>
  <c r="S245" i="1"/>
  <c r="N245" i="1"/>
  <c r="H245" i="1" s="1"/>
  <c r="F245" i="1"/>
  <c r="V244" i="1"/>
  <c r="O244" i="1"/>
  <c r="S244" i="1"/>
  <c r="N244" i="1"/>
  <c r="H244" i="1" s="1"/>
  <c r="F244" i="1"/>
  <c r="V243" i="1"/>
  <c r="O243" i="1"/>
  <c r="S243" i="1"/>
  <c r="N243" i="1"/>
  <c r="H243" i="1" s="1"/>
  <c r="F243" i="1"/>
  <c r="V242" i="1"/>
  <c r="O242" i="1"/>
  <c r="S242" i="1"/>
  <c r="N242" i="1"/>
  <c r="H242" i="1" s="1"/>
  <c r="F242" i="1"/>
  <c r="V241" i="1"/>
  <c r="O241" i="1"/>
  <c r="S241" i="1"/>
  <c r="N241" i="1"/>
  <c r="F241" i="1"/>
  <c r="V240" i="1"/>
  <c r="O240" i="1"/>
  <c r="S240" i="1"/>
  <c r="N240" i="1"/>
  <c r="H240" i="1" s="1"/>
  <c r="F240" i="1"/>
  <c r="V239" i="1"/>
  <c r="O239" i="1"/>
  <c r="S239" i="1"/>
  <c r="N239" i="1"/>
  <c r="H239" i="1" s="1"/>
  <c r="F239" i="1"/>
  <c r="V238" i="1"/>
  <c r="O238" i="1"/>
  <c r="S238" i="1"/>
  <c r="N238" i="1"/>
  <c r="H238" i="1" s="1"/>
  <c r="F238" i="1"/>
  <c r="V237" i="1"/>
  <c r="O237" i="1"/>
  <c r="S237" i="1"/>
  <c r="N237" i="1"/>
  <c r="H237" i="1" s="1"/>
  <c r="F237" i="1"/>
  <c r="V236" i="1"/>
  <c r="O236" i="1"/>
  <c r="S236" i="1"/>
  <c r="N236" i="1"/>
  <c r="H236" i="1" s="1"/>
  <c r="F236" i="1"/>
  <c r="V235" i="1"/>
  <c r="O235" i="1"/>
  <c r="S235" i="1"/>
  <c r="N235" i="1"/>
  <c r="H235" i="1" s="1"/>
  <c r="F235" i="1"/>
  <c r="V234" i="1"/>
  <c r="O234" i="1"/>
  <c r="S234" i="1"/>
  <c r="N234" i="1"/>
  <c r="F234" i="1"/>
  <c r="V233" i="1"/>
  <c r="O233" i="1"/>
  <c r="S233" i="1"/>
  <c r="N233" i="1"/>
  <c r="H233" i="1" s="1"/>
  <c r="F233" i="1"/>
  <c r="V232" i="1"/>
  <c r="O232" i="1"/>
  <c r="S232" i="1"/>
  <c r="N232" i="1"/>
  <c r="H232" i="1" s="1"/>
  <c r="F232" i="1"/>
  <c r="V231" i="1"/>
  <c r="O231" i="1"/>
  <c r="S231" i="1"/>
  <c r="N231" i="1"/>
  <c r="F231" i="1"/>
  <c r="V230" i="1"/>
  <c r="O230" i="1"/>
  <c r="S230" i="1"/>
  <c r="N230" i="1"/>
  <c r="F230" i="1"/>
  <c r="V229" i="1"/>
  <c r="O229" i="1"/>
  <c r="S229" i="1"/>
  <c r="N229" i="1"/>
  <c r="H229" i="1" s="1"/>
  <c r="F229" i="1"/>
  <c r="V228" i="1"/>
  <c r="O228" i="1"/>
  <c r="S228" i="1"/>
  <c r="N228" i="1"/>
  <c r="H228" i="1" s="1"/>
  <c r="F228" i="1"/>
  <c r="V227" i="1"/>
  <c r="O227" i="1"/>
  <c r="S227" i="1"/>
  <c r="N227" i="1"/>
  <c r="H227" i="1" s="1"/>
  <c r="F227" i="1"/>
  <c r="V226" i="1"/>
  <c r="O226" i="1"/>
  <c r="S226" i="1"/>
  <c r="N226" i="1"/>
  <c r="H226" i="1" s="1"/>
  <c r="F226" i="1"/>
  <c r="V225" i="1"/>
  <c r="O225" i="1"/>
  <c r="S225" i="1"/>
  <c r="N225" i="1"/>
  <c r="H225" i="1" s="1"/>
  <c r="F225" i="1"/>
  <c r="V224" i="1"/>
  <c r="O224" i="1"/>
  <c r="S224" i="1"/>
  <c r="N224" i="1"/>
  <c r="H224" i="1" s="1"/>
  <c r="F224" i="1"/>
  <c r="V223" i="1"/>
  <c r="O223" i="1"/>
  <c r="S223" i="1"/>
  <c r="N223" i="1"/>
  <c r="H223" i="1" s="1"/>
  <c r="F223" i="1"/>
  <c r="V222" i="1"/>
  <c r="O222" i="1"/>
  <c r="S222" i="1"/>
  <c r="N222" i="1"/>
  <c r="F222" i="1"/>
  <c r="V221" i="1"/>
  <c r="O221" i="1"/>
  <c r="S221" i="1"/>
  <c r="N221" i="1"/>
  <c r="F221" i="1"/>
  <c r="V220" i="1"/>
  <c r="O220" i="1"/>
  <c r="S220" i="1"/>
  <c r="N220" i="1"/>
  <c r="H220" i="1" s="1"/>
  <c r="F220" i="1"/>
  <c r="V219" i="1"/>
  <c r="O219" i="1"/>
  <c r="S219" i="1"/>
  <c r="N219" i="1"/>
  <c r="H219" i="1" s="1"/>
  <c r="F219" i="1"/>
  <c r="V218" i="1"/>
  <c r="O218" i="1"/>
  <c r="S218" i="1"/>
  <c r="N218" i="1"/>
  <c r="H218" i="1" s="1"/>
  <c r="F218" i="1"/>
  <c r="V217" i="1"/>
  <c r="O217" i="1"/>
  <c r="S217" i="1"/>
  <c r="N217" i="1"/>
  <c r="F217" i="1"/>
  <c r="V216" i="1"/>
  <c r="O216" i="1"/>
  <c r="S216" i="1"/>
  <c r="N216" i="1"/>
  <c r="H216" i="1" s="1"/>
  <c r="F216" i="1"/>
  <c r="V215" i="1"/>
  <c r="O215" i="1"/>
  <c r="S215" i="1"/>
  <c r="N215" i="1"/>
  <c r="H215" i="1" s="1"/>
  <c r="F215" i="1"/>
  <c r="V214" i="1"/>
  <c r="O214" i="1"/>
  <c r="S214" i="1"/>
  <c r="N214" i="1"/>
  <c r="H214" i="1" s="1"/>
  <c r="F214" i="1"/>
  <c r="V213" i="1"/>
  <c r="O213" i="1"/>
  <c r="S213" i="1"/>
  <c r="N213" i="1"/>
  <c r="H213" i="1" s="1"/>
  <c r="F213" i="1"/>
  <c r="V212" i="1"/>
  <c r="O212" i="1"/>
  <c r="S212" i="1"/>
  <c r="N212" i="1"/>
  <c r="H212" i="1" s="1"/>
  <c r="F212" i="1"/>
  <c r="V211" i="1"/>
  <c r="O211" i="1"/>
  <c r="S211" i="1"/>
  <c r="N211" i="1"/>
  <c r="F211" i="1"/>
  <c r="V210" i="1"/>
  <c r="O210" i="1"/>
  <c r="S210" i="1"/>
  <c r="N210" i="1"/>
  <c r="H210" i="1" s="1"/>
  <c r="F210" i="1"/>
  <c r="V209" i="1"/>
  <c r="F209" i="1"/>
  <c r="O209" i="1"/>
  <c r="S209" i="1"/>
  <c r="N209" i="1"/>
  <c r="H209" i="1" s="1"/>
  <c r="V208" i="1"/>
  <c r="O208" i="1"/>
  <c r="S208" i="1"/>
  <c r="N208" i="1"/>
  <c r="H208" i="1" s="1"/>
  <c r="F208" i="1"/>
  <c r="V207" i="1"/>
  <c r="O207" i="1"/>
  <c r="S207" i="1"/>
  <c r="N207" i="1"/>
  <c r="H207" i="1" s="1"/>
  <c r="F207" i="1"/>
  <c r="V206" i="1"/>
  <c r="O206" i="1"/>
  <c r="S206" i="1"/>
  <c r="N206" i="1"/>
  <c r="H206" i="1" s="1"/>
  <c r="F206" i="1"/>
  <c r="V205" i="1"/>
  <c r="O205" i="1"/>
  <c r="S205" i="1"/>
  <c r="N205" i="1"/>
  <c r="H205" i="1" s="1"/>
  <c r="F205" i="1"/>
  <c r="V204" i="1"/>
  <c r="O204" i="1"/>
  <c r="S204" i="1"/>
  <c r="N204" i="1"/>
  <c r="H204" i="1" s="1"/>
  <c r="F204" i="1"/>
  <c r="V203" i="1"/>
  <c r="O203" i="1"/>
  <c r="S203" i="1"/>
  <c r="N203" i="1"/>
  <c r="H203" i="1" s="1"/>
  <c r="F203" i="1"/>
  <c r="V202" i="1"/>
  <c r="O202" i="1"/>
  <c r="S202" i="1"/>
  <c r="N202" i="1"/>
  <c r="H202" i="1" s="1"/>
  <c r="F202" i="1"/>
  <c r="V201" i="1"/>
  <c r="O201" i="1"/>
  <c r="S201" i="1"/>
  <c r="N201" i="1"/>
  <c r="H201" i="1" s="1"/>
  <c r="F201" i="1"/>
  <c r="V200" i="1"/>
  <c r="O200" i="1"/>
  <c r="S200" i="1"/>
  <c r="N200" i="1"/>
  <c r="F200" i="1"/>
  <c r="V199" i="1"/>
  <c r="O199" i="1"/>
  <c r="S199" i="1"/>
  <c r="N199" i="1"/>
  <c r="F199" i="1"/>
  <c r="V198" i="1"/>
  <c r="O198" i="1"/>
  <c r="S198" i="1"/>
  <c r="N198" i="1"/>
  <c r="H198" i="1" s="1"/>
  <c r="F198" i="1"/>
  <c r="AG184" i="1"/>
  <c r="V197" i="1"/>
  <c r="O197" i="1"/>
  <c r="S197" i="1"/>
  <c r="N197" i="1"/>
  <c r="F197" i="1"/>
  <c r="V196" i="1"/>
  <c r="O196" i="1"/>
  <c r="S196" i="1"/>
  <c r="N196" i="1"/>
  <c r="F196" i="1"/>
  <c r="Z2" i="1"/>
  <c r="V195" i="1"/>
  <c r="O195" i="1"/>
  <c r="S195" i="1"/>
  <c r="N195" i="1"/>
  <c r="H195" i="1" s="1"/>
  <c r="F195" i="1"/>
  <c r="V194" i="1"/>
  <c r="O194" i="1"/>
  <c r="S194" i="1"/>
  <c r="N194" i="1"/>
  <c r="H194" i="1" s="1"/>
  <c r="F194" i="1"/>
  <c r="V193" i="1"/>
  <c r="O193" i="1"/>
  <c r="S193" i="1"/>
  <c r="N193" i="1"/>
  <c r="H193" i="1" s="1"/>
  <c r="F193" i="1"/>
  <c r="V192" i="1"/>
  <c r="O192" i="1"/>
  <c r="S192" i="1"/>
  <c r="N192" i="1"/>
  <c r="H192" i="1" s="1"/>
  <c r="F192" i="1"/>
  <c r="V191" i="1"/>
  <c r="O191" i="1"/>
  <c r="S191" i="1"/>
  <c r="N191" i="1"/>
  <c r="H191" i="1" s="1"/>
  <c r="F191" i="1"/>
  <c r="V190" i="1"/>
  <c r="O190" i="1"/>
  <c r="S190" i="1"/>
  <c r="N190" i="1"/>
  <c r="H190" i="1" s="1"/>
  <c r="F190" i="1"/>
  <c r="V189" i="1"/>
  <c r="O189" i="1"/>
  <c r="S189" i="1"/>
  <c r="N189" i="1"/>
  <c r="H189" i="1" s="1"/>
  <c r="F189" i="1"/>
  <c r="V188" i="1"/>
  <c r="O188" i="1"/>
  <c r="S188" i="1"/>
  <c r="N188" i="1"/>
  <c r="H188" i="1" s="1"/>
  <c r="F188" i="1"/>
  <c r="V187" i="1"/>
  <c r="O187" i="1"/>
  <c r="S187" i="1"/>
  <c r="N187" i="1"/>
  <c r="H187" i="1" s="1"/>
  <c r="F187" i="1"/>
  <c r="V186" i="1"/>
  <c r="O186" i="1"/>
  <c r="S186" i="1"/>
  <c r="N186" i="1"/>
  <c r="H186" i="1" s="1"/>
  <c r="F186" i="1"/>
  <c r="V185" i="1"/>
  <c r="O185" i="1"/>
  <c r="S185" i="1"/>
  <c r="N185" i="1"/>
  <c r="H185" i="1" s="1"/>
  <c r="F185" i="1"/>
  <c r="V184" i="1"/>
  <c r="O184" i="1"/>
  <c r="S184" i="1"/>
  <c r="N184" i="1"/>
  <c r="H184" i="1" s="1"/>
  <c r="F184" i="1"/>
  <c r="F183" i="1"/>
  <c r="V183" i="1"/>
  <c r="O183" i="1"/>
  <c r="S183" i="1"/>
  <c r="N183" i="1"/>
  <c r="H183" i="1" s="1"/>
  <c r="V182" i="1"/>
  <c r="O182" i="1"/>
  <c r="S182" i="1"/>
  <c r="N182" i="1"/>
  <c r="H182" i="1" s="1"/>
  <c r="F182" i="1"/>
  <c r="V181" i="1"/>
  <c r="O181" i="1"/>
  <c r="S181" i="1"/>
  <c r="N181" i="1"/>
  <c r="H181" i="1" s="1"/>
  <c r="F181" i="1"/>
  <c r="V180" i="1"/>
  <c r="O180" i="1"/>
  <c r="S180" i="1"/>
  <c r="N180" i="1"/>
  <c r="H180" i="1" s="1"/>
  <c r="F180" i="1"/>
  <c r="V179" i="1"/>
  <c r="O179" i="1"/>
  <c r="S179" i="1"/>
  <c r="N179" i="1"/>
  <c r="H179" i="1" s="1"/>
  <c r="F179" i="1"/>
  <c r="V178" i="1"/>
  <c r="S178" i="1"/>
  <c r="O178" i="1"/>
  <c r="N178" i="1"/>
  <c r="H178" i="1" s="1"/>
  <c r="F178" i="1"/>
  <c r="V177" i="1"/>
  <c r="O177" i="1"/>
  <c r="S177" i="1"/>
  <c r="N177" i="1"/>
  <c r="F177" i="1"/>
  <c r="V176" i="1"/>
  <c r="O176" i="1"/>
  <c r="S176" i="1"/>
  <c r="N176" i="1"/>
  <c r="H176" i="1" s="1"/>
  <c r="F176" i="1"/>
  <c r="V175" i="1"/>
  <c r="O175" i="1"/>
  <c r="S175" i="1"/>
  <c r="N175" i="1"/>
  <c r="H175" i="1" s="1"/>
  <c r="F175" i="1"/>
  <c r="V174" i="1"/>
  <c r="S174" i="1"/>
  <c r="O174" i="1"/>
  <c r="N174" i="1"/>
  <c r="H174" i="1" s="1"/>
  <c r="F174" i="1"/>
  <c r="V173" i="1"/>
  <c r="O173" i="1"/>
  <c r="S173" i="1"/>
  <c r="N173" i="1"/>
  <c r="F173" i="1"/>
  <c r="V172" i="1"/>
  <c r="O172" i="1"/>
  <c r="S172" i="1"/>
  <c r="N172" i="1"/>
  <c r="F172" i="1"/>
  <c r="V171" i="1"/>
  <c r="O171" i="1"/>
  <c r="S171" i="1"/>
  <c r="N171" i="1"/>
  <c r="H171" i="1" s="1"/>
  <c r="F171" i="1"/>
  <c r="V170" i="1"/>
  <c r="O170" i="1"/>
  <c r="S170" i="1"/>
  <c r="N170" i="1"/>
  <c r="H170" i="1" s="1"/>
  <c r="F170" i="1"/>
  <c r="V169" i="1"/>
  <c r="O169" i="1"/>
  <c r="S169" i="1"/>
  <c r="N169" i="1"/>
  <c r="H169" i="1" s="1"/>
  <c r="F169" i="1"/>
  <c r="V168" i="1"/>
  <c r="O168" i="1"/>
  <c r="S168" i="1"/>
  <c r="N168" i="1"/>
  <c r="F168" i="1"/>
  <c r="V167" i="1"/>
  <c r="O167" i="1"/>
  <c r="S167" i="1"/>
  <c r="N167" i="1"/>
  <c r="F167" i="1"/>
  <c r="V166" i="1"/>
  <c r="O166" i="1"/>
  <c r="S166" i="1"/>
  <c r="N166" i="1"/>
  <c r="F166" i="1"/>
  <c r="V165" i="1"/>
  <c r="O165" i="1"/>
  <c r="S165" i="1"/>
  <c r="N165" i="1"/>
  <c r="H165" i="1" s="1"/>
  <c r="F165" i="1"/>
  <c r="V164" i="1"/>
  <c r="O164" i="1"/>
  <c r="S164" i="1"/>
  <c r="N164" i="1"/>
  <c r="H164" i="1" s="1"/>
  <c r="F164" i="1"/>
  <c r="V163" i="1"/>
  <c r="O163" i="1"/>
  <c r="S163" i="1"/>
  <c r="N163" i="1"/>
  <c r="F163" i="1"/>
  <c r="V162" i="1"/>
  <c r="O162" i="1"/>
  <c r="S162" i="1"/>
  <c r="N162" i="1"/>
  <c r="H162" i="1" s="1"/>
  <c r="F162" i="1"/>
  <c r="V161" i="1"/>
  <c r="O161" i="1"/>
  <c r="S161" i="1"/>
  <c r="N161" i="1"/>
  <c r="H161" i="1" s="1"/>
  <c r="F161" i="1"/>
  <c r="V160" i="1"/>
  <c r="O160" i="1"/>
  <c r="S160" i="1"/>
  <c r="N160" i="1"/>
  <c r="H160" i="1" s="1"/>
  <c r="F160" i="1"/>
  <c r="V159" i="1"/>
  <c r="O159" i="1"/>
  <c r="S159" i="1"/>
  <c r="N159" i="1"/>
  <c r="H159" i="1" s="1"/>
  <c r="F159" i="1"/>
  <c r="V158" i="1"/>
  <c r="O158" i="1"/>
  <c r="S158" i="1"/>
  <c r="N158" i="1"/>
  <c r="H158" i="1" s="1"/>
  <c r="F158" i="1"/>
  <c r="V157" i="1"/>
  <c r="O157" i="1"/>
  <c r="S157" i="1"/>
  <c r="N157" i="1"/>
  <c r="H157" i="1" s="1"/>
  <c r="F157" i="1"/>
  <c r="V156" i="1"/>
  <c r="O156" i="1"/>
  <c r="S156" i="1"/>
  <c r="N156" i="1"/>
  <c r="F156" i="1"/>
  <c r="V155" i="1"/>
  <c r="O155" i="1"/>
  <c r="S155" i="1"/>
  <c r="N155" i="1"/>
  <c r="H155" i="1" s="1"/>
  <c r="F155" i="1"/>
  <c r="V154" i="1"/>
  <c r="O154" i="1"/>
  <c r="S154" i="1"/>
  <c r="N154" i="1"/>
  <c r="F154" i="1"/>
  <c r="V153" i="1"/>
  <c r="O153" i="1"/>
  <c r="S153" i="1"/>
  <c r="N153" i="1"/>
  <c r="F153" i="1"/>
  <c r="V152" i="1"/>
  <c r="O152" i="1"/>
  <c r="S152" i="1"/>
  <c r="N152" i="1"/>
  <c r="F152" i="1"/>
  <c r="V151" i="1"/>
  <c r="O151" i="1"/>
  <c r="S151" i="1"/>
  <c r="N151" i="1"/>
  <c r="F151" i="1"/>
  <c r="V150" i="1"/>
  <c r="O150" i="1"/>
  <c r="S150" i="1"/>
  <c r="N150" i="1"/>
  <c r="H150" i="1" s="1"/>
  <c r="F150" i="1"/>
  <c r="V149" i="1"/>
  <c r="O149" i="1"/>
  <c r="S149" i="1"/>
  <c r="N149" i="1"/>
  <c r="H149" i="1" s="1"/>
  <c r="F149" i="1"/>
  <c r="V148" i="1"/>
  <c r="O148" i="1"/>
  <c r="S148" i="1"/>
  <c r="N148" i="1"/>
  <c r="H148" i="1" s="1"/>
  <c r="F148" i="1"/>
  <c r="V147" i="1"/>
  <c r="O147" i="1"/>
  <c r="S147" i="1"/>
  <c r="N147" i="1"/>
  <c r="H147" i="1" s="1"/>
  <c r="F147" i="1"/>
  <c r="V146" i="1"/>
  <c r="O146" i="1"/>
  <c r="S146" i="1"/>
  <c r="N146" i="1"/>
  <c r="H146" i="1" s="1"/>
  <c r="F146" i="1"/>
  <c r="V145" i="1"/>
  <c r="O145" i="1"/>
  <c r="S145" i="1"/>
  <c r="N145" i="1"/>
  <c r="F145" i="1"/>
  <c r="V144" i="1"/>
  <c r="O144" i="1"/>
  <c r="S144" i="1"/>
  <c r="N144" i="1"/>
  <c r="H144" i="1" s="1"/>
  <c r="F144" i="1"/>
  <c r="V143" i="1"/>
  <c r="O143" i="1"/>
  <c r="S143" i="1"/>
  <c r="N143" i="1"/>
  <c r="H143" i="1" s="1"/>
  <c r="F143" i="1"/>
  <c r="V142" i="1"/>
  <c r="O142" i="1"/>
  <c r="S142" i="1"/>
  <c r="N142" i="1"/>
  <c r="F142" i="1"/>
  <c r="V141" i="1"/>
  <c r="O141" i="1"/>
  <c r="S141" i="1"/>
  <c r="N141" i="1"/>
  <c r="F141" i="1"/>
  <c r="V140" i="1"/>
  <c r="O140" i="1"/>
  <c r="S140" i="1"/>
  <c r="N140" i="1"/>
  <c r="H140" i="1" s="1"/>
  <c r="F140" i="1"/>
  <c r="V139" i="1"/>
  <c r="O139" i="1"/>
  <c r="S139" i="1"/>
  <c r="N139" i="1"/>
  <c r="F139" i="1"/>
  <c r="S127" i="1"/>
  <c r="AG127" i="1"/>
  <c r="V138" i="1"/>
  <c r="O138" i="1"/>
  <c r="S138" i="1"/>
  <c r="N138" i="1"/>
  <c r="H138" i="1" s="1"/>
  <c r="F138" i="1"/>
  <c r="V137" i="1"/>
  <c r="O137" i="1"/>
  <c r="S137" i="1"/>
  <c r="N137" i="1"/>
  <c r="H137" i="1" s="1"/>
  <c r="F137" i="1"/>
  <c r="V136" i="1"/>
  <c r="O136" i="1"/>
  <c r="S136" i="1"/>
  <c r="N136" i="1"/>
  <c r="F136" i="1"/>
  <c r="V135" i="1"/>
  <c r="O135" i="1"/>
  <c r="S135" i="1"/>
  <c r="N135" i="1"/>
  <c r="H135" i="1" s="1"/>
  <c r="F135" i="1"/>
  <c r="AF1" i="1"/>
  <c r="V134" i="1"/>
  <c r="O134" i="1"/>
  <c r="S134" i="1"/>
  <c r="N134" i="1"/>
  <c r="F134" i="1"/>
  <c r="V133" i="1"/>
  <c r="O133" i="1"/>
  <c r="S133" i="1"/>
  <c r="N133" i="1"/>
  <c r="H133" i="1" s="1"/>
  <c r="F133" i="1"/>
  <c r="V132" i="1"/>
  <c r="O132" i="1"/>
  <c r="S132" i="1"/>
  <c r="N132" i="1"/>
  <c r="F132" i="1"/>
  <c r="V131" i="1"/>
  <c r="O131" i="1"/>
  <c r="S131" i="1"/>
  <c r="N131" i="1"/>
  <c r="H131" i="1" s="1"/>
  <c r="F131" i="1"/>
  <c r="V130" i="1"/>
  <c r="O130" i="1"/>
  <c r="S130" i="1"/>
  <c r="N130" i="1"/>
  <c r="H130" i="1" s="1"/>
  <c r="F130" i="1"/>
  <c r="V129" i="1"/>
  <c r="O129" i="1"/>
  <c r="S129" i="1"/>
  <c r="N129" i="1"/>
  <c r="H129" i="1" s="1"/>
  <c r="F129" i="1"/>
  <c r="V128" i="1"/>
  <c r="O128" i="1"/>
  <c r="S128" i="1"/>
  <c r="N128" i="1"/>
  <c r="H128" i="1" s="1"/>
  <c r="F128" i="1"/>
  <c r="V127" i="1"/>
  <c r="N127" i="1"/>
  <c r="H127" i="1" s="1"/>
  <c r="O127" i="1"/>
  <c r="F127" i="1"/>
  <c r="V126" i="1"/>
  <c r="O126" i="1"/>
  <c r="S126" i="1"/>
  <c r="N126" i="1"/>
  <c r="H126" i="1" s="1"/>
  <c r="F126" i="1"/>
  <c r="S125" i="1"/>
  <c r="V125" i="1"/>
  <c r="O125" i="1"/>
  <c r="N125" i="1"/>
  <c r="F125" i="1"/>
  <c r="V124" i="1"/>
  <c r="O124" i="1"/>
  <c r="S124" i="1"/>
  <c r="N124" i="1"/>
  <c r="H124" i="1" s="1"/>
  <c r="F124" i="1"/>
  <c r="V123" i="1"/>
  <c r="O123" i="1"/>
  <c r="S123" i="1"/>
  <c r="N123" i="1"/>
  <c r="H123" i="1" s="1"/>
  <c r="F123" i="1"/>
  <c r="S122" i="1"/>
  <c r="V122" i="1"/>
  <c r="O122" i="1"/>
  <c r="N122" i="1"/>
  <c r="H122" i="1" s="1"/>
  <c r="F122" i="1"/>
  <c r="V121" i="1"/>
  <c r="O121" i="1"/>
  <c r="S121" i="1"/>
  <c r="N121" i="1"/>
  <c r="F121" i="1"/>
  <c r="S120" i="1"/>
  <c r="V120" i="1"/>
  <c r="O120" i="1"/>
  <c r="N120" i="1"/>
  <c r="H120" i="1" s="1"/>
  <c r="F120" i="1"/>
  <c r="V119" i="1"/>
  <c r="O119" i="1"/>
  <c r="S119" i="1"/>
  <c r="N119" i="1"/>
  <c r="F119" i="1"/>
  <c r="V118" i="1"/>
  <c r="S118" i="1"/>
  <c r="O118" i="1"/>
  <c r="N118" i="1"/>
  <c r="F118" i="1"/>
  <c r="V117" i="1"/>
  <c r="O117" i="1"/>
  <c r="S117" i="1"/>
  <c r="N117" i="1"/>
  <c r="H117" i="1" s="1"/>
  <c r="F117" i="1"/>
  <c r="V116" i="1"/>
  <c r="O116" i="1"/>
  <c r="S116" i="1"/>
  <c r="N116" i="1"/>
  <c r="F116" i="1"/>
  <c r="V115" i="1"/>
  <c r="O115" i="1"/>
  <c r="S115" i="1"/>
  <c r="N115" i="1"/>
  <c r="H115" i="1" s="1"/>
  <c r="F115" i="1"/>
  <c r="V114" i="1"/>
  <c r="O114" i="1"/>
  <c r="S114" i="1"/>
  <c r="N114" i="1"/>
  <c r="H114" i="1" s="1"/>
  <c r="F114" i="1"/>
  <c r="V113" i="1"/>
  <c r="O113" i="1"/>
  <c r="S113" i="1"/>
  <c r="N113" i="1"/>
  <c r="H113" i="1" s="1"/>
  <c r="F113" i="1"/>
  <c r="V112" i="1"/>
  <c r="O112" i="1"/>
  <c r="S112" i="1"/>
  <c r="N112" i="1"/>
  <c r="F112" i="1"/>
  <c r="V111" i="1"/>
  <c r="O111" i="1"/>
  <c r="S111" i="1"/>
  <c r="N111" i="1"/>
  <c r="F111" i="1"/>
  <c r="V110" i="1"/>
  <c r="S110" i="1"/>
  <c r="O110" i="1"/>
  <c r="N110" i="1"/>
  <c r="H110" i="1" s="1"/>
  <c r="F110" i="1"/>
  <c r="V109" i="1"/>
  <c r="O109" i="1"/>
  <c r="S109" i="1"/>
  <c r="N109" i="1"/>
  <c r="F109" i="1"/>
  <c r="V108" i="1"/>
  <c r="O108" i="1"/>
  <c r="S108" i="1"/>
  <c r="N108" i="1"/>
  <c r="H108" i="1" s="1"/>
  <c r="F108" i="1"/>
  <c r="V107" i="1"/>
  <c r="O107" i="1"/>
  <c r="S107" i="1"/>
  <c r="N107" i="1"/>
  <c r="F107" i="1"/>
  <c r="V106" i="1"/>
  <c r="S106" i="1"/>
  <c r="O106" i="1"/>
  <c r="N106" i="1"/>
  <c r="H106" i="1" s="1"/>
  <c r="F106" i="1"/>
  <c r="AG103" i="1"/>
  <c r="S105" i="1"/>
  <c r="V105" i="1"/>
  <c r="O105" i="1"/>
  <c r="N105" i="1"/>
  <c r="H105" i="1" s="1"/>
  <c r="F105" i="1"/>
  <c r="V104" i="1"/>
  <c r="O104" i="1"/>
  <c r="S104" i="1"/>
  <c r="N104" i="1"/>
  <c r="H104" i="1" s="1"/>
  <c r="F104" i="1"/>
  <c r="V103" i="1"/>
  <c r="S103" i="1"/>
  <c r="O103" i="1"/>
  <c r="N103" i="1"/>
  <c r="H103" i="1" s="1"/>
  <c r="F103" i="1"/>
  <c r="V102" i="1"/>
  <c r="O102" i="1"/>
  <c r="S102" i="1"/>
  <c r="N102" i="1"/>
  <c r="H102" i="1" s="1"/>
  <c r="F102" i="1"/>
  <c r="N3" i="1"/>
  <c r="N4" i="1"/>
  <c r="N5" i="1"/>
  <c r="N6" i="1"/>
  <c r="N7" i="1"/>
  <c r="H7" i="1" s="1"/>
  <c r="N8" i="1"/>
  <c r="N9" i="1"/>
  <c r="H9" i="1" s="1"/>
  <c r="N10" i="1"/>
  <c r="H10" i="1" s="1"/>
  <c r="N11" i="1"/>
  <c r="N12" i="1"/>
  <c r="N13" i="1"/>
  <c r="H13" i="1" s="1"/>
  <c r="N14" i="1"/>
  <c r="N15" i="1"/>
  <c r="N16" i="1"/>
  <c r="N17" i="1"/>
  <c r="H17" i="1" s="1"/>
  <c r="N18" i="1"/>
  <c r="N19" i="1"/>
  <c r="AA19" i="1" s="1"/>
  <c r="N20" i="1"/>
  <c r="N21" i="1"/>
  <c r="H21" i="1" s="1"/>
  <c r="N22" i="1"/>
  <c r="N23" i="1"/>
  <c r="N24" i="1"/>
  <c r="H24" i="1" s="1"/>
  <c r="N25" i="1"/>
  <c r="N26" i="1"/>
  <c r="N27" i="1"/>
  <c r="N28" i="1"/>
  <c r="H28" i="1" s="1"/>
  <c r="N29" i="1"/>
  <c r="N30" i="1"/>
  <c r="H30" i="1" s="1"/>
  <c r="N31" i="1"/>
  <c r="H31" i="1" s="1"/>
  <c r="N32" i="1"/>
  <c r="H32" i="1" s="1"/>
  <c r="N33" i="1"/>
  <c r="H33" i="1" s="1"/>
  <c r="N34" i="1"/>
  <c r="H34" i="1" s="1"/>
  <c r="N35" i="1"/>
  <c r="H35" i="1" s="1"/>
  <c r="N36" i="1"/>
  <c r="H36" i="1" s="1"/>
  <c r="N37" i="1"/>
  <c r="N38" i="1"/>
  <c r="N39" i="1"/>
  <c r="H39" i="1" s="1"/>
  <c r="N40" i="1"/>
  <c r="N41" i="1"/>
  <c r="H41" i="1" s="1"/>
  <c r="N42" i="1"/>
  <c r="H42" i="1" s="1"/>
  <c r="N43" i="1"/>
  <c r="H43" i="1" s="1"/>
  <c r="N44" i="1"/>
  <c r="H44" i="1" s="1"/>
  <c r="N45" i="1"/>
  <c r="N46" i="1"/>
  <c r="H46" i="1" s="1"/>
  <c r="N47" i="1"/>
  <c r="N48" i="1"/>
  <c r="H48" i="1" s="1"/>
  <c r="N49" i="1"/>
  <c r="N50" i="1"/>
  <c r="H50" i="1" s="1"/>
  <c r="N51" i="1"/>
  <c r="H51" i="1" s="1"/>
  <c r="N52" i="1"/>
  <c r="H52" i="1" s="1"/>
  <c r="N53" i="1"/>
  <c r="H53" i="1" s="1"/>
  <c r="N54" i="1"/>
  <c r="H54" i="1" s="1"/>
  <c r="N55" i="1"/>
  <c r="H55" i="1" s="1"/>
  <c r="N56" i="1"/>
  <c r="H56" i="1" s="1"/>
  <c r="N57" i="1"/>
  <c r="H57" i="1" s="1"/>
  <c r="N58" i="1"/>
  <c r="H58" i="1" s="1"/>
  <c r="N59" i="1"/>
  <c r="H59" i="1" s="1"/>
  <c r="N60" i="1"/>
  <c r="H60" i="1" s="1"/>
  <c r="N61" i="1"/>
  <c r="H61" i="1" s="1"/>
  <c r="N62" i="1"/>
  <c r="H62" i="1" s="1"/>
  <c r="N63" i="1"/>
  <c r="H63" i="1" s="1"/>
  <c r="N64" i="1"/>
  <c r="H64" i="1" s="1"/>
  <c r="N65" i="1"/>
  <c r="H65" i="1" s="1"/>
  <c r="N66" i="1"/>
  <c r="H66" i="1" s="1"/>
  <c r="N67" i="1"/>
  <c r="H67" i="1" s="1"/>
  <c r="N68" i="1"/>
  <c r="N69" i="1"/>
  <c r="H69" i="1" s="1"/>
  <c r="N70" i="1"/>
  <c r="N71" i="1"/>
  <c r="H71" i="1" s="1"/>
  <c r="N72" i="1"/>
  <c r="H72" i="1" s="1"/>
  <c r="N73" i="1"/>
  <c r="H73" i="1" s="1"/>
  <c r="N74" i="1"/>
  <c r="H74" i="1" s="1"/>
  <c r="N75" i="1"/>
  <c r="H75" i="1" s="1"/>
  <c r="N76" i="1"/>
  <c r="H76" i="1" s="1"/>
  <c r="N77" i="1"/>
  <c r="N78" i="1"/>
  <c r="N79" i="1"/>
  <c r="H79" i="1" s="1"/>
  <c r="N80" i="1"/>
  <c r="H80" i="1" s="1"/>
  <c r="N81" i="1"/>
  <c r="N82" i="1"/>
  <c r="H82" i="1" s="1"/>
  <c r="N83" i="1"/>
  <c r="H83" i="1" s="1"/>
  <c r="N84" i="1"/>
  <c r="H84" i="1" s="1"/>
  <c r="N85" i="1"/>
  <c r="H85" i="1" s="1"/>
  <c r="N86" i="1"/>
  <c r="H86" i="1" s="1"/>
  <c r="N87" i="1"/>
  <c r="H87" i="1" s="1"/>
  <c r="N88" i="1"/>
  <c r="H88" i="1" s="1"/>
  <c r="N89" i="1"/>
  <c r="H89" i="1" s="1"/>
  <c r="N90" i="1"/>
  <c r="N91" i="1"/>
  <c r="H91" i="1" s="1"/>
  <c r="N92" i="1"/>
  <c r="H92" i="1" s="1"/>
  <c r="N93" i="1"/>
  <c r="H93" i="1" s="1"/>
  <c r="N94" i="1"/>
  <c r="H94" i="1" s="1"/>
  <c r="N95" i="1"/>
  <c r="H95" i="1" s="1"/>
  <c r="N96" i="1"/>
  <c r="H96" i="1" s="1"/>
  <c r="N97" i="1"/>
  <c r="N98" i="1"/>
  <c r="H98" i="1" s="1"/>
  <c r="N99" i="1"/>
  <c r="N100" i="1"/>
  <c r="H100" i="1" s="1"/>
  <c r="N101" i="1"/>
  <c r="H101" i="1" s="1"/>
  <c r="V101" i="1"/>
  <c r="O101" i="1"/>
  <c r="S101" i="1"/>
  <c r="F101" i="1"/>
  <c r="V100" i="1"/>
  <c r="O100" i="1"/>
  <c r="S100" i="1"/>
  <c r="F100" i="1"/>
  <c r="V99" i="1"/>
  <c r="O99" i="1"/>
  <c r="S99" i="1"/>
  <c r="F99" i="1"/>
  <c r="V98" i="1"/>
  <c r="O98" i="1"/>
  <c r="S98" i="1"/>
  <c r="F98" i="1"/>
  <c r="V97" i="1"/>
  <c r="O97" i="1"/>
  <c r="S97" i="1"/>
  <c r="F97" i="1"/>
  <c r="V96" i="1"/>
  <c r="S96" i="1"/>
  <c r="O96" i="1"/>
  <c r="F96" i="1"/>
  <c r="V95" i="1"/>
  <c r="O95" i="1"/>
  <c r="S95" i="1"/>
  <c r="F95" i="1"/>
  <c r="AG94" i="1"/>
  <c r="V94" i="1"/>
  <c r="O94" i="1"/>
  <c r="S94" i="1"/>
  <c r="F94" i="1"/>
  <c r="V93" i="1"/>
  <c r="O93" i="1"/>
  <c r="S93" i="1"/>
  <c r="F93" i="1"/>
  <c r="V92" i="1"/>
  <c r="O92" i="1"/>
  <c r="S92" i="1"/>
  <c r="F92" i="1"/>
  <c r="V91" i="1"/>
  <c r="O91" i="1"/>
  <c r="S91" i="1"/>
  <c r="F91" i="1"/>
  <c r="V90" i="1"/>
  <c r="O90" i="1"/>
  <c r="S90" i="1"/>
  <c r="F90" i="1"/>
  <c r="V89" i="1"/>
  <c r="O89" i="1"/>
  <c r="S89" i="1"/>
  <c r="F89" i="1"/>
  <c r="V88" i="1"/>
  <c r="O88" i="1"/>
  <c r="S88" i="1"/>
  <c r="F88" i="1"/>
  <c r="S87" i="1"/>
  <c r="V87" i="1"/>
  <c r="O87" i="1"/>
  <c r="F87" i="1"/>
  <c r="O86" i="1"/>
  <c r="S86" i="1"/>
  <c r="V86" i="1"/>
  <c r="V85" i="1"/>
  <c r="F86" i="1"/>
  <c r="O85" i="1"/>
  <c r="S85" i="1"/>
  <c r="F85" i="1"/>
  <c r="V84" i="1"/>
  <c r="O84" i="1"/>
  <c r="S84" i="1"/>
  <c r="F84" i="1"/>
  <c r="V83" i="1"/>
  <c r="O83" i="1"/>
  <c r="S83" i="1"/>
  <c r="F83" i="1"/>
  <c r="V82" i="1"/>
  <c r="O82" i="1"/>
  <c r="S82" i="1"/>
  <c r="F82" i="1"/>
  <c r="S81" i="1"/>
  <c r="V81" i="1"/>
  <c r="O81" i="1"/>
  <c r="F81" i="1"/>
  <c r="V80" i="1"/>
  <c r="O80" i="1"/>
  <c r="S80" i="1"/>
  <c r="F80" i="1"/>
  <c r="V79" i="1"/>
  <c r="O79" i="1"/>
  <c r="S79" i="1"/>
  <c r="F79" i="1"/>
  <c r="V78" i="1"/>
  <c r="O78" i="1"/>
  <c r="S78" i="1"/>
  <c r="F78" i="1"/>
  <c r="V77" i="1"/>
  <c r="O77" i="1"/>
  <c r="S77" i="1"/>
  <c r="F77" i="1"/>
  <c r="V76" i="1"/>
  <c r="O76" i="1"/>
  <c r="S76" i="1"/>
  <c r="F76" i="1"/>
  <c r="V75" i="1"/>
  <c r="O75" i="1"/>
  <c r="S75" i="1"/>
  <c r="F75" i="1"/>
  <c r="AG74" i="1"/>
  <c r="V74" i="1"/>
  <c r="O74" i="1"/>
  <c r="S74" i="1"/>
  <c r="F74" i="1"/>
  <c r="V73" i="1"/>
  <c r="O73" i="1"/>
  <c r="S73" i="1"/>
  <c r="F73" i="1"/>
  <c r="V72" i="1"/>
  <c r="O72" i="1"/>
  <c r="S72" i="1"/>
  <c r="F72" i="1"/>
  <c r="V71" i="1"/>
  <c r="O71" i="1"/>
  <c r="S71" i="1"/>
  <c r="F71" i="1"/>
  <c r="V70" i="1"/>
  <c r="O70" i="1"/>
  <c r="S70" i="1"/>
  <c r="F70" i="1"/>
  <c r="V69" i="1"/>
  <c r="O69" i="1"/>
  <c r="S69" i="1"/>
  <c r="F69" i="1"/>
  <c r="V68" i="1"/>
  <c r="O68" i="1"/>
  <c r="S68" i="1"/>
  <c r="F68" i="1"/>
  <c r="V67" i="1"/>
  <c r="O67" i="1"/>
  <c r="S67" i="1"/>
  <c r="F67" i="1"/>
  <c r="V66" i="1"/>
  <c r="O66" i="1"/>
  <c r="S66" i="1"/>
  <c r="F66" i="1"/>
  <c r="V64" i="1"/>
  <c r="V65" i="1"/>
  <c r="O65" i="1"/>
  <c r="S65" i="1"/>
  <c r="F65" i="1"/>
  <c r="O64" i="1"/>
  <c r="S64" i="1"/>
  <c r="F64" i="1"/>
  <c r="S63" i="1"/>
  <c r="V63" i="1"/>
  <c r="O63" i="1"/>
  <c r="F63" i="1"/>
  <c r="V62" i="1"/>
  <c r="O62" i="1"/>
  <c r="S62" i="1"/>
  <c r="F62" i="1"/>
  <c r="S61" i="1"/>
  <c r="V61" i="1"/>
  <c r="O61" i="1"/>
  <c r="F61" i="1"/>
  <c r="V60" i="1"/>
  <c r="O60" i="1"/>
  <c r="S60" i="1"/>
  <c r="F60" i="1"/>
  <c r="V59" i="1"/>
  <c r="O59" i="1"/>
  <c r="S59" i="1"/>
  <c r="F59" i="1"/>
  <c r="V58" i="1"/>
  <c r="O58" i="1"/>
  <c r="S58" i="1"/>
  <c r="F58" i="1"/>
  <c r="AM24" i="1"/>
  <c r="AG24" i="1"/>
  <c r="AG56" i="1" s="1"/>
  <c r="V57" i="1"/>
  <c r="O57" i="1"/>
  <c r="S57" i="1"/>
  <c r="F57" i="1"/>
  <c r="V56" i="1"/>
  <c r="O56" i="1"/>
  <c r="S56" i="1"/>
  <c r="F56" i="1"/>
  <c r="V55" i="1"/>
  <c r="O55" i="1"/>
  <c r="S55" i="1"/>
  <c r="F55" i="1"/>
  <c r="S54" i="1"/>
  <c r="V54" i="1"/>
  <c r="O54" i="1"/>
  <c r="F54" i="1"/>
  <c r="V53" i="1"/>
  <c r="O53" i="1"/>
  <c r="S53" i="1"/>
  <c r="F53" i="1"/>
  <c r="V52" i="1"/>
  <c r="O52" i="1"/>
  <c r="S52" i="1"/>
  <c r="F52" i="1"/>
  <c r="V51" i="1"/>
  <c r="O51" i="1"/>
  <c r="S51" i="1"/>
  <c r="F51" i="1"/>
  <c r="V50" i="1"/>
  <c r="O50" i="1"/>
  <c r="S50" i="1"/>
  <c r="F50" i="1"/>
  <c r="V49" i="1"/>
  <c r="O49" i="1"/>
  <c r="S49" i="1"/>
  <c r="F49" i="1"/>
  <c r="V48" i="1"/>
  <c r="O48" i="1"/>
  <c r="S48" i="1"/>
  <c r="F48" i="1"/>
  <c r="V47" i="1"/>
  <c r="O47" i="1"/>
  <c r="S47" i="1"/>
  <c r="F47" i="1"/>
  <c r="AG46" i="1"/>
  <c r="V46" i="1"/>
  <c r="O46" i="1"/>
  <c r="S46" i="1"/>
  <c r="F46" i="1"/>
  <c r="V45" i="1"/>
  <c r="O45" i="1"/>
  <c r="S45" i="1"/>
  <c r="F45" i="1"/>
  <c r="V44" i="1"/>
  <c r="O44" i="1"/>
  <c r="S44" i="1"/>
  <c r="F44" i="1"/>
  <c r="V43" i="1"/>
  <c r="O43" i="1"/>
  <c r="S43" i="1"/>
  <c r="F43" i="1"/>
  <c r="V42" i="1"/>
  <c r="O42" i="1"/>
  <c r="S42" i="1"/>
  <c r="F42" i="1"/>
  <c r="V41" i="1"/>
  <c r="O41" i="1"/>
  <c r="S41" i="1"/>
  <c r="F41" i="1"/>
  <c r="V40" i="1"/>
  <c r="O40" i="1"/>
  <c r="S40" i="1"/>
  <c r="F40" i="1"/>
  <c r="V39" i="1"/>
  <c r="O39" i="1"/>
  <c r="S39" i="1"/>
  <c r="F39" i="1"/>
  <c r="V38" i="1"/>
  <c r="S38" i="1"/>
  <c r="O38" i="1"/>
  <c r="F38" i="1"/>
  <c r="V37" i="1"/>
  <c r="O37" i="1"/>
  <c r="S37" i="1"/>
  <c r="F37" i="1"/>
  <c r="V36" i="1"/>
  <c r="O36" i="1"/>
  <c r="S36" i="1"/>
  <c r="F36" i="1"/>
  <c r="V35" i="1"/>
  <c r="O35" i="1"/>
  <c r="S35" i="1"/>
  <c r="F35" i="1"/>
  <c r="V34" i="1"/>
  <c r="O34" i="1"/>
  <c r="S34" i="1"/>
  <c r="F34" i="1"/>
  <c r="V33" i="1"/>
  <c r="O33" i="1"/>
  <c r="S33" i="1"/>
  <c r="F33" i="1"/>
  <c r="V32" i="1"/>
  <c r="S32" i="1"/>
  <c r="O32" i="1"/>
  <c r="F32" i="1"/>
  <c r="V31" i="1"/>
  <c r="O31" i="1"/>
  <c r="S31" i="1"/>
  <c r="F31" i="1"/>
  <c r="V30" i="1"/>
  <c r="O30" i="1"/>
  <c r="S30" i="1"/>
  <c r="F30" i="1"/>
  <c r="AG23" i="1"/>
  <c r="AJ1" i="1"/>
  <c r="AK1" i="1"/>
  <c r="AL1" i="1"/>
  <c r="AH1" i="1"/>
  <c r="AI1" i="1"/>
  <c r="AG1" i="1"/>
  <c r="N2" i="1"/>
  <c r="O2" i="1"/>
  <c r="S2" i="1"/>
  <c r="O3" i="1"/>
  <c r="S3" i="1"/>
  <c r="V3" i="1"/>
  <c r="O4" i="1"/>
  <c r="S4" i="1"/>
  <c r="V4" i="1"/>
  <c r="O5" i="1"/>
  <c r="S5" i="1"/>
  <c r="V5" i="1"/>
  <c r="O6" i="1"/>
  <c r="S6" i="1"/>
  <c r="V6" i="1"/>
  <c r="O7" i="1"/>
  <c r="S7" i="1"/>
  <c r="V7" i="1"/>
  <c r="O8" i="1"/>
  <c r="S8" i="1"/>
  <c r="V8" i="1"/>
  <c r="O9" i="1"/>
  <c r="S9" i="1"/>
  <c r="V9" i="1"/>
  <c r="O10" i="1"/>
  <c r="S10" i="1"/>
  <c r="V10" i="1"/>
  <c r="O11" i="1"/>
  <c r="S11" i="1"/>
  <c r="V11" i="1"/>
  <c r="O12" i="1"/>
  <c r="S12" i="1"/>
  <c r="V12" i="1"/>
  <c r="O13" i="1"/>
  <c r="S13" i="1"/>
  <c r="V13" i="1"/>
  <c r="O14" i="1"/>
  <c r="S14" i="1"/>
  <c r="V14" i="1"/>
  <c r="O15" i="1"/>
  <c r="S15" i="1"/>
  <c r="V15" i="1"/>
  <c r="O16" i="1"/>
  <c r="S16" i="1"/>
  <c r="V16" i="1"/>
  <c r="O17" i="1"/>
  <c r="S17" i="1"/>
  <c r="V17" i="1"/>
  <c r="O18" i="1"/>
  <c r="S18" i="1"/>
  <c r="V18" i="1"/>
  <c r="O19" i="1"/>
  <c r="S19" i="1"/>
  <c r="V19" i="1"/>
  <c r="O20" i="1"/>
  <c r="S20" i="1"/>
  <c r="V20" i="1"/>
  <c r="O21" i="1"/>
  <c r="S21" i="1"/>
  <c r="V21" i="1"/>
  <c r="O22" i="1"/>
  <c r="V22" i="1"/>
  <c r="O23" i="1"/>
  <c r="S23" i="1"/>
  <c r="V23" i="1"/>
  <c r="V29" i="1"/>
  <c r="O29" i="1"/>
  <c r="S29" i="1"/>
  <c r="F29" i="1"/>
  <c r="V28" i="1"/>
  <c r="S28" i="1"/>
  <c r="O28" i="1"/>
  <c r="F28" i="1"/>
  <c r="V27" i="1"/>
  <c r="S27" i="1"/>
  <c r="O27" i="1"/>
  <c r="F27" i="1"/>
  <c r="V26" i="1"/>
  <c r="S26" i="1"/>
  <c r="O26" i="1"/>
  <c r="F26" i="1"/>
  <c r="V25" i="1"/>
  <c r="S25" i="1"/>
  <c r="O25" i="1"/>
  <c r="F25" i="1"/>
  <c r="V24" i="1"/>
  <c r="S24" i="1"/>
  <c r="AK24" i="1" s="1"/>
  <c r="O24" i="1"/>
  <c r="F24" i="1"/>
  <c r="F23" i="1"/>
  <c r="L22" i="1"/>
  <c r="S22" i="1"/>
  <c r="J22" i="1"/>
  <c r="F16" i="1"/>
  <c r="F17" i="1"/>
  <c r="F18" i="1"/>
  <c r="F19" i="1"/>
  <c r="F20" i="1"/>
  <c r="F21" i="1"/>
  <c r="F22" i="1"/>
  <c r="F10" i="1"/>
  <c r="F11" i="1"/>
  <c r="F12" i="1"/>
  <c r="F13" i="1"/>
  <c r="F14" i="1"/>
  <c r="F15" i="1"/>
  <c r="F9" i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F8" i="1"/>
  <c r="F7" i="1"/>
  <c r="F3" i="1"/>
  <c r="P5" i="10"/>
  <c r="P6" i="10"/>
  <c r="AC638" i="1" l="1"/>
  <c r="AD638" i="1"/>
  <c r="X654" i="1"/>
  <c r="X657" i="1"/>
  <c r="AC657" i="1"/>
  <c r="AD657" i="1"/>
  <c r="AC636" i="1"/>
  <c r="AC639" i="1"/>
  <c r="AC619" i="1"/>
  <c r="AC645" i="1"/>
  <c r="AD645" i="1"/>
  <c r="AC641" i="1"/>
  <c r="AD641" i="1"/>
  <c r="AC651" i="1"/>
  <c r="AD651" i="1"/>
  <c r="AD630" i="1"/>
  <c r="AC630" i="1"/>
  <c r="AC654" i="1"/>
  <c r="AD654" i="1"/>
  <c r="AC629" i="1"/>
  <c r="AD629" i="1"/>
  <c r="AC644" i="1"/>
  <c r="AD644" i="1"/>
  <c r="AC643" i="1"/>
  <c r="AD643" i="1"/>
  <c r="AC653" i="1"/>
  <c r="AD653" i="1"/>
  <c r="AC642" i="1"/>
  <c r="AD642" i="1"/>
  <c r="AC640" i="1"/>
  <c r="AD640" i="1"/>
  <c r="AC650" i="1"/>
  <c r="AD650" i="1"/>
  <c r="AD648" i="1"/>
  <c r="AC648" i="1"/>
  <c r="AC591" i="1"/>
  <c r="AC609" i="1"/>
  <c r="AC628" i="1"/>
  <c r="AD628" i="1"/>
  <c r="AD646" i="1"/>
  <c r="AC646" i="1"/>
  <c r="AC647" i="1"/>
  <c r="AD647" i="1"/>
  <c r="AC652" i="1"/>
  <c r="X653" i="1"/>
  <c r="AC626" i="1"/>
  <c r="AD626" i="1"/>
  <c r="AC655" i="1"/>
  <c r="AC631" i="1"/>
  <c r="AC635" i="1"/>
  <c r="AD635" i="1"/>
  <c r="AD633" i="1"/>
  <c r="AC633" i="1"/>
  <c r="AC649" i="1"/>
  <c r="AD649" i="1"/>
  <c r="AC634" i="1"/>
  <c r="AC632" i="1"/>
  <c r="AD632" i="1"/>
  <c r="AC627" i="1"/>
  <c r="X655" i="1"/>
  <c r="X651" i="1"/>
  <c r="X652" i="1"/>
  <c r="X649" i="1"/>
  <c r="X650" i="1"/>
  <c r="X647" i="1"/>
  <c r="X648" i="1"/>
  <c r="X640" i="1"/>
  <c r="X646" i="1"/>
  <c r="X645" i="1"/>
  <c r="X644" i="1"/>
  <c r="X643" i="1"/>
  <c r="X642" i="1"/>
  <c r="X637" i="1"/>
  <c r="X641" i="1"/>
  <c r="U6" i="10"/>
  <c r="U7" i="10"/>
  <c r="X638" i="1"/>
  <c r="X639" i="1"/>
  <c r="X634" i="1"/>
  <c r="X635" i="1"/>
  <c r="X636" i="1"/>
  <c r="X632" i="1"/>
  <c r="X633" i="1"/>
  <c r="X630" i="1"/>
  <c r="X631" i="1"/>
  <c r="X629" i="1"/>
  <c r="X626" i="1"/>
  <c r="X628" i="1"/>
  <c r="X627" i="1"/>
  <c r="X625" i="1"/>
  <c r="X623" i="1"/>
  <c r="AC623" i="1"/>
  <c r="AD623" i="1"/>
  <c r="AC625" i="1"/>
  <c r="AD625" i="1"/>
  <c r="AD618" i="1"/>
  <c r="AC618" i="1"/>
  <c r="AC620" i="1"/>
  <c r="AD620" i="1"/>
  <c r="AD617" i="1"/>
  <c r="AC617" i="1"/>
  <c r="AC621" i="1"/>
  <c r="AD621" i="1"/>
  <c r="X624" i="1"/>
  <c r="AC622" i="1"/>
  <c r="AD622" i="1"/>
  <c r="AC624" i="1"/>
  <c r="AD624" i="1"/>
  <c r="AD609" i="1"/>
  <c r="X622" i="1"/>
  <c r="X620" i="1"/>
  <c r="X621" i="1"/>
  <c r="X618" i="1"/>
  <c r="X619" i="1"/>
  <c r="X617" i="1"/>
  <c r="X616" i="1"/>
  <c r="AC614" i="1"/>
  <c r="AD614" i="1"/>
  <c r="AC613" i="1"/>
  <c r="AD613" i="1"/>
  <c r="AC606" i="1"/>
  <c r="AD606" i="1"/>
  <c r="AC603" i="1"/>
  <c r="AD603" i="1"/>
  <c r="AC612" i="1"/>
  <c r="AD612" i="1"/>
  <c r="AD610" i="1"/>
  <c r="AC610" i="1"/>
  <c r="AD616" i="1"/>
  <c r="AC616" i="1"/>
  <c r="X615" i="1"/>
  <c r="AC611" i="1"/>
  <c r="AD611" i="1"/>
  <c r="AC608" i="1"/>
  <c r="AD608" i="1"/>
  <c r="AC604" i="1"/>
  <c r="AD604" i="1"/>
  <c r="AD602" i="1"/>
  <c r="AC602" i="1"/>
  <c r="AC607" i="1"/>
  <c r="AD607" i="1"/>
  <c r="AC605" i="1"/>
  <c r="AD605" i="1"/>
  <c r="AC615" i="1"/>
  <c r="AD615" i="1"/>
  <c r="X614" i="1"/>
  <c r="X613" i="1"/>
  <c r="X612" i="1"/>
  <c r="X610" i="1"/>
  <c r="X611" i="1"/>
  <c r="X609" i="1"/>
  <c r="X608" i="1"/>
  <c r="X607" i="1"/>
  <c r="X606" i="1"/>
  <c r="X605" i="1"/>
  <c r="X603" i="1"/>
  <c r="X604" i="1"/>
  <c r="X601" i="1"/>
  <c r="X602" i="1"/>
  <c r="AC513" i="1"/>
  <c r="AD513" i="1"/>
  <c r="AC599" i="1"/>
  <c r="AD598" i="1"/>
  <c r="AC511" i="1"/>
  <c r="AD510" i="1"/>
  <c r="P15" i="1"/>
  <c r="P56" i="1"/>
  <c r="P66" i="1"/>
  <c r="P73" i="1"/>
  <c r="P80" i="1"/>
  <c r="P87" i="1"/>
  <c r="P104" i="1"/>
  <c r="P110" i="1"/>
  <c r="P124" i="1"/>
  <c r="P142" i="1"/>
  <c r="P150" i="1"/>
  <c r="P164" i="1"/>
  <c r="P178" i="1"/>
  <c r="P192" i="1"/>
  <c r="P203" i="1"/>
  <c r="P214" i="1"/>
  <c r="P231" i="1"/>
  <c r="P245" i="1"/>
  <c r="P259" i="1"/>
  <c r="P273" i="1"/>
  <c r="P287" i="1"/>
  <c r="P304" i="1"/>
  <c r="P318" i="1"/>
  <c r="P332" i="1"/>
  <c r="P346" i="1"/>
  <c r="P356" i="1"/>
  <c r="P29" i="1"/>
  <c r="P39" i="1"/>
  <c r="P46" i="1"/>
  <c r="P94" i="1"/>
  <c r="P134" i="1"/>
  <c r="P153" i="1"/>
  <c r="P167" i="1"/>
  <c r="P181" i="1"/>
  <c r="P184" i="1"/>
  <c r="P195" i="1"/>
  <c r="P220" i="1"/>
  <c r="P234" i="1"/>
  <c r="P248" i="1"/>
  <c r="P262" i="1"/>
  <c r="P276" i="1"/>
  <c r="P290" i="1"/>
  <c r="P307" i="1"/>
  <c r="P321" i="1"/>
  <c r="P335" i="1"/>
  <c r="P359" i="1"/>
  <c r="P113" i="1"/>
  <c r="P127" i="1"/>
  <c r="P156" i="1"/>
  <c r="P170" i="1"/>
  <c r="P206" i="1"/>
  <c r="P223" i="1"/>
  <c r="P237" i="1"/>
  <c r="P251" i="1"/>
  <c r="P265" i="1"/>
  <c r="P279" i="1"/>
  <c r="P293" i="1"/>
  <c r="P310" i="1"/>
  <c r="P324" i="1"/>
  <c r="P338" i="1"/>
  <c r="AC587" i="1"/>
  <c r="AD587" i="1"/>
  <c r="P296" i="1"/>
  <c r="AC573" i="1"/>
  <c r="AD573" i="1"/>
  <c r="AC572" i="1"/>
  <c r="AD572" i="1"/>
  <c r="AC597" i="1"/>
  <c r="AD597" i="1"/>
  <c r="AC600" i="1"/>
  <c r="AD600" i="1"/>
  <c r="AC592" i="1"/>
  <c r="AD592" i="1"/>
  <c r="AC582" i="1"/>
  <c r="AD582" i="1"/>
  <c r="AC601" i="1"/>
  <c r="X596" i="1"/>
  <c r="X600" i="1"/>
  <c r="X599" i="1"/>
  <c r="P24" i="1"/>
  <c r="P10" i="1"/>
  <c r="P60" i="1"/>
  <c r="P217" i="1"/>
  <c r="P14" i="1"/>
  <c r="P36" i="1"/>
  <c r="P43" i="1"/>
  <c r="P50" i="1"/>
  <c r="P67" i="1"/>
  <c r="P84" i="1"/>
  <c r="P91" i="1"/>
  <c r="P98" i="1"/>
  <c r="P130" i="1"/>
  <c r="P159" i="1"/>
  <c r="P226" i="1"/>
  <c r="P240" i="1"/>
  <c r="P254" i="1"/>
  <c r="P268" i="1"/>
  <c r="P282" i="1"/>
  <c r="P299" i="1"/>
  <c r="P313" i="1"/>
  <c r="P327" i="1"/>
  <c r="P341" i="1"/>
  <c r="P354" i="1"/>
  <c r="AJ24" i="1"/>
  <c r="AJ56" i="1" s="1"/>
  <c r="P30" i="1"/>
  <c r="P23" i="1"/>
  <c r="P9" i="1"/>
  <c r="P57" i="1"/>
  <c r="P74" i="1"/>
  <c r="P105" i="1"/>
  <c r="P108" i="1"/>
  <c r="P111" i="1"/>
  <c r="P119" i="1"/>
  <c r="P148" i="1"/>
  <c r="P162" i="1"/>
  <c r="P176" i="1"/>
  <c r="P190" i="1"/>
  <c r="P212" i="1"/>
  <c r="P215" i="1"/>
  <c r="P229" i="1"/>
  <c r="P243" i="1"/>
  <c r="P257" i="1"/>
  <c r="P271" i="1"/>
  <c r="P285" i="1"/>
  <c r="P302" i="1"/>
  <c r="P316" i="1"/>
  <c r="P330" i="1"/>
  <c r="P344" i="1"/>
  <c r="P349" i="1"/>
  <c r="AC595" i="1"/>
  <c r="P140" i="1"/>
  <c r="P145" i="1"/>
  <c r="P173" i="1"/>
  <c r="P187" i="1"/>
  <c r="P201" i="1"/>
  <c r="P209" i="1"/>
  <c r="P18" i="1"/>
  <c r="P40" i="1"/>
  <c r="P47" i="1"/>
  <c r="P71" i="1"/>
  <c r="P81" i="1"/>
  <c r="P88" i="1"/>
  <c r="P95" i="1"/>
  <c r="P102" i="1"/>
  <c r="P122" i="1"/>
  <c r="P143" i="1"/>
  <c r="P151" i="1"/>
  <c r="P165" i="1"/>
  <c r="P179" i="1"/>
  <c r="P193" i="1"/>
  <c r="P218" i="1"/>
  <c r="P232" i="1"/>
  <c r="P246" i="1"/>
  <c r="P260" i="1"/>
  <c r="P274" i="1"/>
  <c r="P288" i="1"/>
  <c r="P305" i="1"/>
  <c r="P319" i="1"/>
  <c r="P333" i="1"/>
  <c r="P347" i="1"/>
  <c r="P357" i="1"/>
  <c r="P121" i="1"/>
  <c r="P33" i="1"/>
  <c r="P53" i="1"/>
  <c r="P351" i="1"/>
  <c r="P28" i="1"/>
  <c r="P34" i="1"/>
  <c r="P8" i="1"/>
  <c r="P44" i="1"/>
  <c r="P54" i="1"/>
  <c r="P61" i="1"/>
  <c r="P64" i="1"/>
  <c r="P125" i="1"/>
  <c r="P128" i="1"/>
  <c r="P132" i="1"/>
  <c r="P135" i="1"/>
  <c r="P154" i="1"/>
  <c r="P168" i="1"/>
  <c r="P182" i="1"/>
  <c r="P196" i="1"/>
  <c r="P204" i="1"/>
  <c r="P22" i="1"/>
  <c r="P37" i="1"/>
  <c r="P51" i="1"/>
  <c r="P85" i="1"/>
  <c r="P99" i="1"/>
  <c r="P114" i="1"/>
  <c r="P131" i="1"/>
  <c r="P138" i="1"/>
  <c r="P157" i="1"/>
  <c r="P171" i="1"/>
  <c r="P185" i="1"/>
  <c r="P199" i="1"/>
  <c r="P207" i="1"/>
  <c r="P224" i="1"/>
  <c r="P238" i="1"/>
  <c r="P252" i="1"/>
  <c r="P263" i="1"/>
  <c r="P266" i="1"/>
  <c r="P280" i="1"/>
  <c r="P294" i="1"/>
  <c r="P311" i="1"/>
  <c r="P325" i="1"/>
  <c r="P339" i="1"/>
  <c r="P352" i="1"/>
  <c r="X595" i="1"/>
  <c r="P63" i="1"/>
  <c r="P70" i="1"/>
  <c r="P77" i="1"/>
  <c r="P101" i="1"/>
  <c r="P137" i="1"/>
  <c r="P198" i="1"/>
  <c r="P27" i="1"/>
  <c r="P13" i="1"/>
  <c r="P78" i="1"/>
  <c r="P221" i="1"/>
  <c r="P235" i="1"/>
  <c r="P249" i="1"/>
  <c r="P277" i="1"/>
  <c r="P291" i="1"/>
  <c r="P308" i="1"/>
  <c r="P322" i="1"/>
  <c r="P336" i="1"/>
  <c r="P31" i="1"/>
  <c r="P17" i="1"/>
  <c r="P58" i="1"/>
  <c r="P68" i="1"/>
  <c r="P75" i="1"/>
  <c r="P92" i="1"/>
  <c r="P106" i="1"/>
  <c r="P109" i="1"/>
  <c r="P117" i="1"/>
  <c r="P146" i="1"/>
  <c r="P160" i="1"/>
  <c r="P174" i="1"/>
  <c r="P188" i="1"/>
  <c r="P210" i="1"/>
  <c r="P227" i="1"/>
  <c r="P241" i="1"/>
  <c r="P255" i="1"/>
  <c r="P269" i="1"/>
  <c r="P283" i="1"/>
  <c r="P297" i="1"/>
  <c r="P300" i="1"/>
  <c r="P314" i="1"/>
  <c r="P328" i="1"/>
  <c r="P342" i="1"/>
  <c r="P355" i="1"/>
  <c r="P116" i="1"/>
  <c r="P19" i="1"/>
  <c r="P12" i="1"/>
  <c r="P149" i="1"/>
  <c r="P230" i="1"/>
  <c r="P244" i="1"/>
  <c r="P258" i="1"/>
  <c r="P272" i="1"/>
  <c r="P286" i="1"/>
  <c r="P303" i="1"/>
  <c r="P317" i="1"/>
  <c r="P331" i="1"/>
  <c r="P345" i="1"/>
  <c r="P21" i="1"/>
  <c r="P38" i="1"/>
  <c r="P55" i="1"/>
  <c r="P62" i="1"/>
  <c r="P65" i="1"/>
  <c r="P72" i="1"/>
  <c r="P79" i="1"/>
  <c r="P93" i="1"/>
  <c r="P103" i="1"/>
  <c r="P112" i="1"/>
  <c r="P123" i="1"/>
  <c r="P126" i="1"/>
  <c r="P144" i="1"/>
  <c r="P152" i="1"/>
  <c r="P166" i="1"/>
  <c r="P194" i="1"/>
  <c r="P216" i="1"/>
  <c r="P219" i="1"/>
  <c r="P233" i="1"/>
  <c r="P247" i="1"/>
  <c r="P261" i="1"/>
  <c r="P264" i="1"/>
  <c r="P275" i="1"/>
  <c r="P289" i="1"/>
  <c r="P306" i="1"/>
  <c r="P320" i="1"/>
  <c r="P334" i="1"/>
  <c r="P348" i="1"/>
  <c r="P350" i="1"/>
  <c r="P358" i="1"/>
  <c r="P26" i="1"/>
  <c r="P96" i="1"/>
  <c r="P236" i="1"/>
  <c r="P250" i="1"/>
  <c r="P309" i="1"/>
  <c r="P323" i="1"/>
  <c r="P337" i="1"/>
  <c r="P41" i="1"/>
  <c r="P82" i="1"/>
  <c r="P89" i="1"/>
  <c r="P120" i="1"/>
  <c r="P141" i="1"/>
  <c r="P163" i="1"/>
  <c r="P177" i="1"/>
  <c r="P180" i="1"/>
  <c r="P202" i="1"/>
  <c r="P213" i="1"/>
  <c r="P35" i="1"/>
  <c r="P16" i="1"/>
  <c r="P45" i="1"/>
  <c r="P52" i="1"/>
  <c r="P69" i="1"/>
  <c r="P86" i="1"/>
  <c r="P100" i="1"/>
  <c r="P155" i="1"/>
  <c r="P205" i="1"/>
  <c r="P32" i="1"/>
  <c r="P25" i="1"/>
  <c r="P11" i="1"/>
  <c r="P59" i="1"/>
  <c r="P76" i="1"/>
  <c r="P107" i="1"/>
  <c r="P115" i="1"/>
  <c r="P129" i="1"/>
  <c r="P139" i="1"/>
  <c r="P158" i="1"/>
  <c r="P172" i="1"/>
  <c r="P186" i="1"/>
  <c r="P189" i="1"/>
  <c r="P200" i="1"/>
  <c r="P208" i="1"/>
  <c r="P225" i="1"/>
  <c r="P239" i="1"/>
  <c r="P253" i="1"/>
  <c r="P267" i="1"/>
  <c r="P281" i="1"/>
  <c r="P295" i="1"/>
  <c r="P312" i="1"/>
  <c r="P326" i="1"/>
  <c r="P340" i="1"/>
  <c r="P353" i="1"/>
  <c r="P48" i="1"/>
  <c r="P133" i="1"/>
  <c r="P191" i="1"/>
  <c r="P136" i="1"/>
  <c r="P169" i="1"/>
  <c r="P183" i="1"/>
  <c r="P197" i="1"/>
  <c r="P222" i="1"/>
  <c r="P278" i="1"/>
  <c r="P292" i="1"/>
  <c r="P20" i="1"/>
  <c r="P42" i="1"/>
  <c r="P49" i="1"/>
  <c r="P83" i="1"/>
  <c r="P90" i="1"/>
  <c r="P97" i="1"/>
  <c r="P118" i="1"/>
  <c r="P147" i="1"/>
  <c r="P161" i="1"/>
  <c r="P175" i="1"/>
  <c r="P211" i="1"/>
  <c r="P228" i="1"/>
  <c r="P242" i="1"/>
  <c r="P256" i="1"/>
  <c r="P270" i="1"/>
  <c r="P284" i="1"/>
  <c r="P298" i="1"/>
  <c r="P301" i="1"/>
  <c r="P315" i="1"/>
  <c r="P329" i="1"/>
  <c r="P343" i="1"/>
  <c r="AC593" i="1"/>
  <c r="AC596" i="1"/>
  <c r="AC594" i="1"/>
  <c r="AC576" i="1"/>
  <c r="AC581" i="1"/>
  <c r="AC598" i="1"/>
  <c r="X598" i="1"/>
  <c r="X597" i="1"/>
  <c r="X594" i="1"/>
  <c r="X592" i="1"/>
  <c r="X593" i="1"/>
  <c r="X589" i="1"/>
  <c r="X590" i="1"/>
  <c r="AC588" i="1"/>
  <c r="AC589" i="1"/>
  <c r="AC577" i="1"/>
  <c r="X591" i="1"/>
  <c r="AC583" i="1"/>
  <c r="AC590" i="1"/>
  <c r="AC584" i="1"/>
  <c r="AC579" i="1"/>
  <c r="AC575" i="1"/>
  <c r="AC578" i="1"/>
  <c r="AC580" i="1"/>
  <c r="X588" i="1"/>
  <c r="X586" i="1"/>
  <c r="X587" i="1"/>
  <c r="X583" i="1"/>
  <c r="AC585" i="1"/>
  <c r="AC586" i="1"/>
  <c r="X584" i="1"/>
  <c r="X585" i="1"/>
  <c r="X582" i="1"/>
  <c r="X580" i="1"/>
  <c r="X581" i="1"/>
  <c r="X579" i="1"/>
  <c r="X578" i="1"/>
  <c r="X577" i="1"/>
  <c r="X575" i="1"/>
  <c r="X576" i="1"/>
  <c r="AC571" i="1"/>
  <c r="X574" i="1"/>
  <c r="AC520" i="1"/>
  <c r="AC564" i="1"/>
  <c r="X571" i="1"/>
  <c r="AC574" i="1"/>
  <c r="X573" i="1"/>
  <c r="X572" i="1"/>
  <c r="AC570" i="1"/>
  <c r="AC568" i="1"/>
  <c r="AC569" i="1"/>
  <c r="X570" i="1"/>
  <c r="AC562" i="1"/>
  <c r="AC566" i="1"/>
  <c r="AC551" i="1"/>
  <c r="AC527" i="1"/>
  <c r="AC559" i="1"/>
  <c r="X568" i="1"/>
  <c r="X569" i="1"/>
  <c r="AC540" i="1"/>
  <c r="AC563" i="1"/>
  <c r="AC516" i="1"/>
  <c r="AC525" i="1"/>
  <c r="AC554" i="1"/>
  <c r="X567" i="1"/>
  <c r="AC529" i="1"/>
  <c r="AC567" i="1"/>
  <c r="AC519" i="1"/>
  <c r="AC546" i="1"/>
  <c r="AC517" i="1"/>
  <c r="AC556" i="1"/>
  <c r="AC523" i="1"/>
  <c r="AC561" i="1"/>
  <c r="AC565" i="1"/>
  <c r="X565" i="1"/>
  <c r="X564" i="1"/>
  <c r="X566" i="1"/>
  <c r="X563" i="1"/>
  <c r="X562" i="1"/>
  <c r="X561" i="1"/>
  <c r="X560" i="1"/>
  <c r="AC533" i="1"/>
  <c r="AC557" i="1"/>
  <c r="AC550" i="1"/>
  <c r="AC544" i="1"/>
  <c r="AC547" i="1"/>
  <c r="AC530" i="1"/>
  <c r="AC541" i="1"/>
  <c r="AC536" i="1"/>
  <c r="AC553" i="1"/>
  <c r="AC534" i="1"/>
  <c r="AC542" i="1"/>
  <c r="AC552" i="1"/>
  <c r="AC545" i="1"/>
  <c r="AC537" i="1"/>
  <c r="AC526" i="1"/>
  <c r="AC521" i="1"/>
  <c r="AC558" i="1"/>
  <c r="AC518" i="1"/>
  <c r="AC514" i="1"/>
  <c r="AC543" i="1"/>
  <c r="AC548" i="1"/>
  <c r="X559" i="1"/>
  <c r="AC555" i="1"/>
  <c r="AC535" i="1"/>
  <c r="AC522" i="1"/>
  <c r="AC531" i="1"/>
  <c r="AC538" i="1"/>
  <c r="AC539" i="1"/>
  <c r="AC528" i="1"/>
  <c r="AC532" i="1"/>
  <c r="AC524" i="1"/>
  <c r="AC560" i="1"/>
  <c r="AC549" i="1"/>
  <c r="X558" i="1"/>
  <c r="X556" i="1"/>
  <c r="X557" i="1"/>
  <c r="X555" i="1"/>
  <c r="X553" i="1"/>
  <c r="X554" i="1"/>
  <c r="X551" i="1"/>
  <c r="X552" i="1"/>
  <c r="X549" i="1"/>
  <c r="X550" i="1"/>
  <c r="X546" i="1"/>
  <c r="X547" i="1"/>
  <c r="X548" i="1"/>
  <c r="X544" i="1"/>
  <c r="X545" i="1"/>
  <c r="X542" i="1"/>
  <c r="X543" i="1"/>
  <c r="X540" i="1"/>
  <c r="X541" i="1"/>
  <c r="X539" i="1"/>
  <c r="X538" i="1"/>
  <c r="X536" i="1"/>
  <c r="X537" i="1"/>
  <c r="X534" i="1"/>
  <c r="X535" i="1"/>
  <c r="X533" i="1"/>
  <c r="X532" i="1"/>
  <c r="X530" i="1"/>
  <c r="X531" i="1"/>
  <c r="X528" i="1"/>
  <c r="X529" i="1"/>
  <c r="X527" i="1"/>
  <c r="X526" i="1"/>
  <c r="X522" i="1"/>
  <c r="X525" i="1"/>
  <c r="X524" i="1"/>
  <c r="X523" i="1"/>
  <c r="X521" i="1"/>
  <c r="X520" i="1"/>
  <c r="X518" i="1"/>
  <c r="X519" i="1"/>
  <c r="AC509" i="1"/>
  <c r="X517" i="1"/>
  <c r="AC515" i="1"/>
  <c r="X427" i="1"/>
  <c r="X516" i="1"/>
  <c r="X487" i="1"/>
  <c r="X462" i="1"/>
  <c r="X460" i="1"/>
  <c r="X505" i="1"/>
  <c r="X514" i="1"/>
  <c r="X375" i="1"/>
  <c r="X515" i="1"/>
  <c r="X513" i="1"/>
  <c r="X408" i="1"/>
  <c r="X405" i="1"/>
  <c r="X376" i="1"/>
  <c r="X404" i="1"/>
  <c r="X429" i="1"/>
  <c r="X503" i="1"/>
  <c r="X428" i="1"/>
  <c r="X424" i="1"/>
  <c r="X488" i="1"/>
  <c r="X403" i="1"/>
  <c r="X406" i="1"/>
  <c r="X401" i="1"/>
  <c r="X373" i="1"/>
  <c r="X458" i="1"/>
  <c r="X459" i="1"/>
  <c r="X398" i="1"/>
  <c r="X399" i="1"/>
  <c r="X397" i="1"/>
  <c r="X485" i="1"/>
  <c r="X372" i="1"/>
  <c r="X509" i="1"/>
  <c r="X507" i="1"/>
  <c r="X508" i="1"/>
  <c r="X374" i="1"/>
  <c r="X484" i="1"/>
  <c r="X461" i="1"/>
  <c r="X377" i="1"/>
  <c r="X402" i="1"/>
  <c r="X463" i="1"/>
  <c r="X506" i="1"/>
  <c r="X426" i="1"/>
  <c r="X483" i="1"/>
  <c r="X407" i="1"/>
  <c r="X504" i="1"/>
  <c r="X425" i="1"/>
  <c r="X400" i="1"/>
  <c r="X486" i="1"/>
  <c r="AC510" i="1"/>
  <c r="AC507" i="1"/>
  <c r="AC508" i="1"/>
  <c r="AC502" i="1"/>
  <c r="AC504" i="1"/>
  <c r="AC505" i="1"/>
  <c r="AC506" i="1"/>
  <c r="AC362" i="1"/>
  <c r="AC503" i="1"/>
  <c r="AC501" i="1"/>
  <c r="AC499" i="1"/>
  <c r="AC487" i="1"/>
  <c r="AC500" i="1"/>
  <c r="AC443" i="1"/>
  <c r="AC458" i="1"/>
  <c r="AC469" i="1"/>
  <c r="AC490" i="1"/>
  <c r="AC496" i="1"/>
  <c r="AC484" i="1"/>
  <c r="AC476" i="1"/>
  <c r="AC495" i="1"/>
  <c r="AC497" i="1"/>
  <c r="AC493" i="1"/>
  <c r="AC498" i="1"/>
  <c r="AC463" i="1"/>
  <c r="AC473" i="1"/>
  <c r="AC494" i="1"/>
  <c r="AC480" i="1"/>
  <c r="AC485" i="1"/>
  <c r="AC491" i="1"/>
  <c r="AC492" i="1"/>
  <c r="AC470" i="1"/>
  <c r="AC478" i="1"/>
  <c r="AC430" i="1"/>
  <c r="AC475" i="1"/>
  <c r="AC483" i="1"/>
  <c r="AC460" i="1"/>
  <c r="AC456" i="1"/>
  <c r="AC481" i="1"/>
  <c r="AC464" i="1"/>
  <c r="AC466" i="1"/>
  <c r="AC461" i="1"/>
  <c r="AC462" i="1"/>
  <c r="AC455" i="1"/>
  <c r="AC482" i="1"/>
  <c r="AC457" i="1"/>
  <c r="AC459" i="1"/>
  <c r="AC467" i="1"/>
  <c r="AC471" i="1"/>
  <c r="AC488" i="1"/>
  <c r="AC465" i="1"/>
  <c r="AC489" i="1"/>
  <c r="AC474" i="1"/>
  <c r="AC477" i="1"/>
  <c r="AC486" i="1"/>
  <c r="AC468" i="1"/>
  <c r="AC479" i="1"/>
  <c r="AC472" i="1"/>
  <c r="AC453" i="1"/>
  <c r="AC425" i="1"/>
  <c r="AC437" i="1"/>
  <c r="AC438" i="1"/>
  <c r="AC434" i="1"/>
  <c r="AC416" i="1"/>
  <c r="AC431" i="1"/>
  <c r="AC423" i="1"/>
  <c r="AC446" i="1"/>
  <c r="AC436" i="1"/>
  <c r="AC454" i="1"/>
  <c r="AC435" i="1"/>
  <c r="AC422" i="1"/>
  <c r="AC451" i="1"/>
  <c r="AC402" i="1"/>
  <c r="AC449" i="1"/>
  <c r="AC432" i="1"/>
  <c r="AC418" i="1"/>
  <c r="AC450" i="1"/>
  <c r="AC412" i="1"/>
  <c r="AC409" i="1"/>
  <c r="AC452" i="1"/>
  <c r="AC424" i="1"/>
  <c r="AC427" i="1"/>
  <c r="AC411" i="1"/>
  <c r="AC444" i="1"/>
  <c r="AC413" i="1"/>
  <c r="AC406" i="1"/>
  <c r="AC440" i="1"/>
  <c r="AC421" i="1"/>
  <c r="AC447" i="1"/>
  <c r="AC417" i="1"/>
  <c r="AC428" i="1"/>
  <c r="AC414" i="1"/>
  <c r="AC448" i="1"/>
  <c r="AC426" i="1"/>
  <c r="AC439" i="1"/>
  <c r="AC408" i="1"/>
  <c r="AC415" i="1"/>
  <c r="AC410" i="1"/>
  <c r="AC445" i="1"/>
  <c r="AC433" i="1"/>
  <c r="AC429" i="1"/>
  <c r="AC390" i="1"/>
  <c r="AC441" i="1"/>
  <c r="AC407" i="1"/>
  <c r="AC419" i="1"/>
  <c r="AC401" i="1"/>
  <c r="AC442" i="1"/>
  <c r="AC405" i="1"/>
  <c r="AC420" i="1"/>
  <c r="AC404" i="1"/>
  <c r="AC394" i="1"/>
  <c r="AC386" i="1"/>
  <c r="AC396" i="1"/>
  <c r="AC403" i="1"/>
  <c r="AC392" i="1"/>
  <c r="AC398" i="1"/>
  <c r="AC395" i="1"/>
  <c r="AC388" i="1"/>
  <c r="AC399" i="1"/>
  <c r="AC397" i="1"/>
  <c r="AC400" i="1"/>
  <c r="AC387" i="1"/>
  <c r="AC391" i="1"/>
  <c r="AC389" i="1"/>
  <c r="AC393" i="1"/>
  <c r="AC383" i="1"/>
  <c r="AC382" i="1"/>
  <c r="AC384" i="1"/>
  <c r="AC385" i="1"/>
  <c r="AC380" i="1"/>
  <c r="AC377" i="1"/>
  <c r="AC381" i="1"/>
  <c r="AC378" i="1"/>
  <c r="AC375" i="1"/>
  <c r="AC365" i="1"/>
  <c r="AC368" i="1"/>
  <c r="AC379" i="1"/>
  <c r="AC367" i="1"/>
  <c r="AC373" i="1"/>
  <c r="AC374" i="1"/>
  <c r="AC376" i="1"/>
  <c r="AC363" i="1"/>
  <c r="AC369" i="1"/>
  <c r="U347" i="1"/>
  <c r="AA352" i="1"/>
  <c r="AC370" i="1"/>
  <c r="H351" i="1"/>
  <c r="AA357" i="1"/>
  <c r="H349" i="1"/>
  <c r="AA355" i="1"/>
  <c r="AA351" i="1"/>
  <c r="H353" i="1"/>
  <c r="AA359" i="1"/>
  <c r="AA356" i="1"/>
  <c r="H352" i="1"/>
  <c r="AA358" i="1"/>
  <c r="AC366" i="1"/>
  <c r="AA360" i="1"/>
  <c r="U355" i="1"/>
  <c r="AA354" i="1"/>
  <c r="AC371" i="1"/>
  <c r="AC364" i="1"/>
  <c r="AC372" i="1"/>
  <c r="I354" i="1"/>
  <c r="T355" i="1" s="1"/>
  <c r="H354" i="1"/>
  <c r="U354" i="1"/>
  <c r="AA353" i="1"/>
  <c r="U353" i="1"/>
  <c r="I353" i="1"/>
  <c r="I352" i="1"/>
  <c r="U352" i="1"/>
  <c r="U351" i="1"/>
  <c r="I351" i="1"/>
  <c r="AA345" i="1"/>
  <c r="U346" i="1"/>
  <c r="AA347" i="1"/>
  <c r="AA349" i="1"/>
  <c r="U345" i="1"/>
  <c r="AA346" i="1"/>
  <c r="AA348" i="1"/>
  <c r="AA350" i="1"/>
  <c r="I350" i="1"/>
  <c r="H350" i="1"/>
  <c r="U350" i="1"/>
  <c r="U349" i="1"/>
  <c r="I349" i="1"/>
  <c r="U348" i="1"/>
  <c r="I348" i="1"/>
  <c r="I347" i="1"/>
  <c r="R347" i="1" s="1"/>
  <c r="W347" i="1" s="1"/>
  <c r="H347" i="1"/>
  <c r="I346" i="1"/>
  <c r="I345" i="1"/>
  <c r="U344" i="1"/>
  <c r="AA344" i="1"/>
  <c r="I344" i="1"/>
  <c r="AA340" i="1"/>
  <c r="U339" i="1"/>
  <c r="U337" i="1"/>
  <c r="AA338" i="1"/>
  <c r="AA341" i="1"/>
  <c r="U336" i="1"/>
  <c r="AA337" i="1"/>
  <c r="AA343" i="1"/>
  <c r="U334" i="1"/>
  <c r="U341" i="1"/>
  <c r="AA342" i="1"/>
  <c r="AA336" i="1"/>
  <c r="AA339" i="1"/>
  <c r="AA335" i="1"/>
  <c r="U343" i="1"/>
  <c r="I343" i="1"/>
  <c r="Q6" i="10"/>
  <c r="R6" i="10" s="1"/>
  <c r="S6" i="10" s="1"/>
  <c r="Q5" i="10"/>
  <c r="R5" i="10" s="1"/>
  <c r="S5" i="10" s="1"/>
  <c r="I342" i="1"/>
  <c r="R342" i="1" s="1"/>
  <c r="W342" i="1" s="1"/>
  <c r="H342" i="1"/>
  <c r="U342" i="1"/>
  <c r="I341" i="1"/>
  <c r="I340" i="1"/>
  <c r="R340" i="1" s="1"/>
  <c r="W340" i="1" s="1"/>
  <c r="U340" i="1"/>
  <c r="I339" i="1"/>
  <c r="R339" i="1" s="1"/>
  <c r="W339" i="1" s="1"/>
  <c r="H339" i="1"/>
  <c r="I338" i="1"/>
  <c r="R338" i="1" s="1"/>
  <c r="W338" i="1" s="1"/>
  <c r="H338" i="1"/>
  <c r="U338" i="1"/>
  <c r="I337" i="1"/>
  <c r="I336" i="1"/>
  <c r="U335" i="1"/>
  <c r="I335" i="1"/>
  <c r="I327" i="1"/>
  <c r="R327" i="1" s="1"/>
  <c r="W327" i="1" s="1"/>
  <c r="I325" i="1"/>
  <c r="R325" i="1" s="1"/>
  <c r="W325" i="1" s="1"/>
  <c r="U333" i="1"/>
  <c r="U328" i="1"/>
  <c r="AA317" i="1"/>
  <c r="AA313" i="1"/>
  <c r="U310" i="1"/>
  <c r="U323" i="1"/>
  <c r="U332" i="1"/>
  <c r="AA316" i="1"/>
  <c r="AA328" i="1"/>
  <c r="U313" i="1"/>
  <c r="AA318" i="1"/>
  <c r="AA307" i="1"/>
  <c r="AA310" i="1"/>
  <c r="AA321" i="1"/>
  <c r="AA327" i="1"/>
  <c r="AA333" i="1"/>
  <c r="U320" i="1"/>
  <c r="U325" i="1"/>
  <c r="AA330" i="1"/>
  <c r="AA304" i="1"/>
  <c r="AA319" i="1"/>
  <c r="AA323" i="1"/>
  <c r="AA326" i="1"/>
  <c r="AA309" i="1"/>
  <c r="AA312" i="1"/>
  <c r="AA315" i="1"/>
  <c r="AA332" i="1"/>
  <c r="AA306" i="1"/>
  <c r="AA329" i="1"/>
  <c r="AA303" i="1"/>
  <c r="AA320" i="1"/>
  <c r="AA325" i="1"/>
  <c r="U327" i="1"/>
  <c r="AA322" i="1"/>
  <c r="AA308" i="1"/>
  <c r="AA311" i="1"/>
  <c r="AA314" i="1"/>
  <c r="AA331" i="1"/>
  <c r="AA334" i="1"/>
  <c r="AA305" i="1"/>
  <c r="I310" i="1"/>
  <c r="R310" i="1" s="1"/>
  <c r="W310" i="1" s="1"/>
  <c r="AA324" i="1"/>
  <c r="U326" i="1"/>
  <c r="I334" i="1"/>
  <c r="R334" i="1" s="1"/>
  <c r="W334" i="1" s="1"/>
  <c r="H334" i="1"/>
  <c r="I333" i="1"/>
  <c r="R333" i="1" s="1"/>
  <c r="W333" i="1" s="1"/>
  <c r="H333" i="1"/>
  <c r="I332" i="1"/>
  <c r="R332" i="1" s="1"/>
  <c r="W332" i="1" s="1"/>
  <c r="U331" i="1"/>
  <c r="I331" i="1"/>
  <c r="U330" i="1"/>
  <c r="I330" i="1"/>
  <c r="I329" i="1"/>
  <c r="R329" i="1" s="1"/>
  <c r="W329" i="1" s="1"/>
  <c r="U329" i="1"/>
  <c r="I328" i="1"/>
  <c r="I326" i="1"/>
  <c r="I324" i="1"/>
  <c r="R324" i="1" s="1"/>
  <c r="W324" i="1" s="1"/>
  <c r="U324" i="1"/>
  <c r="I323" i="1"/>
  <c r="R323" i="1" s="1"/>
  <c r="W323" i="1" s="1"/>
  <c r="H323" i="1"/>
  <c r="U322" i="1"/>
  <c r="I322" i="1"/>
  <c r="R322" i="1" s="1"/>
  <c r="W322" i="1" s="1"/>
  <c r="U321" i="1"/>
  <c r="I321" i="1"/>
  <c r="I320" i="1"/>
  <c r="U319" i="1"/>
  <c r="I319" i="1"/>
  <c r="I318" i="1"/>
  <c r="U318" i="1"/>
  <c r="I317" i="1"/>
  <c r="U317" i="1"/>
  <c r="H317" i="1"/>
  <c r="I316" i="1"/>
  <c r="U316" i="1"/>
  <c r="I315" i="1"/>
  <c r="U315" i="1"/>
  <c r="I314" i="1"/>
  <c r="U314" i="1"/>
  <c r="I313" i="1"/>
  <c r="I312" i="1"/>
  <c r="U312" i="1"/>
  <c r="I311" i="1"/>
  <c r="U311" i="1"/>
  <c r="H310" i="1"/>
  <c r="I309" i="1"/>
  <c r="U309" i="1"/>
  <c r="I308" i="1"/>
  <c r="U308" i="1"/>
  <c r="I307" i="1"/>
  <c r="U307" i="1"/>
  <c r="I306" i="1"/>
  <c r="U306" i="1"/>
  <c r="I305" i="1"/>
  <c r="U305" i="1"/>
  <c r="I304" i="1"/>
  <c r="U304" i="1"/>
  <c r="I303" i="1"/>
  <c r="U303" i="1"/>
  <c r="AA294" i="1"/>
  <c r="AA299" i="1"/>
  <c r="AA300" i="1"/>
  <c r="I291" i="1"/>
  <c r="R291" i="1" s="1"/>
  <c r="AA293" i="1"/>
  <c r="AA295" i="1"/>
  <c r="I290" i="1"/>
  <c r="R290" i="1" s="1"/>
  <c r="AA296" i="1"/>
  <c r="AA297" i="1"/>
  <c r="AA301" i="1"/>
  <c r="AA302" i="1"/>
  <c r="I250" i="1"/>
  <c r="R250" i="1" s="1"/>
  <c r="AA298" i="1"/>
  <c r="U302" i="1"/>
  <c r="I302" i="1"/>
  <c r="I301" i="1"/>
  <c r="U301" i="1"/>
  <c r="I300" i="1"/>
  <c r="U300" i="1"/>
  <c r="I299" i="1"/>
  <c r="U299" i="1"/>
  <c r="I298" i="1"/>
  <c r="U298" i="1"/>
  <c r="I297" i="1"/>
  <c r="U297" i="1"/>
  <c r="I296" i="1"/>
  <c r="U296" i="1"/>
  <c r="I295" i="1"/>
  <c r="U295" i="1"/>
  <c r="I294" i="1"/>
  <c r="U294" i="1"/>
  <c r="I293" i="1"/>
  <c r="U293" i="1"/>
  <c r="U288" i="1"/>
  <c r="I292" i="1"/>
  <c r="R292" i="1" s="1"/>
  <c r="U292" i="1"/>
  <c r="U291" i="1"/>
  <c r="U217" i="1"/>
  <c r="I289" i="1"/>
  <c r="R289" i="1" s="1"/>
  <c r="W289" i="1" s="1"/>
  <c r="AA288" i="1"/>
  <c r="I216" i="1"/>
  <c r="R216" i="1" s="1"/>
  <c r="I232" i="1"/>
  <c r="R232" i="1" s="1"/>
  <c r="H288" i="1"/>
  <c r="AA292" i="1"/>
  <c r="AA291" i="1"/>
  <c r="U290" i="1"/>
  <c r="AA290" i="1"/>
  <c r="U289" i="1"/>
  <c r="AA289" i="1"/>
  <c r="I288" i="1"/>
  <c r="I249" i="1"/>
  <c r="R249" i="1" s="1"/>
  <c r="I280" i="1"/>
  <c r="R280" i="1" s="1"/>
  <c r="I273" i="1"/>
  <c r="R273" i="1" s="1"/>
  <c r="I275" i="1"/>
  <c r="R275" i="1" s="1"/>
  <c r="W275" i="1" s="1"/>
  <c r="U276" i="1"/>
  <c r="I264" i="1"/>
  <c r="R264" i="1" s="1"/>
  <c r="I241" i="1"/>
  <c r="R241" i="1" s="1"/>
  <c r="U215" i="1"/>
  <c r="I246" i="1"/>
  <c r="R246" i="1" s="1"/>
  <c r="U247" i="1"/>
  <c r="U280" i="1"/>
  <c r="AA285" i="1"/>
  <c r="H217" i="1"/>
  <c r="I272" i="1"/>
  <c r="AA217" i="1"/>
  <c r="AA227" i="1"/>
  <c r="I262" i="1"/>
  <c r="R262" i="1" s="1"/>
  <c r="U281" i="1"/>
  <c r="I238" i="1"/>
  <c r="R238" i="1" s="1"/>
  <c r="I248" i="1"/>
  <c r="R248" i="1" s="1"/>
  <c r="U230" i="1"/>
  <c r="AA234" i="1"/>
  <c r="AA213" i="1"/>
  <c r="U225" i="1"/>
  <c r="AA232" i="1"/>
  <c r="AA241" i="1"/>
  <c r="U242" i="1"/>
  <c r="AA246" i="1"/>
  <c r="I251" i="1"/>
  <c r="R251" i="1" s="1"/>
  <c r="W251" i="1" s="1"/>
  <c r="I278" i="1"/>
  <c r="R278" i="1" s="1"/>
  <c r="I283" i="1"/>
  <c r="AA219" i="1"/>
  <c r="I220" i="1"/>
  <c r="R220" i="1" s="1"/>
  <c r="AA224" i="1"/>
  <c r="I228" i="1"/>
  <c r="R228" i="1" s="1"/>
  <c r="I230" i="1"/>
  <c r="R230" i="1" s="1"/>
  <c r="I243" i="1"/>
  <c r="R243" i="1" s="1"/>
  <c r="AA245" i="1"/>
  <c r="AA261" i="1"/>
  <c r="AA270" i="1"/>
  <c r="I271" i="1"/>
  <c r="R271" i="1" s="1"/>
  <c r="W271" i="1" s="1"/>
  <c r="AA272" i="1"/>
  <c r="U275" i="1"/>
  <c r="I277" i="1"/>
  <c r="R277" i="1" s="1"/>
  <c r="AA216" i="1"/>
  <c r="AA235" i="1"/>
  <c r="AA244" i="1"/>
  <c r="AA275" i="1"/>
  <c r="U282" i="1"/>
  <c r="AA284" i="1"/>
  <c r="I213" i="1"/>
  <c r="AA222" i="1"/>
  <c r="U226" i="1"/>
  <c r="U227" i="1"/>
  <c r="U228" i="1"/>
  <c r="AA229" i="1"/>
  <c r="U243" i="1"/>
  <c r="AA256" i="1"/>
  <c r="AA259" i="1"/>
  <c r="I260" i="1"/>
  <c r="R260" i="1" s="1"/>
  <c r="I267" i="1"/>
  <c r="R267" i="1" s="1"/>
  <c r="I268" i="1"/>
  <c r="I269" i="1"/>
  <c r="R269" i="1" s="1"/>
  <c r="U277" i="1"/>
  <c r="I215" i="1"/>
  <c r="I217" i="1"/>
  <c r="R217" i="1" s="1"/>
  <c r="AA225" i="1"/>
  <c r="AA228" i="1"/>
  <c r="U232" i="1"/>
  <c r="AA233" i="1"/>
  <c r="I235" i="1"/>
  <c r="R235" i="1" s="1"/>
  <c r="I266" i="1"/>
  <c r="AA273" i="1"/>
  <c r="AA276" i="1"/>
  <c r="I282" i="1"/>
  <c r="R282" i="1" s="1"/>
  <c r="I287" i="1"/>
  <c r="R287" i="1" s="1"/>
  <c r="W287" i="1" s="1"/>
  <c r="U213" i="1"/>
  <c r="AA218" i="1"/>
  <c r="AA221" i="1"/>
  <c r="U223" i="1"/>
  <c r="I231" i="1"/>
  <c r="R231" i="1" s="1"/>
  <c r="U246" i="1"/>
  <c r="AA249" i="1"/>
  <c r="U260" i="1"/>
  <c r="U261" i="1"/>
  <c r="AA264" i="1"/>
  <c r="AA279" i="1"/>
  <c r="H230" i="1"/>
  <c r="H234" i="1"/>
  <c r="AA254" i="1"/>
  <c r="AA281" i="1"/>
  <c r="U287" i="1"/>
  <c r="AA287" i="1"/>
  <c r="I286" i="1"/>
  <c r="AA286" i="1"/>
  <c r="U286" i="1"/>
  <c r="I285" i="1"/>
  <c r="U285" i="1"/>
  <c r="I284" i="1"/>
  <c r="U284" i="1"/>
  <c r="U283" i="1"/>
  <c r="H283" i="1"/>
  <c r="AA283" i="1"/>
  <c r="H281" i="1"/>
  <c r="AA282" i="1"/>
  <c r="I281" i="1"/>
  <c r="AA280" i="1"/>
  <c r="I279" i="1"/>
  <c r="U279" i="1"/>
  <c r="U278" i="1"/>
  <c r="AA278" i="1"/>
  <c r="AA277" i="1"/>
  <c r="I276" i="1"/>
  <c r="I274" i="1"/>
  <c r="U274" i="1"/>
  <c r="AA274" i="1"/>
  <c r="U273" i="1"/>
  <c r="H273" i="1"/>
  <c r="U272" i="1"/>
  <c r="U271" i="1"/>
  <c r="AA271" i="1"/>
  <c r="I270" i="1"/>
  <c r="U270" i="1"/>
  <c r="AA268" i="1"/>
  <c r="U269" i="1"/>
  <c r="AA269" i="1"/>
  <c r="U268" i="1"/>
  <c r="AA266" i="1"/>
  <c r="U267" i="1"/>
  <c r="AA267" i="1"/>
  <c r="U266" i="1"/>
  <c r="U265" i="1"/>
  <c r="AA265" i="1"/>
  <c r="I265" i="1"/>
  <c r="U264" i="1"/>
  <c r="I263" i="1"/>
  <c r="U263" i="1"/>
  <c r="AA263" i="1"/>
  <c r="U262" i="1"/>
  <c r="AA262" i="1"/>
  <c r="I261" i="1"/>
  <c r="AA260" i="1"/>
  <c r="I259" i="1"/>
  <c r="U259" i="1"/>
  <c r="AA258" i="1"/>
  <c r="U258" i="1"/>
  <c r="I258" i="1"/>
  <c r="I257" i="1"/>
  <c r="U257" i="1"/>
  <c r="AA257" i="1"/>
  <c r="I256" i="1"/>
  <c r="R256" i="1" s="1"/>
  <c r="W256" i="1" s="1"/>
  <c r="U256" i="1"/>
  <c r="I255" i="1"/>
  <c r="U255" i="1"/>
  <c r="AA255" i="1"/>
  <c r="I254" i="1"/>
  <c r="U254" i="1"/>
  <c r="I253" i="1"/>
  <c r="U253" i="1"/>
  <c r="AA253" i="1"/>
  <c r="I252" i="1"/>
  <c r="AA247" i="1"/>
  <c r="U248" i="1"/>
  <c r="AA251" i="1"/>
  <c r="U250" i="1"/>
  <c r="I247" i="1"/>
  <c r="H250" i="1"/>
  <c r="U252" i="1"/>
  <c r="U249" i="1"/>
  <c r="AA248" i="1"/>
  <c r="AA250" i="1"/>
  <c r="U251" i="1"/>
  <c r="AA252" i="1"/>
  <c r="I245" i="1"/>
  <c r="U245" i="1"/>
  <c r="I244" i="1"/>
  <c r="U244" i="1"/>
  <c r="AA243" i="1"/>
  <c r="AA242" i="1"/>
  <c r="I242" i="1"/>
  <c r="U241" i="1"/>
  <c r="H241" i="1"/>
  <c r="I240" i="1"/>
  <c r="U240" i="1"/>
  <c r="AA240" i="1"/>
  <c r="U239" i="1"/>
  <c r="U238" i="1"/>
  <c r="AA238" i="1"/>
  <c r="I239" i="1"/>
  <c r="AA239" i="1"/>
  <c r="I237" i="1"/>
  <c r="U237" i="1"/>
  <c r="AA237" i="1"/>
  <c r="I236" i="1"/>
  <c r="U236" i="1"/>
  <c r="AA236" i="1"/>
  <c r="U235" i="1"/>
  <c r="I234" i="1"/>
  <c r="U234" i="1"/>
  <c r="I233" i="1"/>
  <c r="U233" i="1"/>
  <c r="H231" i="1"/>
  <c r="AA230" i="1"/>
  <c r="U231" i="1"/>
  <c r="AA231" i="1"/>
  <c r="I229" i="1"/>
  <c r="U229" i="1"/>
  <c r="I227" i="1"/>
  <c r="I226" i="1"/>
  <c r="AA226" i="1"/>
  <c r="I225" i="1"/>
  <c r="I224" i="1"/>
  <c r="U224" i="1"/>
  <c r="I223" i="1"/>
  <c r="AA223" i="1"/>
  <c r="I222" i="1"/>
  <c r="U222" i="1"/>
  <c r="H222" i="1"/>
  <c r="I221" i="1"/>
  <c r="U221" i="1"/>
  <c r="H221" i="1"/>
  <c r="U220" i="1"/>
  <c r="AA220" i="1"/>
  <c r="I219" i="1"/>
  <c r="U219" i="1"/>
  <c r="I218" i="1"/>
  <c r="U218" i="1"/>
  <c r="AA215" i="1"/>
  <c r="U216" i="1"/>
  <c r="I214" i="1"/>
  <c r="U214" i="1"/>
  <c r="AA214" i="1"/>
  <c r="I212" i="1"/>
  <c r="U212" i="1"/>
  <c r="AA212" i="1"/>
  <c r="U207" i="1"/>
  <c r="I210" i="1"/>
  <c r="R210" i="1" s="1"/>
  <c r="I204" i="1"/>
  <c r="R204" i="1" s="1"/>
  <c r="AA211" i="1"/>
  <c r="I200" i="1"/>
  <c r="R200" i="1" s="1"/>
  <c r="AA207" i="1"/>
  <c r="AA210" i="1"/>
  <c r="I211" i="1"/>
  <c r="R211" i="1" s="1"/>
  <c r="W211" i="1" s="1"/>
  <c r="I203" i="1"/>
  <c r="R203" i="1" s="1"/>
  <c r="AI184" i="1"/>
  <c r="I202" i="1"/>
  <c r="R202" i="1" s="1"/>
  <c r="U203" i="1"/>
  <c r="H211" i="1"/>
  <c r="U211" i="1"/>
  <c r="U210" i="1"/>
  <c r="U209" i="1"/>
  <c r="AA209" i="1"/>
  <c r="I209" i="1"/>
  <c r="I208" i="1"/>
  <c r="U208" i="1"/>
  <c r="AA208" i="1"/>
  <c r="I207" i="1"/>
  <c r="I206" i="1"/>
  <c r="U206" i="1"/>
  <c r="AA206" i="1"/>
  <c r="AA199" i="1"/>
  <c r="AA198" i="1"/>
  <c r="I199" i="1"/>
  <c r="R199" i="1" s="1"/>
  <c r="AA201" i="1"/>
  <c r="AA203" i="1"/>
  <c r="AA200" i="1"/>
  <c r="I205" i="1"/>
  <c r="U205" i="1"/>
  <c r="AA205" i="1"/>
  <c r="U204" i="1"/>
  <c r="AA204" i="1"/>
  <c r="U202" i="1"/>
  <c r="AA202" i="1"/>
  <c r="I201" i="1"/>
  <c r="U201" i="1"/>
  <c r="U200" i="1"/>
  <c r="H200" i="1"/>
  <c r="U199" i="1"/>
  <c r="H199" i="1"/>
  <c r="I198" i="1"/>
  <c r="U198" i="1"/>
  <c r="I193" i="1"/>
  <c r="R193" i="1" s="1"/>
  <c r="AJ184" i="1"/>
  <c r="AK184" i="1"/>
  <c r="I190" i="1"/>
  <c r="R190" i="1" s="1"/>
  <c r="I180" i="1"/>
  <c r="R180" i="1" s="1"/>
  <c r="AA197" i="1"/>
  <c r="AA196" i="1"/>
  <c r="H197" i="1"/>
  <c r="I197" i="1"/>
  <c r="U197" i="1"/>
  <c r="I196" i="1"/>
  <c r="R196" i="1" s="1"/>
  <c r="U196" i="1"/>
  <c r="H196" i="1"/>
  <c r="I195" i="1"/>
  <c r="U195" i="1"/>
  <c r="AA195" i="1"/>
  <c r="I194" i="1"/>
  <c r="U194" i="1"/>
  <c r="AA194" i="1"/>
  <c r="U193" i="1"/>
  <c r="AA193" i="1"/>
  <c r="U177" i="1"/>
  <c r="U190" i="1"/>
  <c r="U171" i="1"/>
  <c r="I174" i="1"/>
  <c r="R174" i="1" s="1"/>
  <c r="U170" i="1"/>
  <c r="I176" i="1"/>
  <c r="R176" i="1" s="1"/>
  <c r="U181" i="1"/>
  <c r="U186" i="1"/>
  <c r="AA178" i="1"/>
  <c r="I169" i="1"/>
  <c r="R169" i="1" s="1"/>
  <c r="H177" i="1"/>
  <c r="AA181" i="1"/>
  <c r="U178" i="1"/>
  <c r="AA183" i="1"/>
  <c r="AA184" i="1"/>
  <c r="AA187" i="1"/>
  <c r="AA170" i="1"/>
  <c r="U192" i="1"/>
  <c r="I146" i="1"/>
  <c r="R146" i="1" s="1"/>
  <c r="AA176" i="1"/>
  <c r="AA171" i="1"/>
  <c r="AA190" i="1"/>
  <c r="I152" i="1"/>
  <c r="R152" i="1" s="1"/>
  <c r="AA173" i="1"/>
  <c r="AA177" i="1"/>
  <c r="AA192" i="1"/>
  <c r="I170" i="1"/>
  <c r="R170" i="1" s="1"/>
  <c r="AA172" i="1"/>
  <c r="AA180" i="1"/>
  <c r="I192" i="1"/>
  <c r="I191" i="1"/>
  <c r="U191" i="1"/>
  <c r="AA191" i="1"/>
  <c r="I189" i="1"/>
  <c r="U189" i="1"/>
  <c r="AA189" i="1"/>
  <c r="I188" i="1"/>
  <c r="U188" i="1"/>
  <c r="AA188" i="1"/>
  <c r="I187" i="1"/>
  <c r="U187" i="1"/>
  <c r="I186" i="1"/>
  <c r="AA186" i="1"/>
  <c r="I185" i="1"/>
  <c r="U185" i="1"/>
  <c r="AA185" i="1"/>
  <c r="I184" i="1"/>
  <c r="U184" i="1"/>
  <c r="I183" i="1"/>
  <c r="U183" i="1"/>
  <c r="I182" i="1"/>
  <c r="U182" i="1"/>
  <c r="AA182" i="1"/>
  <c r="U180" i="1"/>
  <c r="I181" i="1"/>
  <c r="U179" i="1"/>
  <c r="AA179" i="1"/>
  <c r="I179" i="1"/>
  <c r="I178" i="1"/>
  <c r="I177" i="1"/>
  <c r="U176" i="1"/>
  <c r="I175" i="1"/>
  <c r="U175" i="1"/>
  <c r="AA175" i="1"/>
  <c r="U174" i="1"/>
  <c r="AA174" i="1"/>
  <c r="I173" i="1"/>
  <c r="U173" i="1"/>
  <c r="H173" i="1"/>
  <c r="I172" i="1"/>
  <c r="U172" i="1"/>
  <c r="H172" i="1"/>
  <c r="I171" i="1"/>
  <c r="I162" i="1"/>
  <c r="R162" i="1" s="1"/>
  <c r="U169" i="1"/>
  <c r="AA169" i="1"/>
  <c r="I157" i="1"/>
  <c r="R157" i="1" s="1"/>
  <c r="U167" i="1"/>
  <c r="I165" i="1"/>
  <c r="R165" i="1" s="1"/>
  <c r="W165" i="1" s="1"/>
  <c r="AA163" i="1"/>
  <c r="I168" i="1"/>
  <c r="R168" i="1" s="1"/>
  <c r="AA151" i="1"/>
  <c r="I158" i="1"/>
  <c r="R158" i="1" s="1"/>
  <c r="I159" i="1"/>
  <c r="R159" i="1" s="1"/>
  <c r="AA156" i="1"/>
  <c r="AA160" i="1"/>
  <c r="AA164" i="1"/>
  <c r="U151" i="1"/>
  <c r="I149" i="1"/>
  <c r="R149" i="1" s="1"/>
  <c r="I150" i="1"/>
  <c r="R150" i="1" s="1"/>
  <c r="I156" i="1"/>
  <c r="AA162" i="1"/>
  <c r="I163" i="1"/>
  <c r="R163" i="1" s="1"/>
  <c r="I164" i="1"/>
  <c r="R164" i="1" s="1"/>
  <c r="AA168" i="1"/>
  <c r="H167" i="1"/>
  <c r="AA154" i="1"/>
  <c r="U156" i="1"/>
  <c r="U149" i="1"/>
  <c r="U150" i="1"/>
  <c r="AA167" i="1"/>
  <c r="AA150" i="1"/>
  <c r="I153" i="1"/>
  <c r="R153" i="1" s="1"/>
  <c r="W153" i="1" s="1"/>
  <c r="U168" i="1"/>
  <c r="H168" i="1"/>
  <c r="U166" i="1"/>
  <c r="I167" i="1"/>
  <c r="H166" i="1"/>
  <c r="AA166" i="1"/>
  <c r="I166" i="1"/>
  <c r="U165" i="1"/>
  <c r="AA165" i="1"/>
  <c r="U164" i="1"/>
  <c r="U163" i="1"/>
  <c r="H163" i="1"/>
  <c r="U162" i="1"/>
  <c r="I160" i="1"/>
  <c r="R160" i="1" s="1"/>
  <c r="W160" i="1" s="1"/>
  <c r="U160" i="1"/>
  <c r="I161" i="1"/>
  <c r="U161" i="1"/>
  <c r="AA161" i="1"/>
  <c r="U159" i="1"/>
  <c r="AA159" i="1"/>
  <c r="U158" i="1"/>
  <c r="AA158" i="1"/>
  <c r="U157" i="1"/>
  <c r="AA157" i="1"/>
  <c r="H156" i="1"/>
  <c r="I154" i="1"/>
  <c r="U154" i="1"/>
  <c r="I155" i="1"/>
  <c r="R155" i="1" s="1"/>
  <c r="H154" i="1"/>
  <c r="U155" i="1"/>
  <c r="AA155" i="1"/>
  <c r="U153" i="1"/>
  <c r="H153" i="1"/>
  <c r="AA153" i="1"/>
  <c r="U152" i="1"/>
  <c r="H151" i="1"/>
  <c r="H152" i="1"/>
  <c r="AA152" i="1"/>
  <c r="I151" i="1"/>
  <c r="AA149" i="1"/>
  <c r="U148" i="1"/>
  <c r="AA148" i="1"/>
  <c r="I148" i="1"/>
  <c r="AA147" i="1"/>
  <c r="I147" i="1"/>
  <c r="U147" i="1"/>
  <c r="AK127" i="1"/>
  <c r="U146" i="1"/>
  <c r="AA146" i="1"/>
  <c r="I142" i="1"/>
  <c r="R142" i="1" s="1"/>
  <c r="I141" i="1"/>
  <c r="R141" i="1" s="1"/>
  <c r="AJ127" i="1"/>
  <c r="AA140" i="1"/>
  <c r="AA143" i="1"/>
  <c r="AA139" i="1"/>
  <c r="I140" i="1"/>
  <c r="R140" i="1" s="1"/>
  <c r="W140" i="1" s="1"/>
  <c r="AA145" i="1"/>
  <c r="I145" i="1"/>
  <c r="R145" i="1" s="1"/>
  <c r="AA142" i="1"/>
  <c r="I144" i="1"/>
  <c r="R144" i="1" s="1"/>
  <c r="AA141" i="1"/>
  <c r="U145" i="1"/>
  <c r="H145" i="1"/>
  <c r="U144" i="1"/>
  <c r="AA144" i="1"/>
  <c r="I143" i="1"/>
  <c r="U143" i="1"/>
  <c r="U142" i="1"/>
  <c r="H142" i="1"/>
  <c r="U141" i="1"/>
  <c r="H141" i="1"/>
  <c r="U140" i="1"/>
  <c r="I139" i="1"/>
  <c r="U139" i="1"/>
  <c r="H139" i="1"/>
  <c r="AA138" i="1"/>
  <c r="AI127" i="1"/>
  <c r="I138" i="1"/>
  <c r="R138" i="1" s="1"/>
  <c r="U138" i="1"/>
  <c r="AA136" i="1"/>
  <c r="I137" i="1"/>
  <c r="R137" i="1" s="1"/>
  <c r="AA135" i="1"/>
  <c r="I136" i="1"/>
  <c r="R136" i="1" s="1"/>
  <c r="U137" i="1"/>
  <c r="AA137" i="1"/>
  <c r="U136" i="1"/>
  <c r="H136" i="1"/>
  <c r="I135" i="1"/>
  <c r="U135" i="1"/>
  <c r="I125" i="1"/>
  <c r="R125" i="1" s="1"/>
  <c r="W125" i="1" s="1"/>
  <c r="I130" i="1"/>
  <c r="R130" i="1" s="1"/>
  <c r="AA134" i="1"/>
  <c r="I134" i="1"/>
  <c r="U134" i="1"/>
  <c r="H134" i="1"/>
  <c r="AA132" i="1"/>
  <c r="AA128" i="1"/>
  <c r="AA131" i="1"/>
  <c r="AA130" i="1"/>
  <c r="I132" i="1"/>
  <c r="R132" i="1" s="1"/>
  <c r="W132" i="1" s="1"/>
  <c r="I127" i="1"/>
  <c r="R127" i="1" s="1"/>
  <c r="W127" i="1" s="1"/>
  <c r="I131" i="1"/>
  <c r="R131" i="1" s="1"/>
  <c r="AA126" i="1"/>
  <c r="U130" i="1"/>
  <c r="U131" i="1"/>
  <c r="U126" i="1"/>
  <c r="AA133" i="1"/>
  <c r="I133" i="1"/>
  <c r="U133" i="1"/>
  <c r="U132" i="1"/>
  <c r="H132" i="1"/>
  <c r="U129" i="1"/>
  <c r="AA129" i="1"/>
  <c r="I129" i="1"/>
  <c r="I128" i="1"/>
  <c r="U128" i="1"/>
  <c r="I126" i="1"/>
  <c r="AA127" i="1"/>
  <c r="U127" i="1"/>
  <c r="AA125" i="1"/>
  <c r="H125" i="1"/>
  <c r="U125" i="1"/>
  <c r="I114" i="1"/>
  <c r="R114" i="1" s="1"/>
  <c r="I120" i="1"/>
  <c r="R120" i="1" s="1"/>
  <c r="AJ103" i="1"/>
  <c r="I124" i="1"/>
  <c r="U124" i="1"/>
  <c r="AA124" i="1"/>
  <c r="I121" i="1"/>
  <c r="R121" i="1" s="1"/>
  <c r="I107" i="1"/>
  <c r="R107" i="1" s="1"/>
  <c r="U108" i="1"/>
  <c r="U112" i="1"/>
  <c r="H112" i="1"/>
  <c r="U114" i="1"/>
  <c r="AA111" i="1"/>
  <c r="I122" i="1"/>
  <c r="R122" i="1" s="1"/>
  <c r="W122" i="1" s="1"/>
  <c r="AA109" i="1"/>
  <c r="U118" i="1"/>
  <c r="AA108" i="1"/>
  <c r="AA120" i="1"/>
  <c r="I110" i="1"/>
  <c r="R110" i="1" s="1"/>
  <c r="I111" i="1"/>
  <c r="R111" i="1" s="1"/>
  <c r="AA116" i="1"/>
  <c r="AA119" i="1"/>
  <c r="I108" i="1"/>
  <c r="R108" i="1" s="1"/>
  <c r="I109" i="1"/>
  <c r="U107" i="1"/>
  <c r="AA117" i="1"/>
  <c r="U120" i="1"/>
  <c r="U121" i="1"/>
  <c r="AA122" i="1"/>
  <c r="H111" i="1"/>
  <c r="AA112" i="1"/>
  <c r="AA115" i="1"/>
  <c r="I118" i="1"/>
  <c r="AA118" i="1"/>
  <c r="I123" i="1"/>
  <c r="U123" i="1"/>
  <c r="AA123" i="1"/>
  <c r="U122" i="1"/>
  <c r="AA121" i="1"/>
  <c r="H121" i="1"/>
  <c r="I119" i="1"/>
  <c r="U119" i="1"/>
  <c r="H119" i="1"/>
  <c r="H118" i="1"/>
  <c r="I117" i="1"/>
  <c r="U117" i="1"/>
  <c r="I116" i="1"/>
  <c r="U116" i="1"/>
  <c r="H116" i="1"/>
  <c r="I115" i="1"/>
  <c r="U115" i="1"/>
  <c r="AA114" i="1"/>
  <c r="U113" i="1"/>
  <c r="AA113" i="1"/>
  <c r="I113" i="1"/>
  <c r="I112" i="1"/>
  <c r="U111" i="1"/>
  <c r="U110" i="1"/>
  <c r="AA110" i="1"/>
  <c r="U109" i="1"/>
  <c r="H109" i="1"/>
  <c r="AA107" i="1"/>
  <c r="H107" i="1"/>
  <c r="I106" i="1"/>
  <c r="AA106" i="1"/>
  <c r="U106" i="1"/>
  <c r="AK103" i="1"/>
  <c r="I86" i="1"/>
  <c r="R86" i="1" s="1"/>
  <c r="W86" i="1" s="1"/>
  <c r="AI103" i="1"/>
  <c r="AA103" i="1"/>
  <c r="AA105" i="1"/>
  <c r="I102" i="1"/>
  <c r="R102" i="1" s="1"/>
  <c r="I103" i="1"/>
  <c r="H97" i="1"/>
  <c r="U105" i="1"/>
  <c r="I105" i="1"/>
  <c r="I104" i="1"/>
  <c r="R104" i="1" s="1"/>
  <c r="U103" i="1"/>
  <c r="U104" i="1"/>
  <c r="AA104" i="1"/>
  <c r="U102" i="1"/>
  <c r="AA102" i="1"/>
  <c r="U101" i="1"/>
  <c r="AA101" i="1"/>
  <c r="I99" i="1"/>
  <c r="R99" i="1" s="1"/>
  <c r="I95" i="1"/>
  <c r="R95" i="1" s="1"/>
  <c r="W95" i="1" s="1"/>
  <c r="I101" i="1"/>
  <c r="AA96" i="1"/>
  <c r="U97" i="1"/>
  <c r="I96" i="1"/>
  <c r="AA98" i="1"/>
  <c r="U95" i="1"/>
  <c r="AA95" i="1"/>
  <c r="AA97" i="1"/>
  <c r="I98" i="1"/>
  <c r="U96" i="1"/>
  <c r="AA99" i="1"/>
  <c r="I97" i="1"/>
  <c r="U98" i="1"/>
  <c r="U100" i="1"/>
  <c r="AA100" i="1"/>
  <c r="I100" i="1"/>
  <c r="H99" i="1"/>
  <c r="U99" i="1"/>
  <c r="AK94" i="1"/>
  <c r="I64" i="1"/>
  <c r="R64" i="1" s="1"/>
  <c r="I68" i="1"/>
  <c r="R68" i="1" s="1"/>
  <c r="AJ94" i="1"/>
  <c r="AA53" i="1"/>
  <c r="U77" i="1"/>
  <c r="AK74" i="1"/>
  <c r="AI94" i="1"/>
  <c r="I63" i="1"/>
  <c r="R63" i="1" s="1"/>
  <c r="AA88" i="1"/>
  <c r="U64" i="1"/>
  <c r="I73" i="1"/>
  <c r="R73" i="1" s="1"/>
  <c r="I81" i="1"/>
  <c r="R81" i="1" s="1"/>
  <c r="W81" i="1" s="1"/>
  <c r="I62" i="1"/>
  <c r="R62" i="1" s="1"/>
  <c r="H77" i="1"/>
  <c r="AA89" i="1"/>
  <c r="AA90" i="1"/>
  <c r="I66" i="1"/>
  <c r="R66" i="1" s="1"/>
  <c r="AA70" i="1"/>
  <c r="I82" i="1"/>
  <c r="R82" i="1" s="1"/>
  <c r="AA74" i="1"/>
  <c r="I75" i="1"/>
  <c r="R75" i="1" s="1"/>
  <c r="AA77" i="1"/>
  <c r="I85" i="1"/>
  <c r="U92" i="1"/>
  <c r="U94" i="1"/>
  <c r="AJ74" i="1"/>
  <c r="I94" i="1"/>
  <c r="AA63" i="1"/>
  <c r="H81" i="1"/>
  <c r="AA83" i="1"/>
  <c r="AA65" i="1"/>
  <c r="AA68" i="1"/>
  <c r="AA69" i="1"/>
  <c r="I70" i="1"/>
  <c r="R70" i="1" s="1"/>
  <c r="AI74" i="1"/>
  <c r="AA92" i="1"/>
  <c r="I80" i="1"/>
  <c r="R80" i="1" s="1"/>
  <c r="U82" i="1"/>
  <c r="I90" i="1"/>
  <c r="R90" i="1" s="1"/>
  <c r="W90" i="1" s="1"/>
  <c r="AA94" i="1"/>
  <c r="AA78" i="1"/>
  <c r="AA81" i="1"/>
  <c r="U89" i="1"/>
  <c r="I93" i="1"/>
  <c r="U93" i="1"/>
  <c r="AA93" i="1"/>
  <c r="I92" i="1"/>
  <c r="I91" i="1"/>
  <c r="U91" i="1"/>
  <c r="AA91" i="1"/>
  <c r="U90" i="1"/>
  <c r="H90" i="1"/>
  <c r="I89" i="1"/>
  <c r="I88" i="1"/>
  <c r="U88" i="1"/>
  <c r="AA87" i="1"/>
  <c r="U87" i="1"/>
  <c r="I87" i="1"/>
  <c r="AA86" i="1"/>
  <c r="U86" i="1"/>
  <c r="U85" i="1"/>
  <c r="AA85" i="1"/>
  <c r="I84" i="1"/>
  <c r="U84" i="1"/>
  <c r="AA84" i="1"/>
  <c r="I83" i="1"/>
  <c r="U83" i="1"/>
  <c r="AA82" i="1"/>
  <c r="U81" i="1"/>
  <c r="U80" i="1"/>
  <c r="AA80" i="1"/>
  <c r="I79" i="1"/>
  <c r="R79" i="1" s="1"/>
  <c r="I78" i="1"/>
  <c r="AA79" i="1"/>
  <c r="U78" i="1"/>
  <c r="H78" i="1"/>
  <c r="U79" i="1"/>
  <c r="I77" i="1"/>
  <c r="I76" i="1"/>
  <c r="R76" i="1" s="1"/>
  <c r="W76" i="1" s="1"/>
  <c r="U76" i="1"/>
  <c r="AA76" i="1"/>
  <c r="U75" i="1"/>
  <c r="AA75" i="1"/>
  <c r="I74" i="1"/>
  <c r="U74" i="1"/>
  <c r="U73" i="1"/>
  <c r="AA73" i="1"/>
  <c r="I72" i="1"/>
  <c r="U72" i="1"/>
  <c r="AA72" i="1"/>
  <c r="I71" i="1"/>
  <c r="U71" i="1"/>
  <c r="AA71" i="1"/>
  <c r="U70" i="1"/>
  <c r="H70" i="1"/>
  <c r="I69" i="1"/>
  <c r="U69" i="1"/>
  <c r="U68" i="1"/>
  <c r="H68" i="1"/>
  <c r="U67" i="1"/>
  <c r="AA67" i="1"/>
  <c r="I67" i="1"/>
  <c r="U66" i="1"/>
  <c r="AA66" i="1"/>
  <c r="U65" i="1"/>
  <c r="AA64" i="1"/>
  <c r="I65" i="1"/>
  <c r="U63" i="1"/>
  <c r="AA58" i="1"/>
  <c r="U62" i="1"/>
  <c r="I58" i="1"/>
  <c r="AA62" i="1"/>
  <c r="AA59" i="1"/>
  <c r="AK56" i="1"/>
  <c r="I55" i="1"/>
  <c r="R55" i="1" s="1"/>
  <c r="U58" i="1"/>
  <c r="U61" i="1"/>
  <c r="AA61" i="1"/>
  <c r="I61" i="1"/>
  <c r="I60" i="1"/>
  <c r="R60" i="1" s="1"/>
  <c r="U60" i="1"/>
  <c r="AA60" i="1"/>
  <c r="I59" i="1"/>
  <c r="U59" i="1"/>
  <c r="I48" i="1"/>
  <c r="R48" i="1" s="1"/>
  <c r="I49" i="1"/>
  <c r="R49" i="1" s="1"/>
  <c r="W49" i="1" s="1"/>
  <c r="AI24" i="1"/>
  <c r="AI56" i="1" s="1"/>
  <c r="I53" i="1"/>
  <c r="R53" i="1" s="1"/>
  <c r="AA50" i="1"/>
  <c r="AA51" i="1"/>
  <c r="U52" i="1"/>
  <c r="AK23" i="1"/>
  <c r="I57" i="1"/>
  <c r="U57" i="1"/>
  <c r="AA57" i="1"/>
  <c r="I56" i="1"/>
  <c r="AA56" i="1"/>
  <c r="U56" i="1"/>
  <c r="U55" i="1"/>
  <c r="AA55" i="1"/>
  <c r="U54" i="1"/>
  <c r="AA54" i="1"/>
  <c r="I54" i="1"/>
  <c r="U53" i="1"/>
  <c r="AA52" i="1"/>
  <c r="I52" i="1"/>
  <c r="I51" i="1"/>
  <c r="U51" i="1"/>
  <c r="I50" i="1"/>
  <c r="U50" i="1"/>
  <c r="U49" i="1"/>
  <c r="H49" i="1"/>
  <c r="AA49" i="1"/>
  <c r="U48" i="1"/>
  <c r="AA48" i="1"/>
  <c r="I47" i="1"/>
  <c r="R47" i="1" s="1"/>
  <c r="W47" i="1" s="1"/>
  <c r="H47" i="1"/>
  <c r="I46" i="1"/>
  <c r="R46" i="1" s="1"/>
  <c r="AK46" i="1"/>
  <c r="I44" i="1"/>
  <c r="R44" i="1" s="1"/>
  <c r="W44" i="1" s="1"/>
  <c r="U47" i="1"/>
  <c r="AA47" i="1"/>
  <c r="I42" i="1"/>
  <c r="R42" i="1" s="1"/>
  <c r="AA46" i="1"/>
  <c r="AI46" i="1"/>
  <c r="AJ46" i="1"/>
  <c r="I45" i="1"/>
  <c r="R45" i="1" s="1"/>
  <c r="U46" i="1"/>
  <c r="AA37" i="1"/>
  <c r="AA40" i="1"/>
  <c r="AA45" i="1"/>
  <c r="AA44" i="1"/>
  <c r="U37" i="1"/>
  <c r="AA38" i="1"/>
  <c r="H45" i="1"/>
  <c r="U45" i="1"/>
  <c r="U44" i="1"/>
  <c r="U43" i="1"/>
  <c r="AA43" i="1"/>
  <c r="I43" i="1"/>
  <c r="U42" i="1"/>
  <c r="AA42" i="1"/>
  <c r="U41" i="1"/>
  <c r="I41" i="1"/>
  <c r="AA41" i="1"/>
  <c r="U40" i="1"/>
  <c r="H40" i="1"/>
  <c r="I40" i="1"/>
  <c r="U39" i="1"/>
  <c r="AA39" i="1"/>
  <c r="I39" i="1"/>
  <c r="H38" i="1"/>
  <c r="U38" i="1"/>
  <c r="I38" i="1"/>
  <c r="H37" i="1"/>
  <c r="I37" i="1"/>
  <c r="U36" i="1"/>
  <c r="I36" i="1"/>
  <c r="AA36" i="1"/>
  <c r="AA35" i="1"/>
  <c r="AA32" i="1"/>
  <c r="U35" i="1"/>
  <c r="I35" i="1"/>
  <c r="AA34" i="1"/>
  <c r="I34" i="1"/>
  <c r="U34" i="1"/>
  <c r="U33" i="1"/>
  <c r="AA33" i="1"/>
  <c r="I33" i="1"/>
  <c r="I31" i="1"/>
  <c r="AA29" i="1"/>
  <c r="U31" i="1"/>
  <c r="AA26" i="1"/>
  <c r="AA31" i="1"/>
  <c r="U32" i="1"/>
  <c r="I32" i="1"/>
  <c r="U30" i="1"/>
  <c r="AA30" i="1"/>
  <c r="I30" i="1"/>
  <c r="AA28" i="1"/>
  <c r="AA24" i="1"/>
  <c r="AA27" i="1"/>
  <c r="AJ23" i="1"/>
  <c r="AI23" i="1"/>
  <c r="AA20" i="1"/>
  <c r="U22" i="1"/>
  <c r="U14" i="1"/>
  <c r="U11" i="1"/>
  <c r="U7" i="1"/>
  <c r="U23" i="1"/>
  <c r="U10" i="1"/>
  <c r="U6" i="1"/>
  <c r="U16" i="1"/>
  <c r="U13" i="1"/>
  <c r="AA23" i="1"/>
  <c r="U15" i="1"/>
  <c r="I28" i="1"/>
  <c r="R28" i="1" s="1"/>
  <c r="W28" i="1" s="1"/>
  <c r="AA18" i="1"/>
  <c r="U28" i="1"/>
  <c r="U19" i="1"/>
  <c r="H14" i="1"/>
  <c r="AA15" i="1"/>
  <c r="AA9" i="1"/>
  <c r="U8" i="1"/>
  <c r="H20" i="1"/>
  <c r="H23" i="1"/>
  <c r="H19" i="1"/>
  <c r="AA12" i="1"/>
  <c r="AA10" i="1"/>
  <c r="U5" i="1"/>
  <c r="AA21" i="1"/>
  <c r="U17" i="1"/>
  <c r="AA13" i="1"/>
  <c r="U9" i="1"/>
  <c r="AA8" i="1"/>
  <c r="U4" i="1"/>
  <c r="U20" i="1"/>
  <c r="AA16" i="1"/>
  <c r="U12" i="1"/>
  <c r="U3" i="1"/>
  <c r="AA11" i="1"/>
  <c r="AA22" i="1"/>
  <c r="U18" i="1"/>
  <c r="AA14" i="1"/>
  <c r="U21" i="1"/>
  <c r="AA17" i="1"/>
  <c r="I23" i="1"/>
  <c r="I29" i="1"/>
  <c r="U24" i="1"/>
  <c r="I24" i="1"/>
  <c r="AA25" i="1"/>
  <c r="I25" i="1"/>
  <c r="R25" i="1" s="1"/>
  <c r="W25" i="1" s="1"/>
  <c r="H29" i="1"/>
  <c r="U29" i="1"/>
  <c r="H25" i="1"/>
  <c r="U25" i="1"/>
  <c r="H26" i="1"/>
  <c r="U26" i="1"/>
  <c r="I26" i="1"/>
  <c r="H27" i="1"/>
  <c r="U27" i="1"/>
  <c r="I27" i="1"/>
  <c r="H18" i="1"/>
  <c r="I22" i="1"/>
  <c r="I16" i="1"/>
  <c r="I18" i="1"/>
  <c r="I21" i="1"/>
  <c r="I17" i="1"/>
  <c r="H22" i="1"/>
  <c r="H16" i="1"/>
  <c r="I19" i="1"/>
  <c r="I20" i="1"/>
  <c r="I15" i="1"/>
  <c r="H15" i="1"/>
  <c r="I14" i="1"/>
  <c r="I13" i="1"/>
  <c r="I12" i="1"/>
  <c r="H12" i="1"/>
  <c r="I11" i="1"/>
  <c r="H11" i="1"/>
  <c r="I10" i="1"/>
  <c r="I9" i="1"/>
  <c r="I8" i="1"/>
  <c r="H8" i="1"/>
  <c r="I7" i="1"/>
  <c r="F6" i="1"/>
  <c r="F5" i="1"/>
  <c r="F4" i="1"/>
  <c r="I3" i="1"/>
  <c r="H3" i="1"/>
  <c r="F2" i="1"/>
  <c r="V7" i="10" l="1"/>
  <c r="W7" i="10" s="1"/>
  <c r="X7" i="10" s="1"/>
  <c r="V6" i="10"/>
  <c r="W6" i="10" s="1"/>
  <c r="X6" i="10" s="1"/>
  <c r="Q110" i="1"/>
  <c r="W110" i="1"/>
  <c r="Q130" i="1"/>
  <c r="W130" i="1"/>
  <c r="Q180" i="1"/>
  <c r="W180" i="1"/>
  <c r="Y203" i="1"/>
  <c r="W203" i="1"/>
  <c r="Q230" i="1"/>
  <c r="W230" i="1"/>
  <c r="Q73" i="1"/>
  <c r="W73" i="1"/>
  <c r="Q168" i="1"/>
  <c r="W168" i="1"/>
  <c r="Y190" i="1"/>
  <c r="W190" i="1"/>
  <c r="Q269" i="1"/>
  <c r="W269" i="1"/>
  <c r="Q228" i="1"/>
  <c r="W228" i="1"/>
  <c r="Y241" i="1"/>
  <c r="W241" i="1"/>
  <c r="Q282" i="1"/>
  <c r="W282" i="1"/>
  <c r="Q267" i="1"/>
  <c r="W267" i="1"/>
  <c r="Q220" i="1"/>
  <c r="W220" i="1"/>
  <c r="Y238" i="1"/>
  <c r="W238" i="1"/>
  <c r="Q216" i="1"/>
  <c r="W216" i="1"/>
  <c r="Y63" i="1"/>
  <c r="W63" i="1"/>
  <c r="Y99" i="1"/>
  <c r="W99" i="1"/>
  <c r="Q114" i="1"/>
  <c r="W114" i="1"/>
  <c r="Q193" i="1"/>
  <c r="W193" i="1"/>
  <c r="Q200" i="1"/>
  <c r="W200" i="1"/>
  <c r="Y260" i="1"/>
  <c r="W260" i="1"/>
  <c r="Q250" i="1"/>
  <c r="W250" i="1"/>
  <c r="Q157" i="1"/>
  <c r="W157" i="1"/>
  <c r="Q262" i="1"/>
  <c r="W262" i="1"/>
  <c r="Y150" i="1"/>
  <c r="W150" i="1"/>
  <c r="Y176" i="1"/>
  <c r="W176" i="1"/>
  <c r="Q277" i="1"/>
  <c r="W277" i="1"/>
  <c r="Q278" i="1"/>
  <c r="W278" i="1"/>
  <c r="Y280" i="1"/>
  <c r="W280" i="1"/>
  <c r="Y48" i="1"/>
  <c r="W48" i="1"/>
  <c r="Y62" i="1"/>
  <c r="W62" i="1"/>
  <c r="Q232" i="1"/>
  <c r="W232" i="1"/>
  <c r="Y60" i="1"/>
  <c r="W60" i="1"/>
  <c r="Y273" i="1"/>
  <c r="W273" i="1"/>
  <c r="Y70" i="1"/>
  <c r="W70" i="1"/>
  <c r="Y82" i="1"/>
  <c r="W82" i="1"/>
  <c r="Q155" i="1"/>
  <c r="W155" i="1"/>
  <c r="Q149" i="1"/>
  <c r="W149" i="1"/>
  <c r="Q146" i="1"/>
  <c r="W146" i="1"/>
  <c r="Q204" i="1"/>
  <c r="W204" i="1"/>
  <c r="Y235" i="1"/>
  <c r="W235" i="1"/>
  <c r="Q249" i="1"/>
  <c r="W249" i="1"/>
  <c r="Q141" i="1"/>
  <c r="W141" i="1"/>
  <c r="Q217" i="1"/>
  <c r="W217" i="1"/>
  <c r="Y111" i="1"/>
  <c r="W111" i="1"/>
  <c r="Y138" i="1"/>
  <c r="W138" i="1"/>
  <c r="Q243" i="1"/>
  <c r="W243" i="1"/>
  <c r="Q169" i="1"/>
  <c r="W169" i="1"/>
  <c r="Q248" i="1"/>
  <c r="W248" i="1"/>
  <c r="Q80" i="1"/>
  <c r="W80" i="1"/>
  <c r="Q102" i="1"/>
  <c r="W102" i="1"/>
  <c r="Q144" i="1"/>
  <c r="W144" i="1"/>
  <c r="Y46" i="1"/>
  <c r="W46" i="1"/>
  <c r="Q136" i="1"/>
  <c r="W136" i="1"/>
  <c r="Q162" i="1"/>
  <c r="W162" i="1"/>
  <c r="Q174" i="1"/>
  <c r="W174" i="1"/>
  <c r="Q196" i="1"/>
  <c r="W196" i="1"/>
  <c r="Y210" i="1"/>
  <c r="W210" i="1"/>
  <c r="Y264" i="1"/>
  <c r="W264" i="1"/>
  <c r="Y120" i="1"/>
  <c r="W120" i="1"/>
  <c r="Y152" i="1"/>
  <c r="W152" i="1"/>
  <c r="Y53" i="1"/>
  <c r="W53" i="1"/>
  <c r="Y66" i="1"/>
  <c r="W66" i="1"/>
  <c r="Q199" i="1"/>
  <c r="W199" i="1"/>
  <c r="Y292" i="1"/>
  <c r="W292" i="1"/>
  <c r="Q290" i="1"/>
  <c r="W290" i="1"/>
  <c r="Y246" i="1"/>
  <c r="W246" i="1"/>
  <c r="Y145" i="1"/>
  <c r="W145" i="1"/>
  <c r="Y45" i="1"/>
  <c r="W45" i="1"/>
  <c r="Y104" i="1"/>
  <c r="W104" i="1"/>
  <c r="Q121" i="1"/>
  <c r="W121" i="1"/>
  <c r="Q159" i="1"/>
  <c r="W159" i="1"/>
  <c r="Q202" i="1"/>
  <c r="W202" i="1"/>
  <c r="Y291" i="1"/>
  <c r="W291" i="1"/>
  <c r="Y142" i="1"/>
  <c r="W142" i="1"/>
  <c r="Q158" i="1"/>
  <c r="W158" i="1"/>
  <c r="Q170" i="1"/>
  <c r="W170" i="1"/>
  <c r="Y42" i="1"/>
  <c r="W42" i="1"/>
  <c r="Q164" i="1"/>
  <c r="W164" i="1"/>
  <c r="Q131" i="1"/>
  <c r="W131" i="1"/>
  <c r="Q163" i="1"/>
  <c r="W163" i="1"/>
  <c r="Y75" i="1"/>
  <c r="W75" i="1"/>
  <c r="Q55" i="1"/>
  <c r="W55" i="1"/>
  <c r="Y79" i="1"/>
  <c r="W79" i="1"/>
  <c r="Q68" i="1"/>
  <c r="W68" i="1"/>
  <c r="Q108" i="1"/>
  <c r="W108" i="1"/>
  <c r="Y137" i="1"/>
  <c r="W137" i="1"/>
  <c r="Y64" i="1"/>
  <c r="W64" i="1"/>
  <c r="Q107" i="1"/>
  <c r="W107" i="1"/>
  <c r="Q231" i="1"/>
  <c r="W231" i="1"/>
  <c r="T345" i="1"/>
  <c r="R345" i="1"/>
  <c r="R354" i="1"/>
  <c r="T354" i="1"/>
  <c r="T350" i="1"/>
  <c r="Y290" i="1"/>
  <c r="R350" i="1"/>
  <c r="W350" i="1" s="1"/>
  <c r="R353" i="1"/>
  <c r="W353" i="1" s="1"/>
  <c r="T353" i="1"/>
  <c r="R352" i="1"/>
  <c r="W352" i="1" s="1"/>
  <c r="T352" i="1"/>
  <c r="R351" i="1"/>
  <c r="W351" i="1" s="1"/>
  <c r="T351" i="1"/>
  <c r="T342" i="1"/>
  <c r="Q291" i="1"/>
  <c r="T347" i="1"/>
  <c r="R349" i="1"/>
  <c r="W349" i="1" s="1"/>
  <c r="T349" i="1"/>
  <c r="R348" i="1"/>
  <c r="W348" i="1" s="1"/>
  <c r="T348" i="1"/>
  <c r="Q347" i="1"/>
  <c r="Y347" i="1"/>
  <c r="R346" i="1"/>
  <c r="W346" i="1" s="1"/>
  <c r="T346" i="1"/>
  <c r="R344" i="1"/>
  <c r="W344" i="1" s="1"/>
  <c r="T344" i="1"/>
  <c r="T338" i="1"/>
  <c r="T339" i="1"/>
  <c r="Q334" i="1"/>
  <c r="Q329" i="1"/>
  <c r="Y332" i="1"/>
  <c r="Y232" i="1"/>
  <c r="Q333" i="1"/>
  <c r="R343" i="1"/>
  <c r="W343" i="1" s="1"/>
  <c r="T343" i="1"/>
  <c r="Q342" i="1"/>
  <c r="Y342" i="1"/>
  <c r="T341" i="1"/>
  <c r="R341" i="1"/>
  <c r="W341" i="1" s="1"/>
  <c r="T340" i="1"/>
  <c r="Q340" i="1"/>
  <c r="Y340" i="1"/>
  <c r="Q339" i="1"/>
  <c r="Y339" i="1"/>
  <c r="Q338" i="1"/>
  <c r="Y338" i="1"/>
  <c r="R337" i="1"/>
  <c r="W337" i="1" s="1"/>
  <c r="T337" i="1"/>
  <c r="R336" i="1"/>
  <c r="W336" i="1" s="1"/>
  <c r="T336" i="1"/>
  <c r="R335" i="1"/>
  <c r="W335" i="1" s="1"/>
  <c r="T335" i="1"/>
  <c r="T250" i="1"/>
  <c r="Y267" i="1"/>
  <c r="Q332" i="1"/>
  <c r="T327" i="1"/>
  <c r="Y329" i="1"/>
  <c r="T310" i="1"/>
  <c r="Q292" i="1"/>
  <c r="T332" i="1"/>
  <c r="Y262" i="1"/>
  <c r="T317" i="1"/>
  <c r="T324" i="1"/>
  <c r="T333" i="1"/>
  <c r="Q241" i="1"/>
  <c r="Y333" i="1"/>
  <c r="T329" i="1"/>
  <c r="Q322" i="1"/>
  <c r="Y216" i="1"/>
  <c r="T292" i="1"/>
  <c r="T334" i="1"/>
  <c r="Q323" i="1"/>
  <c r="Y334" i="1"/>
  <c r="T290" i="1"/>
  <c r="T325" i="1"/>
  <c r="T216" i="1"/>
  <c r="R331" i="1"/>
  <c r="W331" i="1" s="1"/>
  <c r="T331" i="1"/>
  <c r="R330" i="1"/>
  <c r="W330" i="1" s="1"/>
  <c r="T330" i="1"/>
  <c r="T328" i="1"/>
  <c r="R328" i="1"/>
  <c r="W328" i="1" s="1"/>
  <c r="Q327" i="1"/>
  <c r="Y327" i="1"/>
  <c r="R326" i="1"/>
  <c r="W326" i="1" s="1"/>
  <c r="T326" i="1"/>
  <c r="Q325" i="1"/>
  <c r="Y325" i="1"/>
  <c r="Q324" i="1"/>
  <c r="Y324" i="1"/>
  <c r="Y323" i="1"/>
  <c r="T323" i="1"/>
  <c r="Y322" i="1"/>
  <c r="T322" i="1"/>
  <c r="T321" i="1"/>
  <c r="R321" i="1"/>
  <c r="W321" i="1" s="1"/>
  <c r="R320" i="1"/>
  <c r="W320" i="1" s="1"/>
  <c r="T320" i="1"/>
  <c r="R319" i="1"/>
  <c r="W319" i="1" s="1"/>
  <c r="T319" i="1"/>
  <c r="R318" i="1"/>
  <c r="W318" i="1" s="1"/>
  <c r="T318" i="1"/>
  <c r="R317" i="1"/>
  <c r="R316" i="1"/>
  <c r="W316" i="1" s="1"/>
  <c r="T316" i="1"/>
  <c r="R315" i="1"/>
  <c r="W315" i="1" s="1"/>
  <c r="T315" i="1"/>
  <c r="T314" i="1"/>
  <c r="R314" i="1"/>
  <c r="W314" i="1" s="1"/>
  <c r="R313" i="1"/>
  <c r="W313" i="1" s="1"/>
  <c r="T313" i="1"/>
  <c r="T312" i="1"/>
  <c r="R312" i="1"/>
  <c r="W312" i="1" s="1"/>
  <c r="T311" i="1"/>
  <c r="R311" i="1"/>
  <c r="W311" i="1" s="1"/>
  <c r="Y310" i="1"/>
  <c r="Q310" i="1"/>
  <c r="T309" i="1"/>
  <c r="R309" i="1"/>
  <c r="W309" i="1" s="1"/>
  <c r="T308" i="1"/>
  <c r="R308" i="1"/>
  <c r="W308" i="1" s="1"/>
  <c r="T307" i="1"/>
  <c r="R307" i="1"/>
  <c r="W307" i="1" s="1"/>
  <c r="T306" i="1"/>
  <c r="R306" i="1"/>
  <c r="W306" i="1" s="1"/>
  <c r="T305" i="1"/>
  <c r="R305" i="1"/>
  <c r="W305" i="1" s="1"/>
  <c r="T304" i="1"/>
  <c r="R304" i="1"/>
  <c r="W304" i="1" s="1"/>
  <c r="T303" i="1"/>
  <c r="R303" i="1"/>
  <c r="W303" i="1" s="1"/>
  <c r="T243" i="1"/>
  <c r="T291" i="1"/>
  <c r="Q287" i="1"/>
  <c r="Q289" i="1"/>
  <c r="T302" i="1"/>
  <c r="Q264" i="1"/>
  <c r="T251" i="1"/>
  <c r="R302" i="1"/>
  <c r="W302" i="1" s="1"/>
  <c r="T301" i="1"/>
  <c r="R301" i="1"/>
  <c r="W301" i="1" s="1"/>
  <c r="T300" i="1"/>
  <c r="R300" i="1"/>
  <c r="W300" i="1" s="1"/>
  <c r="T299" i="1"/>
  <c r="R299" i="1"/>
  <c r="W299" i="1" s="1"/>
  <c r="R298" i="1"/>
  <c r="W298" i="1" s="1"/>
  <c r="T298" i="1"/>
  <c r="T297" i="1"/>
  <c r="R297" i="1"/>
  <c r="W297" i="1" s="1"/>
  <c r="R296" i="1"/>
  <c r="W296" i="1" s="1"/>
  <c r="T296" i="1"/>
  <c r="T295" i="1"/>
  <c r="R295" i="1"/>
  <c r="W295" i="1" s="1"/>
  <c r="T294" i="1"/>
  <c r="R294" i="1"/>
  <c r="W294" i="1" s="1"/>
  <c r="T293" i="1"/>
  <c r="R293" i="1"/>
  <c r="W293" i="1" s="1"/>
  <c r="T220" i="1"/>
  <c r="Y220" i="1"/>
  <c r="Y289" i="1"/>
  <c r="Y249" i="1"/>
  <c r="Y202" i="1"/>
  <c r="T232" i="1"/>
  <c r="T280" i="1"/>
  <c r="T289" i="1"/>
  <c r="Y277" i="1"/>
  <c r="Q260" i="1"/>
  <c r="Q238" i="1"/>
  <c r="Y287" i="1"/>
  <c r="T275" i="1"/>
  <c r="R288" i="1"/>
  <c r="W288" i="1" s="1"/>
  <c r="T288" i="1"/>
  <c r="T246" i="1"/>
  <c r="T262" i="1"/>
  <c r="Q280" i="1"/>
  <c r="T241" i="1"/>
  <c r="T228" i="1"/>
  <c r="T264" i="1"/>
  <c r="Q273" i="1"/>
  <c r="T283" i="1"/>
  <c r="Y282" i="1"/>
  <c r="R283" i="1"/>
  <c r="T273" i="1"/>
  <c r="T238" i="1"/>
  <c r="T278" i="1"/>
  <c r="Y269" i="1"/>
  <c r="Y251" i="1"/>
  <c r="Q251" i="1"/>
  <c r="Q210" i="1"/>
  <c r="Q235" i="1"/>
  <c r="Q246" i="1"/>
  <c r="T269" i="1"/>
  <c r="T272" i="1"/>
  <c r="T277" i="1"/>
  <c r="T210" i="1"/>
  <c r="T230" i="1"/>
  <c r="T235" i="1"/>
  <c r="Y243" i="1"/>
  <c r="R272" i="1"/>
  <c r="Y278" i="1"/>
  <c r="Y230" i="1"/>
  <c r="Y248" i="1"/>
  <c r="T249" i="1"/>
  <c r="T260" i="1"/>
  <c r="T287" i="1"/>
  <c r="R266" i="1"/>
  <c r="W266" i="1" s="1"/>
  <c r="T266" i="1"/>
  <c r="Y250" i="1"/>
  <c r="T267" i="1"/>
  <c r="Y271" i="1"/>
  <c r="Y217" i="1"/>
  <c r="Q271" i="1"/>
  <c r="R268" i="1"/>
  <c r="W268" i="1" s="1"/>
  <c r="T268" i="1"/>
  <c r="Y231" i="1"/>
  <c r="T217" i="1"/>
  <c r="Y228" i="1"/>
  <c r="T271" i="1"/>
  <c r="R276" i="1"/>
  <c r="T276" i="1"/>
  <c r="R215" i="1"/>
  <c r="W215" i="1" s="1"/>
  <c r="T215" i="1"/>
  <c r="R213" i="1"/>
  <c r="W213" i="1" s="1"/>
  <c r="T213" i="1"/>
  <c r="T231" i="1"/>
  <c r="R286" i="1"/>
  <c r="W286" i="1" s="1"/>
  <c r="T286" i="1"/>
  <c r="R285" i="1"/>
  <c r="W285" i="1" s="1"/>
  <c r="T285" i="1"/>
  <c r="R284" i="1"/>
  <c r="W284" i="1" s="1"/>
  <c r="T284" i="1"/>
  <c r="R281" i="1"/>
  <c r="W281" i="1" s="1"/>
  <c r="T281" i="1"/>
  <c r="T282" i="1"/>
  <c r="R279" i="1"/>
  <c r="W279" i="1" s="1"/>
  <c r="T279" i="1"/>
  <c r="Q275" i="1"/>
  <c r="Y275" i="1"/>
  <c r="R274" i="1"/>
  <c r="W274" i="1" s="1"/>
  <c r="T274" i="1"/>
  <c r="R270" i="1"/>
  <c r="W270" i="1" s="1"/>
  <c r="T270" i="1"/>
  <c r="T265" i="1"/>
  <c r="R265" i="1"/>
  <c r="W265" i="1" s="1"/>
  <c r="R263" i="1"/>
  <c r="W263" i="1" s="1"/>
  <c r="T263" i="1"/>
  <c r="R261" i="1"/>
  <c r="W261" i="1" s="1"/>
  <c r="T261" i="1"/>
  <c r="R259" i="1"/>
  <c r="W259" i="1" s="1"/>
  <c r="T259" i="1"/>
  <c r="R258" i="1"/>
  <c r="W258" i="1" s="1"/>
  <c r="T258" i="1"/>
  <c r="R257" i="1"/>
  <c r="W257" i="1" s="1"/>
  <c r="T257" i="1"/>
  <c r="Y256" i="1"/>
  <c r="Q256" i="1"/>
  <c r="T256" i="1"/>
  <c r="R255" i="1"/>
  <c r="W255" i="1" s="1"/>
  <c r="T255" i="1"/>
  <c r="R254" i="1"/>
  <c r="W254" i="1" s="1"/>
  <c r="T254" i="1"/>
  <c r="R253" i="1"/>
  <c r="W253" i="1" s="1"/>
  <c r="T253" i="1"/>
  <c r="R252" i="1"/>
  <c r="W252" i="1" s="1"/>
  <c r="T252" i="1"/>
  <c r="R247" i="1"/>
  <c r="W247" i="1" s="1"/>
  <c r="T247" i="1"/>
  <c r="T248" i="1"/>
  <c r="R245" i="1"/>
  <c r="W245" i="1" s="1"/>
  <c r="T245" i="1"/>
  <c r="R244" i="1"/>
  <c r="W244" i="1" s="1"/>
  <c r="T244" i="1"/>
  <c r="R242" i="1"/>
  <c r="W242" i="1" s="1"/>
  <c r="T242" i="1"/>
  <c r="R240" i="1"/>
  <c r="W240" i="1" s="1"/>
  <c r="T240" i="1"/>
  <c r="R239" i="1"/>
  <c r="W239" i="1" s="1"/>
  <c r="T239" i="1"/>
  <c r="R237" i="1"/>
  <c r="W237" i="1" s="1"/>
  <c r="T237" i="1"/>
  <c r="R236" i="1"/>
  <c r="W236" i="1" s="1"/>
  <c r="T236" i="1"/>
  <c r="R234" i="1"/>
  <c r="W234" i="1" s="1"/>
  <c r="T234" i="1"/>
  <c r="R233" i="1"/>
  <c r="W233" i="1" s="1"/>
  <c r="T233" i="1"/>
  <c r="R229" i="1"/>
  <c r="W229" i="1" s="1"/>
  <c r="T229" i="1"/>
  <c r="R227" i="1"/>
  <c r="W227" i="1" s="1"/>
  <c r="T227" i="1"/>
  <c r="R226" i="1"/>
  <c r="W226" i="1" s="1"/>
  <c r="T226" i="1"/>
  <c r="R225" i="1"/>
  <c r="W225" i="1" s="1"/>
  <c r="T225" i="1"/>
  <c r="R224" i="1"/>
  <c r="W224" i="1" s="1"/>
  <c r="T224" i="1"/>
  <c r="R223" i="1"/>
  <c r="W223" i="1" s="1"/>
  <c r="T223" i="1"/>
  <c r="R222" i="1"/>
  <c r="W222" i="1" s="1"/>
  <c r="T222" i="1"/>
  <c r="R221" i="1"/>
  <c r="W221" i="1" s="1"/>
  <c r="T221" i="1"/>
  <c r="R219" i="1"/>
  <c r="W219" i="1" s="1"/>
  <c r="T219" i="1"/>
  <c r="R218" i="1"/>
  <c r="W218" i="1" s="1"/>
  <c r="T218" i="1"/>
  <c r="R214" i="1"/>
  <c r="W214" i="1" s="1"/>
  <c r="T214" i="1"/>
  <c r="R212" i="1"/>
  <c r="W212" i="1" s="1"/>
  <c r="T212" i="1"/>
  <c r="Y199" i="1"/>
  <c r="Y204" i="1"/>
  <c r="T204" i="1"/>
  <c r="T199" i="1"/>
  <c r="Q203" i="1"/>
  <c r="T200" i="1"/>
  <c r="T202" i="1"/>
  <c r="Y200" i="1"/>
  <c r="T203" i="1"/>
  <c r="T152" i="1"/>
  <c r="AH184" i="1"/>
  <c r="Y211" i="1"/>
  <c r="T211" i="1"/>
  <c r="Q211" i="1"/>
  <c r="R209" i="1"/>
  <c r="W209" i="1" s="1"/>
  <c r="T209" i="1"/>
  <c r="R208" i="1"/>
  <c r="W208" i="1" s="1"/>
  <c r="T208" i="1"/>
  <c r="R207" i="1"/>
  <c r="W207" i="1" s="1"/>
  <c r="T207" i="1"/>
  <c r="R206" i="1"/>
  <c r="W206" i="1" s="1"/>
  <c r="T206" i="1"/>
  <c r="Y193" i="1"/>
  <c r="T193" i="1"/>
  <c r="T180" i="1"/>
  <c r="T190" i="1"/>
  <c r="R205" i="1"/>
  <c r="W205" i="1" s="1"/>
  <c r="T205" i="1"/>
  <c r="R201" i="1"/>
  <c r="W201" i="1" s="1"/>
  <c r="T201" i="1"/>
  <c r="R198" i="1"/>
  <c r="W198" i="1" s="1"/>
  <c r="T198" i="1"/>
  <c r="Q190" i="1"/>
  <c r="Y180" i="1"/>
  <c r="T149" i="1"/>
  <c r="Y146" i="1"/>
  <c r="Y170" i="1"/>
  <c r="Y174" i="1"/>
  <c r="R197" i="1"/>
  <c r="W197" i="1" s="1"/>
  <c r="T197" i="1"/>
  <c r="T196" i="1"/>
  <c r="Y196" i="1"/>
  <c r="R195" i="1"/>
  <c r="W195" i="1" s="1"/>
  <c r="T195" i="1"/>
  <c r="R194" i="1"/>
  <c r="W194" i="1" s="1"/>
  <c r="T194" i="1"/>
  <c r="T176" i="1"/>
  <c r="Q176" i="1"/>
  <c r="Y169" i="1"/>
  <c r="T174" i="1"/>
  <c r="R178" i="1"/>
  <c r="W178" i="1" s="1"/>
  <c r="T178" i="1"/>
  <c r="Y162" i="1"/>
  <c r="T170" i="1"/>
  <c r="Y149" i="1"/>
  <c r="T168" i="1"/>
  <c r="R171" i="1"/>
  <c r="W171" i="1" s="1"/>
  <c r="T171" i="1"/>
  <c r="T150" i="1"/>
  <c r="Q165" i="1"/>
  <c r="R192" i="1"/>
  <c r="W192" i="1" s="1"/>
  <c r="T192" i="1"/>
  <c r="R191" i="1"/>
  <c r="W191" i="1" s="1"/>
  <c r="T191" i="1"/>
  <c r="R189" i="1"/>
  <c r="W189" i="1" s="1"/>
  <c r="T189" i="1"/>
  <c r="R188" i="1"/>
  <c r="W188" i="1" s="1"/>
  <c r="T188" i="1"/>
  <c r="R187" i="1"/>
  <c r="W187" i="1" s="1"/>
  <c r="T187" i="1"/>
  <c r="R186" i="1"/>
  <c r="W186" i="1" s="1"/>
  <c r="T186" i="1"/>
  <c r="R185" i="1"/>
  <c r="W185" i="1" s="1"/>
  <c r="T185" i="1"/>
  <c r="R184" i="1"/>
  <c r="W184" i="1" s="1"/>
  <c r="T184" i="1"/>
  <c r="R183" i="1"/>
  <c r="W183" i="1" s="1"/>
  <c r="T183" i="1"/>
  <c r="R182" i="1"/>
  <c r="W182" i="1" s="1"/>
  <c r="T182" i="1"/>
  <c r="R181" i="1"/>
  <c r="W181" i="1" s="1"/>
  <c r="T181" i="1"/>
  <c r="R179" i="1"/>
  <c r="W179" i="1" s="1"/>
  <c r="T179" i="1"/>
  <c r="R177" i="1"/>
  <c r="W177" i="1" s="1"/>
  <c r="T177" i="1"/>
  <c r="R175" i="1"/>
  <c r="W175" i="1" s="1"/>
  <c r="T175" i="1"/>
  <c r="R173" i="1"/>
  <c r="W173" i="1" s="1"/>
  <c r="T173" i="1"/>
  <c r="R172" i="1"/>
  <c r="W172" i="1" s="1"/>
  <c r="T172" i="1"/>
  <c r="Y157" i="1"/>
  <c r="Q150" i="1"/>
  <c r="T153" i="1"/>
  <c r="T162" i="1"/>
  <c r="Y165" i="1"/>
  <c r="Y168" i="1"/>
  <c r="T156" i="1"/>
  <c r="T169" i="1"/>
  <c r="T158" i="1"/>
  <c r="Y159" i="1"/>
  <c r="Y158" i="1"/>
  <c r="Q152" i="1"/>
  <c r="T163" i="1"/>
  <c r="T165" i="1"/>
  <c r="Y164" i="1"/>
  <c r="T159" i="1"/>
  <c r="T164" i="1"/>
  <c r="R156" i="1"/>
  <c r="W156" i="1" s="1"/>
  <c r="T157" i="1"/>
  <c r="Y163" i="1"/>
  <c r="R166" i="1"/>
  <c r="W166" i="1" s="1"/>
  <c r="T166" i="1"/>
  <c r="R167" i="1"/>
  <c r="W167" i="1" s="1"/>
  <c r="T167" i="1"/>
  <c r="Y160" i="1"/>
  <c r="Q160" i="1"/>
  <c r="T160" i="1"/>
  <c r="R161" i="1"/>
  <c r="T161" i="1"/>
  <c r="T155" i="1"/>
  <c r="Y155" i="1"/>
  <c r="T154" i="1"/>
  <c r="R154" i="1"/>
  <c r="W154" i="1" s="1"/>
  <c r="Y153" i="1"/>
  <c r="Q153" i="1"/>
  <c r="R151" i="1"/>
  <c r="W151" i="1" s="1"/>
  <c r="T151" i="1"/>
  <c r="T148" i="1"/>
  <c r="R148" i="1"/>
  <c r="W148" i="1" s="1"/>
  <c r="R147" i="1"/>
  <c r="W147" i="1" s="1"/>
  <c r="T147" i="1"/>
  <c r="Q142" i="1"/>
  <c r="Y140" i="1"/>
  <c r="T146" i="1"/>
  <c r="Y141" i="1"/>
  <c r="Q137" i="1"/>
  <c r="T144" i="1"/>
  <c r="T142" i="1"/>
  <c r="T141" i="1"/>
  <c r="Q145" i="1"/>
  <c r="Q140" i="1"/>
  <c r="Y144" i="1"/>
  <c r="T145" i="1"/>
  <c r="T140" i="1"/>
  <c r="R143" i="1"/>
  <c r="W143" i="1" s="1"/>
  <c r="T143" i="1"/>
  <c r="Q138" i="1"/>
  <c r="R139" i="1"/>
  <c r="W139" i="1" s="1"/>
  <c r="T139" i="1"/>
  <c r="T136" i="1"/>
  <c r="T138" i="1"/>
  <c r="Q132" i="1"/>
  <c r="T130" i="1"/>
  <c r="Y136" i="1"/>
  <c r="T137" i="1"/>
  <c r="T125" i="1"/>
  <c r="Y132" i="1"/>
  <c r="R135" i="1"/>
  <c r="W135" i="1" s="1"/>
  <c r="T135" i="1"/>
  <c r="Q120" i="1"/>
  <c r="R134" i="1"/>
  <c r="W134" i="1" s="1"/>
  <c r="T134" i="1"/>
  <c r="Y130" i="1"/>
  <c r="Y131" i="1"/>
  <c r="T131" i="1"/>
  <c r="T132" i="1"/>
  <c r="R133" i="1"/>
  <c r="W133" i="1" s="1"/>
  <c r="T133" i="1"/>
  <c r="R129" i="1"/>
  <c r="W129" i="1" s="1"/>
  <c r="T129" i="1"/>
  <c r="R128" i="1"/>
  <c r="W128" i="1" s="1"/>
  <c r="T128" i="1"/>
  <c r="R126" i="1"/>
  <c r="W126" i="1" s="1"/>
  <c r="T126" i="1"/>
  <c r="T127" i="1"/>
  <c r="Y127" i="1"/>
  <c r="Q127" i="1"/>
  <c r="Q125" i="1"/>
  <c r="Y125" i="1"/>
  <c r="Y114" i="1"/>
  <c r="T114" i="1"/>
  <c r="T120" i="1"/>
  <c r="Y121" i="1"/>
  <c r="T107" i="1"/>
  <c r="T108" i="1"/>
  <c r="R124" i="1"/>
  <c r="W124" i="1" s="1"/>
  <c r="T124" i="1"/>
  <c r="Y110" i="1"/>
  <c r="Y107" i="1"/>
  <c r="T121" i="1"/>
  <c r="T122" i="1"/>
  <c r="Y108" i="1"/>
  <c r="T110" i="1"/>
  <c r="Q111" i="1"/>
  <c r="R118" i="1"/>
  <c r="W118" i="1" s="1"/>
  <c r="T118" i="1"/>
  <c r="T111" i="1"/>
  <c r="T109" i="1"/>
  <c r="R109" i="1"/>
  <c r="W109" i="1" s="1"/>
  <c r="R123" i="1"/>
  <c r="W123" i="1" s="1"/>
  <c r="T123" i="1"/>
  <c r="Q122" i="1"/>
  <c r="Y122" i="1"/>
  <c r="R119" i="1"/>
  <c r="W119" i="1" s="1"/>
  <c r="T119" i="1"/>
  <c r="R117" i="1"/>
  <c r="W117" i="1" s="1"/>
  <c r="T117" i="1"/>
  <c r="R116" i="1"/>
  <c r="W116" i="1" s="1"/>
  <c r="T116" i="1"/>
  <c r="R115" i="1"/>
  <c r="W115" i="1" s="1"/>
  <c r="T115" i="1"/>
  <c r="R113" i="1"/>
  <c r="W113" i="1" s="1"/>
  <c r="T113" i="1"/>
  <c r="R112" i="1"/>
  <c r="W112" i="1" s="1"/>
  <c r="T112" i="1"/>
  <c r="T106" i="1"/>
  <c r="R106" i="1"/>
  <c r="W106" i="1" s="1"/>
  <c r="T102" i="1"/>
  <c r="T103" i="1"/>
  <c r="AH103" i="1"/>
  <c r="R103" i="1"/>
  <c r="Y102" i="1"/>
  <c r="R105" i="1"/>
  <c r="W105" i="1" s="1"/>
  <c r="T105" i="1"/>
  <c r="Q104" i="1"/>
  <c r="T104" i="1"/>
  <c r="T66" i="1"/>
  <c r="Q66" i="1"/>
  <c r="T95" i="1"/>
  <c r="Q99" i="1"/>
  <c r="Y68" i="1"/>
  <c r="T68" i="1"/>
  <c r="Q64" i="1"/>
  <c r="R101" i="1"/>
  <c r="W101" i="1" s="1"/>
  <c r="T101" i="1"/>
  <c r="T70" i="1"/>
  <c r="T73" i="1"/>
  <c r="T98" i="1"/>
  <c r="R98" i="1"/>
  <c r="W98" i="1" s="1"/>
  <c r="R97" i="1"/>
  <c r="W97" i="1" s="1"/>
  <c r="T97" i="1"/>
  <c r="R96" i="1"/>
  <c r="W96" i="1" s="1"/>
  <c r="T96" i="1"/>
  <c r="T99" i="1"/>
  <c r="Q95" i="1"/>
  <c r="Y95" i="1"/>
  <c r="R100" i="1"/>
  <c r="W100" i="1" s="1"/>
  <c r="T100" i="1"/>
  <c r="Q75" i="1"/>
  <c r="T64" i="1"/>
  <c r="T82" i="1"/>
  <c r="Q63" i="1"/>
  <c r="Y73" i="1"/>
  <c r="AH94" i="1"/>
  <c r="Q82" i="1"/>
  <c r="T85" i="1"/>
  <c r="R85" i="1"/>
  <c r="Y80" i="1"/>
  <c r="Q62" i="1"/>
  <c r="T75" i="1"/>
  <c r="T86" i="1"/>
  <c r="T81" i="1"/>
  <c r="T60" i="1"/>
  <c r="T63" i="1"/>
  <c r="T49" i="1"/>
  <c r="T62" i="1"/>
  <c r="Q79" i="1"/>
  <c r="T79" i="1"/>
  <c r="T90" i="1"/>
  <c r="Q53" i="1"/>
  <c r="Y55" i="1"/>
  <c r="T80" i="1"/>
  <c r="T53" i="1"/>
  <c r="Q70" i="1"/>
  <c r="AH74" i="1"/>
  <c r="R94" i="1"/>
  <c r="W94" i="1" s="1"/>
  <c r="T94" i="1"/>
  <c r="R93" i="1"/>
  <c r="W93" i="1" s="1"/>
  <c r="T93" i="1"/>
  <c r="R92" i="1"/>
  <c r="W92" i="1" s="1"/>
  <c r="T92" i="1"/>
  <c r="R91" i="1"/>
  <c r="W91" i="1" s="1"/>
  <c r="T91" i="1"/>
  <c r="Y90" i="1"/>
  <c r="Q90" i="1"/>
  <c r="R89" i="1"/>
  <c r="W89" i="1" s="1"/>
  <c r="T89" i="1"/>
  <c r="R88" i="1"/>
  <c r="W88" i="1" s="1"/>
  <c r="T88" i="1"/>
  <c r="R87" i="1"/>
  <c r="W87" i="1" s="1"/>
  <c r="T87" i="1"/>
  <c r="Q86" i="1"/>
  <c r="Y86" i="1"/>
  <c r="R84" i="1"/>
  <c r="W84" i="1" s="1"/>
  <c r="T84" i="1"/>
  <c r="R83" i="1"/>
  <c r="W83" i="1" s="1"/>
  <c r="T83" i="1"/>
  <c r="Y81" i="1"/>
  <c r="Q81" i="1"/>
  <c r="R78" i="1"/>
  <c r="W78" i="1" s="1"/>
  <c r="T78" i="1"/>
  <c r="T76" i="1"/>
  <c r="Y76" i="1"/>
  <c r="Q76" i="1"/>
  <c r="R77" i="1"/>
  <c r="W77" i="1" s="1"/>
  <c r="T77" i="1"/>
  <c r="T74" i="1"/>
  <c r="R74" i="1"/>
  <c r="W74" i="1" s="1"/>
  <c r="R72" i="1"/>
  <c r="W72" i="1" s="1"/>
  <c r="T72" i="1"/>
  <c r="R71" i="1"/>
  <c r="W71" i="1" s="1"/>
  <c r="T71" i="1"/>
  <c r="R69" i="1"/>
  <c r="W69" i="1" s="1"/>
  <c r="T69" i="1"/>
  <c r="T67" i="1"/>
  <c r="R67" i="1"/>
  <c r="W67" i="1" s="1"/>
  <c r="R65" i="1"/>
  <c r="W65" i="1" s="1"/>
  <c r="T65" i="1"/>
  <c r="Q60" i="1"/>
  <c r="R58" i="1"/>
  <c r="W58" i="1" s="1"/>
  <c r="T58" i="1"/>
  <c r="T55" i="1"/>
  <c r="R61" i="1"/>
  <c r="W61" i="1" s="1"/>
  <c r="T61" i="1"/>
  <c r="R59" i="1"/>
  <c r="W59" i="1" s="1"/>
  <c r="T59" i="1"/>
  <c r="Q48" i="1"/>
  <c r="R24" i="1"/>
  <c r="AH24" i="1"/>
  <c r="AH56" i="1" s="1"/>
  <c r="T48" i="1"/>
  <c r="R57" i="1"/>
  <c r="W57" i="1" s="1"/>
  <c r="T57" i="1"/>
  <c r="T56" i="1"/>
  <c r="R56" i="1"/>
  <c r="W56" i="1" s="1"/>
  <c r="R54" i="1"/>
  <c r="W54" i="1" s="1"/>
  <c r="T54" i="1"/>
  <c r="R52" i="1"/>
  <c r="W52" i="1" s="1"/>
  <c r="T52" i="1"/>
  <c r="R51" i="1"/>
  <c r="W51" i="1" s="1"/>
  <c r="T51" i="1"/>
  <c r="R50" i="1"/>
  <c r="W50" i="1" s="1"/>
  <c r="T50" i="1"/>
  <c r="Q49" i="1"/>
  <c r="Y49" i="1"/>
  <c r="Q46" i="1"/>
  <c r="T47" i="1"/>
  <c r="Q42" i="1"/>
  <c r="T42" i="1"/>
  <c r="T44" i="1"/>
  <c r="Y47" i="1"/>
  <c r="Q47" i="1"/>
  <c r="Q45" i="1"/>
  <c r="T45" i="1"/>
  <c r="AH46" i="1"/>
  <c r="T46" i="1"/>
  <c r="Q44" i="1"/>
  <c r="Y44" i="1"/>
  <c r="R43" i="1"/>
  <c r="T43" i="1"/>
  <c r="R41" i="1"/>
  <c r="W41" i="1" s="1"/>
  <c r="T41" i="1"/>
  <c r="T40" i="1"/>
  <c r="R40" i="1"/>
  <c r="W40" i="1" s="1"/>
  <c r="R39" i="1"/>
  <c r="W39" i="1" s="1"/>
  <c r="T39" i="1"/>
  <c r="T38" i="1"/>
  <c r="R38" i="1"/>
  <c r="W38" i="1" s="1"/>
  <c r="R37" i="1"/>
  <c r="W37" i="1" s="1"/>
  <c r="T37" i="1"/>
  <c r="R36" i="1"/>
  <c r="W36" i="1" s="1"/>
  <c r="T36" i="1"/>
  <c r="T35" i="1"/>
  <c r="R35" i="1"/>
  <c r="W35" i="1" s="1"/>
  <c r="T34" i="1"/>
  <c r="R34" i="1"/>
  <c r="W34" i="1" s="1"/>
  <c r="T33" i="1"/>
  <c r="R33" i="1"/>
  <c r="W33" i="1" s="1"/>
  <c r="AB29" i="1"/>
  <c r="AD29" i="1" s="1"/>
  <c r="R31" i="1"/>
  <c r="W31" i="1" s="1"/>
  <c r="T31" i="1"/>
  <c r="R32" i="1"/>
  <c r="W32" i="1" s="1"/>
  <c r="T32" i="1"/>
  <c r="R30" i="1"/>
  <c r="W30" i="1" s="1"/>
  <c r="AB30" i="1"/>
  <c r="AD30" i="1" s="1"/>
  <c r="T30" i="1"/>
  <c r="AB28" i="1"/>
  <c r="AD28" i="1" s="1"/>
  <c r="AB24" i="1"/>
  <c r="AD24" i="1" s="1"/>
  <c r="AB26" i="1"/>
  <c r="AD26" i="1" s="1"/>
  <c r="AB27" i="1"/>
  <c r="AD27" i="1" s="1"/>
  <c r="T24" i="1"/>
  <c r="T29" i="1"/>
  <c r="R29" i="1"/>
  <c r="AB14" i="1"/>
  <c r="AD14" i="1" s="1"/>
  <c r="AB16" i="1"/>
  <c r="AD16" i="1" s="1"/>
  <c r="AB17" i="1"/>
  <c r="AD17" i="1" s="1"/>
  <c r="AB23" i="1"/>
  <c r="AD23" i="1" s="1"/>
  <c r="AB15" i="1"/>
  <c r="AD15" i="1" s="1"/>
  <c r="AB13" i="1"/>
  <c r="AD13" i="1" s="1"/>
  <c r="AB18" i="1"/>
  <c r="AD18" i="1" s="1"/>
  <c r="R12" i="1"/>
  <c r="W12" i="1" s="1"/>
  <c r="T12" i="1"/>
  <c r="T14" i="1"/>
  <c r="R14" i="1"/>
  <c r="W14" i="1" s="1"/>
  <c r="R7" i="1"/>
  <c r="W7" i="1" s="1"/>
  <c r="T17" i="1"/>
  <c r="R17" i="1"/>
  <c r="W17" i="1" s="1"/>
  <c r="R8" i="1"/>
  <c r="W8" i="1" s="1"/>
  <c r="T8" i="1"/>
  <c r="T21" i="1"/>
  <c r="R21" i="1"/>
  <c r="W21" i="1" s="1"/>
  <c r="T9" i="1"/>
  <c r="R9" i="1"/>
  <c r="W9" i="1" s="1"/>
  <c r="T18" i="1"/>
  <c r="R18" i="1"/>
  <c r="W18" i="1" s="1"/>
  <c r="R10" i="1"/>
  <c r="W10" i="1" s="1"/>
  <c r="T10" i="1"/>
  <c r="R13" i="1"/>
  <c r="W13" i="1" s="1"/>
  <c r="T13" i="1"/>
  <c r="R3" i="1"/>
  <c r="W3" i="1" s="1"/>
  <c r="X3" i="1" s="1"/>
  <c r="T16" i="1"/>
  <c r="R16" i="1"/>
  <c r="W16" i="1" s="1"/>
  <c r="R20" i="1"/>
  <c r="W20" i="1" s="1"/>
  <c r="T20" i="1"/>
  <c r="R22" i="1"/>
  <c r="W22" i="1" s="1"/>
  <c r="T22" i="1"/>
  <c r="R15" i="1"/>
  <c r="W15" i="1" s="1"/>
  <c r="T15" i="1"/>
  <c r="T11" i="1"/>
  <c r="R11" i="1"/>
  <c r="W11" i="1" s="1"/>
  <c r="T19" i="1"/>
  <c r="AB20" i="1"/>
  <c r="AD20" i="1" s="1"/>
  <c r="AB21" i="1"/>
  <c r="AD21" i="1" s="1"/>
  <c r="AB22" i="1"/>
  <c r="AD22" i="1" s="1"/>
  <c r="R19" i="1"/>
  <c r="W19" i="1" s="1"/>
  <c r="AB25" i="1"/>
  <c r="AD25" i="1" s="1"/>
  <c r="T23" i="1"/>
  <c r="R23" i="1"/>
  <c r="W23" i="1" s="1"/>
  <c r="T25" i="1"/>
  <c r="Q25" i="1"/>
  <c r="Y25" i="1"/>
  <c r="T27" i="1"/>
  <c r="R27" i="1"/>
  <c r="W27" i="1" s="1"/>
  <c r="T28" i="1"/>
  <c r="T26" i="1"/>
  <c r="R26" i="1"/>
  <c r="W26" i="1" s="1"/>
  <c r="Y28" i="1"/>
  <c r="Q28" i="1"/>
  <c r="I2" i="1"/>
  <c r="AH23" i="1" s="1"/>
  <c r="H2" i="1"/>
  <c r="X336" i="1" l="1"/>
  <c r="X340" i="1"/>
  <c r="X334" i="1"/>
  <c r="X129" i="1"/>
  <c r="X132" i="1"/>
  <c r="X344" i="1"/>
  <c r="X118" i="1"/>
  <c r="X353" i="1"/>
  <c r="X146" i="1"/>
  <c r="X82" i="1"/>
  <c r="X134" i="1"/>
  <c r="X92" i="1"/>
  <c r="X159" i="1"/>
  <c r="X78" i="1"/>
  <c r="X101" i="1"/>
  <c r="X292" i="1"/>
  <c r="X110" i="1"/>
  <c r="X72" i="1"/>
  <c r="X180" i="1"/>
  <c r="X254" i="1"/>
  <c r="X255" i="1"/>
  <c r="X76" i="1"/>
  <c r="X266" i="1"/>
  <c r="X244" i="1"/>
  <c r="X196" i="1"/>
  <c r="X116" i="1"/>
  <c r="X16" i="1"/>
  <c r="X300" i="1"/>
  <c r="X311" i="1"/>
  <c r="X325" i="1"/>
  <c r="X332" i="1"/>
  <c r="X96" i="1"/>
  <c r="X295" i="1"/>
  <c r="X138" i="1"/>
  <c r="X17" i="1"/>
  <c r="X63" i="1"/>
  <c r="X94" i="1"/>
  <c r="X125" i="1"/>
  <c r="X203" i="1"/>
  <c r="X230" i="1"/>
  <c r="X145" i="1"/>
  <c r="X168" i="1"/>
  <c r="X130" i="1"/>
  <c r="X245" i="1"/>
  <c r="X77" i="1"/>
  <c r="X153" i="1"/>
  <c r="X154" i="1"/>
  <c r="X171" i="1"/>
  <c r="X41" i="1"/>
  <c r="X71" i="1"/>
  <c r="X18" i="1"/>
  <c r="X187" i="1"/>
  <c r="X218" i="1"/>
  <c r="X242" i="1"/>
  <c r="X253" i="1"/>
  <c r="X237" i="1"/>
  <c r="X61" i="1"/>
  <c r="X51" i="1"/>
  <c r="X59" i="1"/>
  <c r="X175" i="1"/>
  <c r="X241" i="1"/>
  <c r="X206" i="1"/>
  <c r="X226" i="1"/>
  <c r="X174" i="1"/>
  <c r="X128" i="1"/>
  <c r="X217" i="1"/>
  <c r="X176" i="1"/>
  <c r="X112" i="1"/>
  <c r="X21" i="1"/>
  <c r="X15" i="1"/>
  <c r="X42" i="1"/>
  <c r="X84" i="1"/>
  <c r="X95" i="1"/>
  <c r="X140" i="1"/>
  <c r="X188" i="1"/>
  <c r="X195" i="1"/>
  <c r="X184" i="1"/>
  <c r="X220" i="1"/>
  <c r="X231" i="1"/>
  <c r="X243" i="1"/>
  <c r="X264" i="1"/>
  <c r="X219" i="1"/>
  <c r="X301" i="1"/>
  <c r="X308" i="1"/>
  <c r="X312" i="1"/>
  <c r="X326" i="1"/>
  <c r="X338" i="1"/>
  <c r="X335" i="1"/>
  <c r="X131" i="1"/>
  <c r="X73" i="1"/>
  <c r="X330" i="1"/>
  <c r="X36" i="1"/>
  <c r="X56" i="1"/>
  <c r="X75" i="1"/>
  <c r="X258" i="1"/>
  <c r="X327" i="1"/>
  <c r="X113" i="1"/>
  <c r="X81" i="1"/>
  <c r="X148" i="1"/>
  <c r="X151" i="1"/>
  <c r="X158" i="1"/>
  <c r="X142" i="1"/>
  <c r="X249" i="1"/>
  <c r="X210" i="1"/>
  <c r="X66" i="1"/>
  <c r="X182" i="1"/>
  <c r="X199" i="1"/>
  <c r="X79" i="1"/>
  <c r="X328" i="1"/>
  <c r="X149" i="1"/>
  <c r="X178" i="1"/>
  <c r="X189" i="1"/>
  <c r="X197" i="1"/>
  <c r="X212" i="1"/>
  <c r="X224" i="1"/>
  <c r="X232" i="1"/>
  <c r="X265" i="1"/>
  <c r="X221" i="1"/>
  <c r="X313" i="1"/>
  <c r="X53" i="1"/>
  <c r="X115" i="1"/>
  <c r="X259" i="1"/>
  <c r="X302" i="1"/>
  <c r="X70" i="1"/>
  <c r="X169" i="1"/>
  <c r="X297" i="1"/>
  <c r="X252" i="1"/>
  <c r="X126" i="1"/>
  <c r="X52" i="1"/>
  <c r="X144" i="1"/>
  <c r="X152" i="1"/>
  <c r="X238" i="1"/>
  <c r="X156" i="1"/>
  <c r="X120" i="1"/>
  <c r="X236" i="1"/>
  <c r="X119" i="1"/>
  <c r="X179" i="1"/>
  <c r="X190" i="1"/>
  <c r="X198" i="1"/>
  <c r="X213" i="1"/>
  <c r="X225" i="1"/>
  <c r="X233" i="1"/>
  <c r="X246" i="1"/>
  <c r="X267" i="1"/>
  <c r="X303" i="1"/>
  <c r="X314" i="1"/>
  <c r="X341" i="1"/>
  <c r="X352" i="1"/>
  <c r="X194" i="1"/>
  <c r="X57" i="1"/>
  <c r="X37" i="1"/>
  <c r="X260" i="1"/>
  <c r="X143" i="1"/>
  <c r="X137" i="1"/>
  <c r="X208" i="1"/>
  <c r="X296" i="1"/>
  <c r="X270" i="1"/>
  <c r="X150" i="1"/>
  <c r="X117" i="1"/>
  <c r="X155" i="1"/>
  <c r="X68" i="1"/>
  <c r="X268" i="1"/>
  <c r="X247" i="1"/>
  <c r="X209" i="1"/>
  <c r="X133" i="1"/>
  <c r="X339" i="1"/>
  <c r="X22" i="1"/>
  <c r="X80" i="1"/>
  <c r="X98" i="1"/>
  <c r="X121" i="1"/>
  <c r="X135" i="1"/>
  <c r="X173" i="1"/>
  <c r="X181" i="1"/>
  <c r="X191" i="1"/>
  <c r="X200" i="1"/>
  <c r="X204" i="1"/>
  <c r="X214" i="1"/>
  <c r="X227" i="1"/>
  <c r="X235" i="1"/>
  <c r="X248" i="1"/>
  <c r="X269" i="1"/>
  <c r="X315" i="1"/>
  <c r="X337" i="1"/>
  <c r="X342" i="1"/>
  <c r="X333" i="1"/>
  <c r="X55" i="1"/>
  <c r="X38" i="1"/>
  <c r="X14" i="1"/>
  <c r="X290" i="1"/>
  <c r="X304" i="1"/>
  <c r="X114" i="1"/>
  <c r="X170" i="1"/>
  <c r="X298" i="1"/>
  <c r="X216" i="1"/>
  <c r="X223" i="1"/>
  <c r="X54" i="1"/>
  <c r="X69" i="1"/>
  <c r="X234" i="1"/>
  <c r="X186" i="1"/>
  <c r="X50" i="1"/>
  <c r="X316" i="1"/>
  <c r="X329" i="1"/>
  <c r="X102" i="1"/>
  <c r="X65" i="1"/>
  <c r="X97" i="1"/>
  <c r="X60" i="1"/>
  <c r="X261" i="1"/>
  <c r="X62" i="1"/>
  <c r="X183" i="1"/>
  <c r="X192" i="1"/>
  <c r="X207" i="1"/>
  <c r="X215" i="1"/>
  <c r="X228" i="1"/>
  <c r="X239" i="1"/>
  <c r="X250" i="1"/>
  <c r="X305" i="1"/>
  <c r="X309" i="1"/>
  <c r="X343" i="1"/>
  <c r="X257" i="1"/>
  <c r="X263" i="1"/>
  <c r="X307" i="1"/>
  <c r="X58" i="1"/>
  <c r="X23" i="1"/>
  <c r="X124" i="1"/>
  <c r="X271" i="1"/>
  <c r="X13" i="1"/>
  <c r="X99" i="1"/>
  <c r="X122" i="1"/>
  <c r="X172" i="1"/>
  <c r="X177" i="1"/>
  <c r="X19" i="1"/>
  <c r="X40" i="1"/>
  <c r="X83" i="1"/>
  <c r="X291" i="1"/>
  <c r="X74" i="1"/>
  <c r="X127" i="1"/>
  <c r="X205" i="1"/>
  <c r="X202" i="1"/>
  <c r="X147" i="1"/>
  <c r="X256" i="1"/>
  <c r="X222" i="1"/>
  <c r="X136" i="1"/>
  <c r="X331" i="1"/>
  <c r="X141" i="1"/>
  <c r="X67" i="1"/>
  <c r="X39" i="1"/>
  <c r="X111" i="1"/>
  <c r="X157" i="1"/>
  <c r="X64" i="1"/>
  <c r="X139" i="1"/>
  <c r="X201" i="1"/>
  <c r="X20" i="1"/>
  <c r="X93" i="1"/>
  <c r="X100" i="1"/>
  <c r="X123" i="1"/>
  <c r="X160" i="1"/>
  <c r="X185" i="1"/>
  <c r="X193" i="1"/>
  <c r="X211" i="1"/>
  <c r="X229" i="1"/>
  <c r="X240" i="1"/>
  <c r="X251" i="1"/>
  <c r="X294" i="1"/>
  <c r="X299" i="1"/>
  <c r="X306" i="1"/>
  <c r="X310" i="1"/>
  <c r="X324" i="1"/>
  <c r="X293" i="1"/>
  <c r="X262" i="1"/>
  <c r="Q24" i="1"/>
  <c r="W24" i="1"/>
  <c r="X27" i="1" s="1"/>
  <c r="Q85" i="1"/>
  <c r="W85" i="1"/>
  <c r="X91" i="1" s="1"/>
  <c r="Q276" i="1"/>
  <c r="W276" i="1"/>
  <c r="X279" i="1" s="1"/>
  <c r="Y283" i="1"/>
  <c r="W283" i="1"/>
  <c r="X289" i="1" s="1"/>
  <c r="AB164" i="1"/>
  <c r="AD164" i="1" s="1"/>
  <c r="W161" i="1"/>
  <c r="Q317" i="1"/>
  <c r="W317" i="1"/>
  <c r="X323" i="1" s="1"/>
  <c r="AH127" i="1"/>
  <c r="W103" i="1"/>
  <c r="X109" i="1" s="1"/>
  <c r="Y272" i="1"/>
  <c r="W272" i="1"/>
  <c r="X275" i="1" s="1"/>
  <c r="AB360" i="1"/>
  <c r="W354" i="1"/>
  <c r="X360" i="1" s="1"/>
  <c r="Q29" i="1"/>
  <c r="W29" i="1"/>
  <c r="X33" i="1" s="1"/>
  <c r="Y345" i="1"/>
  <c r="W345" i="1"/>
  <c r="X351" i="1" s="1"/>
  <c r="AB48" i="1"/>
  <c r="AD48" i="1" s="1"/>
  <c r="W43" i="1"/>
  <c r="X49" i="1" s="1"/>
  <c r="Q345" i="1"/>
  <c r="AB358" i="1"/>
  <c r="AD358" i="1" s="1"/>
  <c r="Y354" i="1"/>
  <c r="Q354" i="1"/>
  <c r="AB357" i="1"/>
  <c r="AD357" i="1" s="1"/>
  <c r="AB351" i="1"/>
  <c r="AD351" i="1" s="1"/>
  <c r="AB355" i="1"/>
  <c r="AD355" i="1" s="1"/>
  <c r="AB356" i="1"/>
  <c r="AD356" i="1" s="1"/>
  <c r="Y350" i="1"/>
  <c r="Q350" i="1"/>
  <c r="AB352" i="1"/>
  <c r="AD352" i="1" s="1"/>
  <c r="AB353" i="1"/>
  <c r="AD353" i="1" s="1"/>
  <c r="AB359" i="1"/>
  <c r="AD359" i="1" s="1"/>
  <c r="AB354" i="1"/>
  <c r="AD354" i="1" s="1"/>
  <c r="Q353" i="1"/>
  <c r="Y353" i="1"/>
  <c r="Q352" i="1"/>
  <c r="Y352" i="1"/>
  <c r="Q351" i="1"/>
  <c r="Y351" i="1"/>
  <c r="AB345" i="1"/>
  <c r="AD345" i="1" s="1"/>
  <c r="AB347" i="1"/>
  <c r="AD347" i="1" s="1"/>
  <c r="AB344" i="1"/>
  <c r="AD344" i="1" s="1"/>
  <c r="AB350" i="1"/>
  <c r="AD350" i="1" s="1"/>
  <c r="AB346" i="1"/>
  <c r="AD346" i="1" s="1"/>
  <c r="AB349" i="1"/>
  <c r="AD349" i="1" s="1"/>
  <c r="AB348" i="1"/>
  <c r="AD348" i="1" s="1"/>
  <c r="Q349" i="1"/>
  <c r="Y349" i="1"/>
  <c r="Q348" i="1"/>
  <c r="Y348" i="1"/>
  <c r="Q346" i="1"/>
  <c r="Y346" i="1"/>
  <c r="Q344" i="1"/>
  <c r="Y344" i="1"/>
  <c r="AB343" i="1"/>
  <c r="AD343" i="1" s="1"/>
  <c r="AB336" i="1"/>
  <c r="AD336" i="1" s="1"/>
  <c r="AB341" i="1"/>
  <c r="AD341" i="1" s="1"/>
  <c r="AB337" i="1"/>
  <c r="AD337" i="1" s="1"/>
  <c r="AB342" i="1"/>
  <c r="AD342" i="1" s="1"/>
  <c r="Y317" i="1"/>
  <c r="AB339" i="1"/>
  <c r="AD339" i="1" s="1"/>
  <c r="AB338" i="1"/>
  <c r="AD338" i="1" s="1"/>
  <c r="AB335" i="1"/>
  <c r="AD335" i="1" s="1"/>
  <c r="AB340" i="1"/>
  <c r="AD340" i="1" s="1"/>
  <c r="Q343" i="1"/>
  <c r="Y343" i="1"/>
  <c r="Q341" i="1"/>
  <c r="Y341" i="1"/>
  <c r="Q337" i="1"/>
  <c r="Y337" i="1"/>
  <c r="Y336" i="1"/>
  <c r="Q336" i="1"/>
  <c r="Q335" i="1"/>
  <c r="Y335" i="1"/>
  <c r="AB330" i="1"/>
  <c r="AD330" i="1" s="1"/>
  <c r="AB304" i="1"/>
  <c r="AD304" i="1" s="1"/>
  <c r="AB328" i="1"/>
  <c r="AD328" i="1" s="1"/>
  <c r="AB307" i="1"/>
  <c r="AD307" i="1" s="1"/>
  <c r="AB311" i="1"/>
  <c r="AD311" i="1" s="1"/>
  <c r="AB318" i="1"/>
  <c r="AD318" i="1" s="1"/>
  <c r="AB324" i="1"/>
  <c r="AD324" i="1" s="1"/>
  <c r="AB325" i="1"/>
  <c r="AD325" i="1" s="1"/>
  <c r="AB332" i="1"/>
  <c r="AD332" i="1" s="1"/>
  <c r="AB322" i="1"/>
  <c r="AD322" i="1" s="1"/>
  <c r="Q302" i="1"/>
  <c r="AB308" i="1"/>
  <c r="AD308" i="1" s="1"/>
  <c r="AB313" i="1"/>
  <c r="AD313" i="1" s="1"/>
  <c r="AB320" i="1"/>
  <c r="AD320" i="1" s="1"/>
  <c r="AB326" i="1"/>
  <c r="AD326" i="1" s="1"/>
  <c r="AB329" i="1"/>
  <c r="AD329" i="1" s="1"/>
  <c r="AB321" i="1"/>
  <c r="AD321" i="1" s="1"/>
  <c r="AB327" i="1"/>
  <c r="AD327" i="1" s="1"/>
  <c r="AB334" i="1"/>
  <c r="AD334" i="1" s="1"/>
  <c r="AB303" i="1"/>
  <c r="AD303" i="1" s="1"/>
  <c r="AB314" i="1"/>
  <c r="AD314" i="1" s="1"/>
  <c r="AB312" i="1"/>
  <c r="AD312" i="1" s="1"/>
  <c r="AB316" i="1"/>
  <c r="AD316" i="1" s="1"/>
  <c r="AB319" i="1"/>
  <c r="AD319" i="1" s="1"/>
  <c r="AB268" i="1"/>
  <c r="AD268" i="1" s="1"/>
  <c r="AB315" i="1"/>
  <c r="AD315" i="1" s="1"/>
  <c r="AB305" i="1"/>
  <c r="AD305" i="1" s="1"/>
  <c r="AB309" i="1"/>
  <c r="AD309" i="1" s="1"/>
  <c r="AB331" i="1"/>
  <c r="AD331" i="1" s="1"/>
  <c r="AB306" i="1"/>
  <c r="AD306" i="1" s="1"/>
  <c r="AB310" i="1"/>
  <c r="AD310" i="1" s="1"/>
  <c r="AB317" i="1"/>
  <c r="AD317" i="1" s="1"/>
  <c r="AB323" i="1"/>
  <c r="AD323" i="1" s="1"/>
  <c r="AB333" i="1"/>
  <c r="AD333" i="1" s="1"/>
  <c r="Q331" i="1"/>
  <c r="Y331" i="1"/>
  <c r="Q330" i="1"/>
  <c r="Y330" i="1"/>
  <c r="Q328" i="1"/>
  <c r="Y328" i="1"/>
  <c r="Q326" i="1"/>
  <c r="Y326" i="1"/>
  <c r="Q321" i="1"/>
  <c r="Y321" i="1"/>
  <c r="Y320" i="1"/>
  <c r="Q320" i="1"/>
  <c r="Y319" i="1"/>
  <c r="Q319" i="1"/>
  <c r="Y318" i="1"/>
  <c r="Q318" i="1"/>
  <c r="Y316" i="1"/>
  <c r="Q316" i="1"/>
  <c r="Q315" i="1"/>
  <c r="Y315" i="1"/>
  <c r="Y314" i="1"/>
  <c r="Q314" i="1"/>
  <c r="Y313" i="1"/>
  <c r="Q313" i="1"/>
  <c r="Y312" i="1"/>
  <c r="Q312" i="1"/>
  <c r="Y311" i="1"/>
  <c r="Q311" i="1"/>
  <c r="Y309" i="1"/>
  <c r="Q309" i="1"/>
  <c r="Y308" i="1"/>
  <c r="Q308" i="1"/>
  <c r="Y307" i="1"/>
  <c r="Q307" i="1"/>
  <c r="Y306" i="1"/>
  <c r="Q306" i="1"/>
  <c r="Q305" i="1"/>
  <c r="Y305" i="1"/>
  <c r="Y304" i="1"/>
  <c r="Q304" i="1"/>
  <c r="Y303" i="1"/>
  <c r="Q303" i="1"/>
  <c r="AB299" i="1"/>
  <c r="AD299" i="1" s="1"/>
  <c r="Y302" i="1"/>
  <c r="AB296" i="1"/>
  <c r="AD296" i="1" s="1"/>
  <c r="AB297" i="1"/>
  <c r="AD297" i="1" s="1"/>
  <c r="AB302" i="1"/>
  <c r="AD302" i="1" s="1"/>
  <c r="AB294" i="1"/>
  <c r="AD294" i="1" s="1"/>
  <c r="AB300" i="1"/>
  <c r="AD300" i="1" s="1"/>
  <c r="AB295" i="1"/>
  <c r="AD295" i="1" s="1"/>
  <c r="AB301" i="1"/>
  <c r="AD301" i="1" s="1"/>
  <c r="AB293" i="1"/>
  <c r="AD293" i="1" s="1"/>
  <c r="AB298" i="1"/>
  <c r="AD298" i="1" s="1"/>
  <c r="Y301" i="1"/>
  <c r="Q301" i="1"/>
  <c r="Y300" i="1"/>
  <c r="Q300" i="1"/>
  <c r="Y299" i="1"/>
  <c r="Q299" i="1"/>
  <c r="Y298" i="1"/>
  <c r="Q298" i="1"/>
  <c r="Q297" i="1"/>
  <c r="Y297" i="1"/>
  <c r="Y296" i="1"/>
  <c r="Q296" i="1"/>
  <c r="Q295" i="1"/>
  <c r="Y295" i="1"/>
  <c r="Y294" i="1"/>
  <c r="Q294" i="1"/>
  <c r="Y293" i="1"/>
  <c r="Q293" i="1"/>
  <c r="AB292" i="1"/>
  <c r="AD292" i="1" s="1"/>
  <c r="AB291" i="1"/>
  <c r="AD291" i="1" s="1"/>
  <c r="AB289" i="1"/>
  <c r="AD289" i="1" s="1"/>
  <c r="Q283" i="1"/>
  <c r="AB290" i="1"/>
  <c r="AD290" i="1" s="1"/>
  <c r="AB288" i="1"/>
  <c r="AD288" i="1" s="1"/>
  <c r="Y288" i="1"/>
  <c r="Q288" i="1"/>
  <c r="AB220" i="1"/>
  <c r="AD220" i="1" s="1"/>
  <c r="Y276" i="1"/>
  <c r="AB287" i="1"/>
  <c r="AD287" i="1" s="1"/>
  <c r="AB278" i="1"/>
  <c r="AD278" i="1" s="1"/>
  <c r="AB228" i="1"/>
  <c r="AD228" i="1" s="1"/>
  <c r="AB275" i="1"/>
  <c r="AD275" i="1" s="1"/>
  <c r="AB283" i="1"/>
  <c r="AD283" i="1" s="1"/>
  <c r="AB256" i="1"/>
  <c r="AD256" i="1" s="1"/>
  <c r="Q272" i="1"/>
  <c r="AB277" i="1"/>
  <c r="AD277" i="1" s="1"/>
  <c r="AB235" i="1"/>
  <c r="AD235" i="1" s="1"/>
  <c r="AB243" i="1"/>
  <c r="AD243" i="1" s="1"/>
  <c r="AB266" i="1"/>
  <c r="AD266" i="1" s="1"/>
  <c r="AB216" i="1"/>
  <c r="AD216" i="1" s="1"/>
  <c r="AB231" i="1"/>
  <c r="AD231" i="1" s="1"/>
  <c r="AB262" i="1"/>
  <c r="AD262" i="1" s="1"/>
  <c r="AB271" i="1"/>
  <c r="AD271" i="1" s="1"/>
  <c r="AB246" i="1"/>
  <c r="AD246" i="1" s="1"/>
  <c r="AB260" i="1"/>
  <c r="AD260" i="1" s="1"/>
  <c r="AB213" i="1"/>
  <c r="AD213" i="1" s="1"/>
  <c r="AB238" i="1"/>
  <c r="AD238" i="1" s="1"/>
  <c r="AB232" i="1"/>
  <c r="AD232" i="1" s="1"/>
  <c r="AB280" i="1"/>
  <c r="AD280" i="1" s="1"/>
  <c r="Q213" i="1"/>
  <c r="Y213" i="1"/>
  <c r="AB269" i="1"/>
  <c r="AD269" i="1" s="1"/>
  <c r="Q268" i="1"/>
  <c r="AB273" i="1"/>
  <c r="AD273" i="1" s="1"/>
  <c r="Y268" i="1"/>
  <c r="Q215" i="1"/>
  <c r="Y215" i="1"/>
  <c r="Q266" i="1"/>
  <c r="Y266" i="1"/>
  <c r="AB215" i="1"/>
  <c r="AD215" i="1" s="1"/>
  <c r="AB241" i="1"/>
  <c r="AD241" i="1" s="1"/>
  <c r="AB217" i="1"/>
  <c r="AD217" i="1" s="1"/>
  <c r="AB272" i="1"/>
  <c r="AD272" i="1" s="1"/>
  <c r="AB259" i="1"/>
  <c r="AD259" i="1" s="1"/>
  <c r="AB264" i="1"/>
  <c r="AD264" i="1" s="1"/>
  <c r="AB230" i="1"/>
  <c r="AD230" i="1" s="1"/>
  <c r="AB276" i="1"/>
  <c r="AD276" i="1" s="1"/>
  <c r="AB267" i="1"/>
  <c r="AD267" i="1" s="1"/>
  <c r="AB286" i="1"/>
  <c r="AD286" i="1" s="1"/>
  <c r="Q286" i="1"/>
  <c r="Y286" i="1"/>
  <c r="AB285" i="1"/>
  <c r="AD285" i="1" s="1"/>
  <c r="Q285" i="1"/>
  <c r="Y285" i="1"/>
  <c r="AB284" i="1"/>
  <c r="AD284" i="1" s="1"/>
  <c r="Q284" i="1"/>
  <c r="Y284" i="1"/>
  <c r="AB282" i="1"/>
  <c r="AD282" i="1" s="1"/>
  <c r="AB281" i="1"/>
  <c r="AD281" i="1" s="1"/>
  <c r="Q281" i="1"/>
  <c r="Y281" i="1"/>
  <c r="AB279" i="1"/>
  <c r="AD279" i="1" s="1"/>
  <c r="Q279" i="1"/>
  <c r="Y279" i="1"/>
  <c r="AB274" i="1"/>
  <c r="AD274" i="1" s="1"/>
  <c r="Q274" i="1"/>
  <c r="Y274" i="1"/>
  <c r="AB270" i="1"/>
  <c r="AD270" i="1" s="1"/>
  <c r="Q270" i="1"/>
  <c r="Y270" i="1"/>
  <c r="Q265" i="1"/>
  <c r="AB265" i="1"/>
  <c r="AD265" i="1" s="1"/>
  <c r="Y265" i="1"/>
  <c r="AB263" i="1"/>
  <c r="AD263" i="1" s="1"/>
  <c r="Q263" i="1"/>
  <c r="Y263" i="1"/>
  <c r="AB261" i="1"/>
  <c r="AD261" i="1" s="1"/>
  <c r="Q261" i="1"/>
  <c r="Y261" i="1"/>
  <c r="Q259" i="1"/>
  <c r="Y259" i="1"/>
  <c r="Y258" i="1"/>
  <c r="Q258" i="1"/>
  <c r="AB258" i="1"/>
  <c r="AD258" i="1" s="1"/>
  <c r="AB257" i="1"/>
  <c r="AD257" i="1" s="1"/>
  <c r="Q257" i="1"/>
  <c r="Y257" i="1"/>
  <c r="AB255" i="1"/>
  <c r="AD255" i="1" s="1"/>
  <c r="Q255" i="1"/>
  <c r="Y255" i="1"/>
  <c r="AB254" i="1"/>
  <c r="AD254" i="1" s="1"/>
  <c r="Q254" i="1"/>
  <c r="Y254" i="1"/>
  <c r="AB253" i="1"/>
  <c r="AD253" i="1" s="1"/>
  <c r="Q253" i="1"/>
  <c r="Y253" i="1"/>
  <c r="Q252" i="1"/>
  <c r="Y252" i="1"/>
  <c r="AB249" i="1"/>
  <c r="AD249" i="1" s="1"/>
  <c r="AB252" i="1"/>
  <c r="AD252" i="1" s="1"/>
  <c r="AB250" i="1"/>
  <c r="AD250" i="1" s="1"/>
  <c r="AB248" i="1"/>
  <c r="AD248" i="1" s="1"/>
  <c r="AB251" i="1"/>
  <c r="AD251" i="1" s="1"/>
  <c r="AB247" i="1"/>
  <c r="AD247" i="1" s="1"/>
  <c r="Q247" i="1"/>
  <c r="Y247" i="1"/>
  <c r="AB245" i="1"/>
  <c r="AD245" i="1" s="1"/>
  <c r="Q245" i="1"/>
  <c r="Y245" i="1"/>
  <c r="AB244" i="1"/>
  <c r="AD244" i="1" s="1"/>
  <c r="Q244" i="1"/>
  <c r="Y244" i="1"/>
  <c r="AB242" i="1"/>
  <c r="AD242" i="1" s="1"/>
  <c r="Q242" i="1"/>
  <c r="Y242" i="1"/>
  <c r="AB240" i="1"/>
  <c r="AD240" i="1" s="1"/>
  <c r="Q240" i="1"/>
  <c r="Y240" i="1"/>
  <c r="AB239" i="1"/>
  <c r="AD239" i="1" s="1"/>
  <c r="Q239" i="1"/>
  <c r="Y239" i="1"/>
  <c r="AB237" i="1"/>
  <c r="AD237" i="1" s="1"/>
  <c r="Q237" i="1"/>
  <c r="Y237" i="1"/>
  <c r="AB236" i="1"/>
  <c r="AD236" i="1" s="1"/>
  <c r="Q236" i="1"/>
  <c r="Y236" i="1"/>
  <c r="AB234" i="1"/>
  <c r="AD234" i="1" s="1"/>
  <c r="Q234" i="1"/>
  <c r="Y234" i="1"/>
  <c r="AB233" i="1"/>
  <c r="AD233" i="1" s="1"/>
  <c r="Q233" i="1"/>
  <c r="Y233" i="1"/>
  <c r="AB229" i="1"/>
  <c r="AD229" i="1" s="1"/>
  <c r="Y229" i="1"/>
  <c r="Q229" i="1"/>
  <c r="AB227" i="1"/>
  <c r="AD227" i="1" s="1"/>
  <c r="Y227" i="1"/>
  <c r="Q227" i="1"/>
  <c r="AB226" i="1"/>
  <c r="AD226" i="1" s="1"/>
  <c r="Q226" i="1"/>
  <c r="Y226" i="1"/>
  <c r="AB225" i="1"/>
  <c r="AD225" i="1" s="1"/>
  <c r="Y225" i="1"/>
  <c r="Q225" i="1"/>
  <c r="AB224" i="1"/>
  <c r="AD224" i="1" s="1"/>
  <c r="Q224" i="1"/>
  <c r="Y224" i="1"/>
  <c r="AB223" i="1"/>
  <c r="AD223" i="1" s="1"/>
  <c r="Q223" i="1"/>
  <c r="Y223" i="1"/>
  <c r="AB222" i="1"/>
  <c r="AD222" i="1" s="1"/>
  <c r="Q222" i="1"/>
  <c r="Y222" i="1"/>
  <c r="AB221" i="1"/>
  <c r="AD221" i="1" s="1"/>
  <c r="Q221" i="1"/>
  <c r="Y221" i="1"/>
  <c r="AB219" i="1"/>
  <c r="AD219" i="1" s="1"/>
  <c r="Q219" i="1"/>
  <c r="Y219" i="1"/>
  <c r="AB218" i="1"/>
  <c r="AD218" i="1" s="1"/>
  <c r="Y218" i="1"/>
  <c r="Q218" i="1"/>
  <c r="AB214" i="1"/>
  <c r="AD214" i="1" s="1"/>
  <c r="Y214" i="1"/>
  <c r="Q214" i="1"/>
  <c r="AB212" i="1"/>
  <c r="AD212" i="1" s="1"/>
  <c r="Q212" i="1"/>
  <c r="Y212" i="1"/>
  <c r="AB210" i="1"/>
  <c r="AD210" i="1" s="1"/>
  <c r="AB211" i="1"/>
  <c r="AD211" i="1" s="1"/>
  <c r="AB209" i="1"/>
  <c r="AD209" i="1" s="1"/>
  <c r="Q209" i="1"/>
  <c r="Y209" i="1"/>
  <c r="Q208" i="1"/>
  <c r="Y208" i="1"/>
  <c r="AB208" i="1"/>
  <c r="AD208" i="1" s="1"/>
  <c r="AB207" i="1"/>
  <c r="AD207" i="1" s="1"/>
  <c r="Q207" i="1"/>
  <c r="Y207" i="1"/>
  <c r="AB206" i="1"/>
  <c r="AD206" i="1" s="1"/>
  <c r="Q206" i="1"/>
  <c r="Y206" i="1"/>
  <c r="AB200" i="1"/>
  <c r="AD200" i="1" s="1"/>
  <c r="AB203" i="1"/>
  <c r="AD203" i="1" s="1"/>
  <c r="AB202" i="1"/>
  <c r="AD202" i="1" s="1"/>
  <c r="AB204" i="1"/>
  <c r="AD204" i="1" s="1"/>
  <c r="AB199" i="1"/>
  <c r="AD199" i="1" s="1"/>
  <c r="AB205" i="1"/>
  <c r="AD205" i="1" s="1"/>
  <c r="Q205" i="1"/>
  <c r="Y205" i="1"/>
  <c r="AB201" i="1"/>
  <c r="AD201" i="1" s="1"/>
  <c r="Q201" i="1"/>
  <c r="Y201" i="1"/>
  <c r="AB198" i="1"/>
  <c r="AD198" i="1" s="1"/>
  <c r="Q198" i="1"/>
  <c r="Y198" i="1"/>
  <c r="AB193" i="1"/>
  <c r="AD193" i="1" s="1"/>
  <c r="AB196" i="1"/>
  <c r="AD196" i="1" s="1"/>
  <c r="AB197" i="1"/>
  <c r="AD197" i="1" s="1"/>
  <c r="Q197" i="1"/>
  <c r="Y197" i="1"/>
  <c r="AB195" i="1"/>
  <c r="AD195" i="1" s="1"/>
  <c r="Q195" i="1"/>
  <c r="Y195" i="1"/>
  <c r="AB194" i="1"/>
  <c r="AD194" i="1" s="1"/>
  <c r="Q194" i="1"/>
  <c r="Y194" i="1"/>
  <c r="AB170" i="1"/>
  <c r="AD170" i="1" s="1"/>
  <c r="AB180" i="1"/>
  <c r="AD180" i="1" s="1"/>
  <c r="Y171" i="1"/>
  <c r="Q171" i="1"/>
  <c r="AB171" i="1"/>
  <c r="AD171" i="1" s="1"/>
  <c r="AB178" i="1"/>
  <c r="AD178" i="1" s="1"/>
  <c r="AB190" i="1"/>
  <c r="AD190" i="1" s="1"/>
  <c r="AB174" i="1"/>
  <c r="AD174" i="1" s="1"/>
  <c r="AB186" i="1"/>
  <c r="AD186" i="1" s="1"/>
  <c r="Q178" i="1"/>
  <c r="Y178" i="1"/>
  <c r="AB176" i="1"/>
  <c r="AD176" i="1" s="1"/>
  <c r="AB192" i="1"/>
  <c r="AD192" i="1" s="1"/>
  <c r="Q192" i="1"/>
  <c r="Y192" i="1"/>
  <c r="AB191" i="1"/>
  <c r="AD191" i="1" s="1"/>
  <c r="Q191" i="1"/>
  <c r="Y191" i="1"/>
  <c r="Q189" i="1"/>
  <c r="AB189" i="1"/>
  <c r="AD189" i="1" s="1"/>
  <c r="Y189" i="1"/>
  <c r="AB188" i="1"/>
  <c r="AD188" i="1" s="1"/>
  <c r="Q188" i="1"/>
  <c r="Y188" i="1"/>
  <c r="Q187" i="1"/>
  <c r="AB187" i="1"/>
  <c r="AD187" i="1" s="1"/>
  <c r="Y187" i="1"/>
  <c r="Q186" i="1"/>
  <c r="Y186" i="1"/>
  <c r="AB185" i="1"/>
  <c r="AD185" i="1" s="1"/>
  <c r="Q185" i="1"/>
  <c r="Y185" i="1"/>
  <c r="AB184" i="1"/>
  <c r="AD184" i="1" s="1"/>
  <c r="Y184" i="1"/>
  <c r="Q184" i="1"/>
  <c r="AB183" i="1"/>
  <c r="AD183" i="1" s="1"/>
  <c r="Q183" i="1"/>
  <c r="Y183" i="1"/>
  <c r="AB182" i="1"/>
  <c r="AD182" i="1" s="1"/>
  <c r="Q182" i="1"/>
  <c r="Y182" i="1"/>
  <c r="Q181" i="1"/>
  <c r="Y181" i="1"/>
  <c r="AB181" i="1"/>
  <c r="AD181" i="1" s="1"/>
  <c r="AB179" i="1"/>
  <c r="AD179" i="1" s="1"/>
  <c r="Y179" i="1"/>
  <c r="Q179" i="1"/>
  <c r="AB177" i="1"/>
  <c r="AD177" i="1" s="1"/>
  <c r="Y177" i="1"/>
  <c r="Q177" i="1"/>
  <c r="AB175" i="1"/>
  <c r="AD175" i="1" s="1"/>
  <c r="Q175" i="1"/>
  <c r="Y175" i="1"/>
  <c r="AB173" i="1"/>
  <c r="AD173" i="1" s="1"/>
  <c r="Q173" i="1"/>
  <c r="Y173" i="1"/>
  <c r="AB172" i="1"/>
  <c r="AD172" i="1" s="1"/>
  <c r="Q172" i="1"/>
  <c r="Y172" i="1"/>
  <c r="AB169" i="1"/>
  <c r="AD169" i="1" s="1"/>
  <c r="AB168" i="1"/>
  <c r="AD168" i="1" s="1"/>
  <c r="AB159" i="1"/>
  <c r="AD159" i="1" s="1"/>
  <c r="AB150" i="1"/>
  <c r="AD150" i="1" s="1"/>
  <c r="AB156" i="1"/>
  <c r="AD156" i="1" s="1"/>
  <c r="AB162" i="1"/>
  <c r="AD162" i="1" s="1"/>
  <c r="Q156" i="1"/>
  <c r="Y156" i="1"/>
  <c r="AB146" i="1"/>
  <c r="AD146" i="1" s="1"/>
  <c r="AB149" i="1"/>
  <c r="AD149" i="1" s="1"/>
  <c r="AB155" i="1"/>
  <c r="AD155" i="1" s="1"/>
  <c r="AB153" i="1"/>
  <c r="AD153" i="1" s="1"/>
  <c r="AB152" i="1"/>
  <c r="AD152" i="1" s="1"/>
  <c r="AB157" i="1"/>
  <c r="AD157" i="1" s="1"/>
  <c r="AB165" i="1"/>
  <c r="AD165" i="1" s="1"/>
  <c r="AB163" i="1"/>
  <c r="AD163" i="1" s="1"/>
  <c r="AB158" i="1"/>
  <c r="AD158" i="1" s="1"/>
  <c r="AB160" i="1"/>
  <c r="AD160" i="1" s="1"/>
  <c r="Q167" i="1"/>
  <c r="Y167" i="1"/>
  <c r="AB167" i="1"/>
  <c r="AD167" i="1" s="1"/>
  <c r="AB166" i="1"/>
  <c r="AD166" i="1" s="1"/>
  <c r="Y166" i="1"/>
  <c r="Q166" i="1"/>
  <c r="AB161" i="1"/>
  <c r="AD161" i="1" s="1"/>
  <c r="Q161" i="1"/>
  <c r="Y161" i="1"/>
  <c r="Q154" i="1"/>
  <c r="AB154" i="1"/>
  <c r="AD154" i="1" s="1"/>
  <c r="Y154" i="1"/>
  <c r="AB151" i="1"/>
  <c r="AD151" i="1" s="1"/>
  <c r="Y151" i="1"/>
  <c r="Q151" i="1"/>
  <c r="Q148" i="1"/>
  <c r="AB148" i="1"/>
  <c r="AD148" i="1" s="1"/>
  <c r="Y148" i="1"/>
  <c r="AB147" i="1"/>
  <c r="AD147" i="1" s="1"/>
  <c r="Q147" i="1"/>
  <c r="Y147" i="1"/>
  <c r="AB141" i="1"/>
  <c r="AD141" i="1" s="1"/>
  <c r="AB145" i="1"/>
  <c r="AD145" i="1" s="1"/>
  <c r="AB144" i="1"/>
  <c r="AD144" i="1" s="1"/>
  <c r="AB142" i="1"/>
  <c r="AD142" i="1" s="1"/>
  <c r="AB140" i="1"/>
  <c r="AD140" i="1" s="1"/>
  <c r="AB138" i="1"/>
  <c r="AD138" i="1" s="1"/>
  <c r="AB143" i="1"/>
  <c r="AD143" i="1" s="1"/>
  <c r="Q143" i="1"/>
  <c r="Y143" i="1"/>
  <c r="Q139" i="1"/>
  <c r="Y139" i="1"/>
  <c r="AB139" i="1"/>
  <c r="AD139" i="1" s="1"/>
  <c r="AB136" i="1"/>
  <c r="AD136" i="1" s="1"/>
  <c r="AB137" i="1"/>
  <c r="AD137" i="1" s="1"/>
  <c r="Y135" i="1"/>
  <c r="AB135" i="1"/>
  <c r="AD135" i="1" s="1"/>
  <c r="Q135" i="1"/>
  <c r="AB128" i="1"/>
  <c r="AD128" i="1" s="1"/>
  <c r="AB131" i="1"/>
  <c r="AD131" i="1" s="1"/>
  <c r="AB134" i="1"/>
  <c r="AD134" i="1" s="1"/>
  <c r="Q134" i="1"/>
  <c r="Y134" i="1"/>
  <c r="AB130" i="1"/>
  <c r="AD130" i="1" s="1"/>
  <c r="AB132" i="1"/>
  <c r="AD132" i="1" s="1"/>
  <c r="AB125" i="1"/>
  <c r="AD125" i="1" s="1"/>
  <c r="AB126" i="1"/>
  <c r="AD126" i="1" s="1"/>
  <c r="AB127" i="1"/>
  <c r="AD127" i="1" s="1"/>
  <c r="Q133" i="1"/>
  <c r="AB133" i="1"/>
  <c r="AD133" i="1" s="1"/>
  <c r="Y133" i="1"/>
  <c r="AB129" i="1"/>
  <c r="AD129" i="1" s="1"/>
  <c r="Y129" i="1"/>
  <c r="Q129" i="1"/>
  <c r="Q128" i="1"/>
  <c r="Y128" i="1"/>
  <c r="Y126" i="1"/>
  <c r="Q126" i="1"/>
  <c r="AB124" i="1"/>
  <c r="AD124" i="1" s="1"/>
  <c r="Q124" i="1"/>
  <c r="Y124" i="1"/>
  <c r="AB111" i="1"/>
  <c r="AD111" i="1" s="1"/>
  <c r="AB108" i="1"/>
  <c r="AD108" i="1" s="1"/>
  <c r="AB122" i="1"/>
  <c r="AD122" i="1" s="1"/>
  <c r="AB107" i="1"/>
  <c r="AD107" i="1" s="1"/>
  <c r="AB120" i="1"/>
  <c r="AD120" i="1" s="1"/>
  <c r="AB121" i="1"/>
  <c r="AD121" i="1" s="1"/>
  <c r="Y118" i="1"/>
  <c r="Q118" i="1"/>
  <c r="Q103" i="1"/>
  <c r="AB109" i="1"/>
  <c r="AD109" i="1" s="1"/>
  <c r="Q109" i="1"/>
  <c r="AB114" i="1"/>
  <c r="AD114" i="1" s="1"/>
  <c r="Y109" i="1"/>
  <c r="AB118" i="1"/>
  <c r="AD118" i="1" s="1"/>
  <c r="AB110" i="1"/>
  <c r="AD110" i="1" s="1"/>
  <c r="Q123" i="1"/>
  <c r="Y123" i="1"/>
  <c r="AB123" i="1"/>
  <c r="AD123" i="1" s="1"/>
  <c r="AB119" i="1"/>
  <c r="AD119" i="1" s="1"/>
  <c r="Q119" i="1"/>
  <c r="Y119" i="1"/>
  <c r="AB117" i="1"/>
  <c r="AD117" i="1" s="1"/>
  <c r="Y117" i="1"/>
  <c r="Q117" i="1"/>
  <c r="AB116" i="1"/>
  <c r="AD116" i="1" s="1"/>
  <c r="Y116" i="1"/>
  <c r="Q116" i="1"/>
  <c r="AB115" i="1"/>
  <c r="AD115" i="1" s="1"/>
  <c r="Y115" i="1"/>
  <c r="Q115" i="1"/>
  <c r="Q113" i="1"/>
  <c r="Y113" i="1"/>
  <c r="AB113" i="1"/>
  <c r="AD113" i="1" s="1"/>
  <c r="AB112" i="1"/>
  <c r="AD112" i="1" s="1"/>
  <c r="Q112" i="1"/>
  <c r="Y112" i="1"/>
  <c r="Q106" i="1"/>
  <c r="Y106" i="1"/>
  <c r="AB106" i="1"/>
  <c r="AD106" i="1" s="1"/>
  <c r="Y103" i="1"/>
  <c r="AL103" i="1" s="1"/>
  <c r="AB102" i="1"/>
  <c r="AD102" i="1" s="1"/>
  <c r="AB104" i="1"/>
  <c r="AD104" i="1" s="1"/>
  <c r="AB103" i="1"/>
  <c r="AD103" i="1" s="1"/>
  <c r="Y105" i="1"/>
  <c r="AB105" i="1"/>
  <c r="AD105" i="1" s="1"/>
  <c r="Q105" i="1"/>
  <c r="AB101" i="1"/>
  <c r="AD101" i="1" s="1"/>
  <c r="Q101" i="1"/>
  <c r="Y101" i="1"/>
  <c r="AB96" i="1"/>
  <c r="AD96" i="1" s="1"/>
  <c r="AB97" i="1"/>
  <c r="AD97" i="1" s="1"/>
  <c r="Y96" i="1"/>
  <c r="Q96" i="1"/>
  <c r="AB98" i="1"/>
  <c r="AD98" i="1" s="1"/>
  <c r="Q97" i="1"/>
  <c r="Y97" i="1"/>
  <c r="AB95" i="1"/>
  <c r="AD95" i="1" s="1"/>
  <c r="AB99" i="1"/>
  <c r="AD99" i="1" s="1"/>
  <c r="Q98" i="1"/>
  <c r="Y98" i="1"/>
  <c r="AB100" i="1"/>
  <c r="AD100" i="1" s="1"/>
  <c r="Q100" i="1"/>
  <c r="Y100" i="1"/>
  <c r="AB55" i="1"/>
  <c r="AD55" i="1" s="1"/>
  <c r="Y85" i="1"/>
  <c r="AB85" i="1"/>
  <c r="AD85" i="1" s="1"/>
  <c r="AB80" i="1"/>
  <c r="AD80" i="1" s="1"/>
  <c r="AB64" i="1"/>
  <c r="AD64" i="1" s="1"/>
  <c r="AB76" i="1"/>
  <c r="AD76" i="1" s="1"/>
  <c r="AB90" i="1"/>
  <c r="AD90" i="1" s="1"/>
  <c r="AC25" i="1"/>
  <c r="AB86" i="1"/>
  <c r="AD86" i="1" s="1"/>
  <c r="AB82" i="1"/>
  <c r="AD82" i="1" s="1"/>
  <c r="AB77" i="1"/>
  <c r="AD77" i="1" s="1"/>
  <c r="Y94" i="1"/>
  <c r="Q94" i="1"/>
  <c r="AB81" i="1"/>
  <c r="AD81" i="1" s="1"/>
  <c r="AB66" i="1"/>
  <c r="AD66" i="1" s="1"/>
  <c r="AB68" i="1"/>
  <c r="AD68" i="1" s="1"/>
  <c r="Y24" i="1"/>
  <c r="AL24" i="1" s="1"/>
  <c r="AB73" i="1"/>
  <c r="AD73" i="1" s="1"/>
  <c r="AB62" i="1"/>
  <c r="AD62" i="1" s="1"/>
  <c r="AB63" i="1"/>
  <c r="AD63" i="1" s="1"/>
  <c r="AB94" i="1"/>
  <c r="AD94" i="1" s="1"/>
  <c r="AB70" i="1"/>
  <c r="AD70" i="1" s="1"/>
  <c r="AB75" i="1"/>
  <c r="AD75" i="1" s="1"/>
  <c r="AB93" i="1"/>
  <c r="AD93" i="1" s="1"/>
  <c r="Q93" i="1"/>
  <c r="Y93" i="1"/>
  <c r="AB92" i="1"/>
  <c r="AD92" i="1" s="1"/>
  <c r="Q92" i="1"/>
  <c r="Y92" i="1"/>
  <c r="AB91" i="1"/>
  <c r="AD91" i="1" s="1"/>
  <c r="Q91" i="1"/>
  <c r="Y91" i="1"/>
  <c r="AB89" i="1"/>
  <c r="AD89" i="1" s="1"/>
  <c r="Q89" i="1"/>
  <c r="Y89" i="1"/>
  <c r="Q88" i="1"/>
  <c r="Y88" i="1"/>
  <c r="AB88" i="1"/>
  <c r="AD88" i="1" s="1"/>
  <c r="Q87" i="1"/>
  <c r="AB87" i="1"/>
  <c r="AD87" i="1" s="1"/>
  <c r="Y87" i="1"/>
  <c r="AB84" i="1"/>
  <c r="AD84" i="1" s="1"/>
  <c r="Q84" i="1"/>
  <c r="Y84" i="1"/>
  <c r="AB83" i="1"/>
  <c r="AD83" i="1" s="1"/>
  <c r="Q83" i="1"/>
  <c r="Y83" i="1"/>
  <c r="AB78" i="1"/>
  <c r="AD78" i="1" s="1"/>
  <c r="Q78" i="1"/>
  <c r="Y78" i="1"/>
  <c r="AB79" i="1"/>
  <c r="AD79" i="1" s="1"/>
  <c r="Q77" i="1"/>
  <c r="Y77" i="1"/>
  <c r="Q74" i="1"/>
  <c r="AB74" i="1"/>
  <c r="AD74" i="1" s="1"/>
  <c r="Y74" i="1"/>
  <c r="AL74" i="1" s="1"/>
  <c r="AB72" i="1"/>
  <c r="AD72" i="1" s="1"/>
  <c r="Q72" i="1"/>
  <c r="Y72" i="1"/>
  <c r="AB71" i="1"/>
  <c r="AD71" i="1" s="1"/>
  <c r="Q71" i="1"/>
  <c r="Y71" i="1"/>
  <c r="Q69" i="1"/>
  <c r="AB69" i="1"/>
  <c r="AD69" i="1" s="1"/>
  <c r="Y69" i="1"/>
  <c r="AB67" i="1"/>
  <c r="AD67" i="1" s="1"/>
  <c r="Y67" i="1"/>
  <c r="Q67" i="1"/>
  <c r="Q65" i="1"/>
  <c r="Y65" i="1"/>
  <c r="AB65" i="1"/>
  <c r="AD65" i="1" s="1"/>
  <c r="AB58" i="1"/>
  <c r="AD58" i="1" s="1"/>
  <c r="Y58" i="1"/>
  <c r="Q58" i="1"/>
  <c r="AB60" i="1"/>
  <c r="AD60" i="1" s="1"/>
  <c r="Y61" i="1"/>
  <c r="AB61" i="1"/>
  <c r="AD61" i="1" s="1"/>
  <c r="Q61" i="1"/>
  <c r="Q59" i="1"/>
  <c r="Y59" i="1"/>
  <c r="AB59" i="1"/>
  <c r="AD59" i="1" s="1"/>
  <c r="AB49" i="1"/>
  <c r="AD49" i="1" s="1"/>
  <c r="AB52" i="1"/>
  <c r="AD52" i="1" s="1"/>
  <c r="AB53" i="1"/>
  <c r="AD53" i="1" s="1"/>
  <c r="Q57" i="1"/>
  <c r="Y57" i="1"/>
  <c r="AB57" i="1"/>
  <c r="AD57" i="1" s="1"/>
  <c r="Q56" i="1"/>
  <c r="AB56" i="1"/>
  <c r="AD56" i="1" s="1"/>
  <c r="Y56" i="1"/>
  <c r="Y54" i="1"/>
  <c r="AB54" i="1"/>
  <c r="AD54" i="1" s="1"/>
  <c r="Q54" i="1"/>
  <c r="Y52" i="1"/>
  <c r="Q52" i="1"/>
  <c r="Q51" i="1"/>
  <c r="AB51" i="1"/>
  <c r="AD51" i="1" s="1"/>
  <c r="Y51" i="1"/>
  <c r="Y50" i="1"/>
  <c r="AB50" i="1"/>
  <c r="AD50" i="1" s="1"/>
  <c r="Q50" i="1"/>
  <c r="AB47" i="1"/>
  <c r="AD47" i="1" s="1"/>
  <c r="AB46" i="1"/>
  <c r="AD46" i="1" s="1"/>
  <c r="AB44" i="1"/>
  <c r="AD44" i="1" s="1"/>
  <c r="AB42" i="1"/>
  <c r="AD42" i="1" s="1"/>
  <c r="AB40" i="1"/>
  <c r="AD40" i="1" s="1"/>
  <c r="AB37" i="1"/>
  <c r="AD37" i="1" s="1"/>
  <c r="AB45" i="1"/>
  <c r="AD45" i="1" s="1"/>
  <c r="Y43" i="1"/>
  <c r="AB43" i="1"/>
  <c r="AD43" i="1" s="1"/>
  <c r="Q43" i="1"/>
  <c r="Q41" i="1"/>
  <c r="Y41" i="1"/>
  <c r="AB41" i="1"/>
  <c r="AD41" i="1" s="1"/>
  <c r="Q40" i="1"/>
  <c r="Y40" i="1"/>
  <c r="Q39" i="1"/>
  <c r="Y39" i="1"/>
  <c r="AB39" i="1"/>
  <c r="AD39" i="1" s="1"/>
  <c r="Q38" i="1"/>
  <c r="AB38" i="1"/>
  <c r="AD38" i="1" s="1"/>
  <c r="Y38" i="1"/>
  <c r="Y37" i="1"/>
  <c r="Q37" i="1"/>
  <c r="AB36" i="1"/>
  <c r="AD36" i="1" s="1"/>
  <c r="Q36" i="1"/>
  <c r="Y36" i="1"/>
  <c r="Y35" i="1"/>
  <c r="Q35" i="1"/>
  <c r="AB35" i="1"/>
  <c r="AD35" i="1" s="1"/>
  <c r="Q34" i="1"/>
  <c r="Y34" i="1"/>
  <c r="AB34" i="1"/>
  <c r="AD34" i="1" s="1"/>
  <c r="Q33" i="1"/>
  <c r="Y33" i="1"/>
  <c r="AB33" i="1"/>
  <c r="AD33" i="1" s="1"/>
  <c r="AC30" i="1"/>
  <c r="Q31" i="1"/>
  <c r="AB31" i="1"/>
  <c r="Y31" i="1"/>
  <c r="AB32" i="1"/>
  <c r="AD32" i="1" s="1"/>
  <c r="Q32" i="1"/>
  <c r="Y32" i="1"/>
  <c r="Q30" i="1"/>
  <c r="Y30" i="1"/>
  <c r="AC15" i="1"/>
  <c r="Y29" i="1"/>
  <c r="AC18" i="1"/>
  <c r="AC24" i="1"/>
  <c r="AC16" i="1"/>
  <c r="AC14" i="1"/>
  <c r="AC17" i="1"/>
  <c r="R2" i="1"/>
  <c r="AC23" i="1"/>
  <c r="Q3" i="1"/>
  <c r="Y3" i="1"/>
  <c r="Q9" i="1"/>
  <c r="Y9" i="1"/>
  <c r="Y19" i="1"/>
  <c r="AB19" i="1"/>
  <c r="Q19" i="1"/>
  <c r="Y15" i="1"/>
  <c r="Q15" i="1"/>
  <c r="T3" i="1"/>
  <c r="Y21" i="1"/>
  <c r="Q21" i="1"/>
  <c r="Y7" i="1"/>
  <c r="Q7" i="1"/>
  <c r="AC22" i="1"/>
  <c r="AC21" i="1"/>
  <c r="Y22" i="1"/>
  <c r="Q22" i="1"/>
  <c r="Y13" i="1"/>
  <c r="Q13" i="1"/>
  <c r="Q14" i="1"/>
  <c r="Y14" i="1"/>
  <c r="Y20" i="1"/>
  <c r="Q20" i="1"/>
  <c r="Y10" i="1"/>
  <c r="Q10" i="1"/>
  <c r="Y8" i="1"/>
  <c r="Q8" i="1"/>
  <c r="Y23" i="1"/>
  <c r="Q23" i="1"/>
  <c r="Y11" i="1"/>
  <c r="Q11" i="1"/>
  <c r="Y16" i="1"/>
  <c r="Q16" i="1"/>
  <c r="Y18" i="1"/>
  <c r="Q18" i="1"/>
  <c r="Q17" i="1"/>
  <c r="Y17" i="1"/>
  <c r="Q12" i="1"/>
  <c r="Y12" i="1"/>
  <c r="Q26" i="1"/>
  <c r="Y26" i="1"/>
  <c r="AC26" i="1"/>
  <c r="Y27" i="1"/>
  <c r="Q27" i="1"/>
  <c r="AC28" i="1"/>
  <c r="AC29" i="1"/>
  <c r="H4" i="1"/>
  <c r="I4" i="1"/>
  <c r="AC31" i="1" l="1"/>
  <c r="AD31" i="1"/>
  <c r="AC361" i="1"/>
  <c r="AD360" i="1"/>
  <c r="AC19" i="1"/>
  <c r="AD19" i="1"/>
  <c r="AC49" i="1"/>
  <c r="AC165" i="1"/>
  <c r="AC48" i="1"/>
  <c r="X86" i="1"/>
  <c r="X88" i="1"/>
  <c r="X274" i="1"/>
  <c r="X25" i="1"/>
  <c r="X350" i="1"/>
  <c r="X287" i="1"/>
  <c r="X89" i="1"/>
  <c r="X283" i="1"/>
  <c r="X90" i="1"/>
  <c r="X354" i="1"/>
  <c r="X355" i="1"/>
  <c r="X357" i="1"/>
  <c r="X28" i="1"/>
  <c r="X356" i="1"/>
  <c r="X104" i="1"/>
  <c r="X347" i="1"/>
  <c r="X320" i="1"/>
  <c r="X273" i="1"/>
  <c r="X319" i="1"/>
  <c r="X108" i="1"/>
  <c r="X167" i="1"/>
  <c r="X166" i="1"/>
  <c r="X317" i="1"/>
  <c r="X165" i="1"/>
  <c r="X107" i="1"/>
  <c r="X46" i="1"/>
  <c r="X48" i="1"/>
  <c r="X103" i="1"/>
  <c r="X285" i="1"/>
  <c r="X164" i="1"/>
  <c r="X162" i="1"/>
  <c r="X349" i="1"/>
  <c r="X284" i="1"/>
  <c r="X358" i="1"/>
  <c r="X24" i="1"/>
  <c r="X35" i="1"/>
  <c r="X34" i="1"/>
  <c r="X282" i="1"/>
  <c r="X281" i="1"/>
  <c r="X47" i="1"/>
  <c r="X322" i="1"/>
  <c r="X26" i="1"/>
  <c r="X105" i="1"/>
  <c r="X43" i="1"/>
  <c r="X44" i="1"/>
  <c r="X288" i="1"/>
  <c r="X272" i="1"/>
  <c r="X318" i="1"/>
  <c r="X276" i="1"/>
  <c r="X32" i="1"/>
  <c r="X280" i="1"/>
  <c r="X163" i="1"/>
  <c r="X45" i="1"/>
  <c r="X31" i="1"/>
  <c r="X30" i="1"/>
  <c r="X106" i="1"/>
  <c r="X359" i="1"/>
  <c r="X29" i="1"/>
  <c r="X85" i="1"/>
  <c r="X348" i="1"/>
  <c r="X278" i="1"/>
  <c r="X277" i="1"/>
  <c r="X286" i="1"/>
  <c r="X345" i="1"/>
  <c r="X161" i="1"/>
  <c r="X321" i="1"/>
  <c r="X346" i="1"/>
  <c r="X87" i="1"/>
  <c r="Q2" i="1"/>
  <c r="W2" i="1"/>
  <c r="AC354" i="1"/>
  <c r="AC358" i="1"/>
  <c r="AC348" i="1"/>
  <c r="AC353" i="1"/>
  <c r="AC352" i="1"/>
  <c r="AC340" i="1"/>
  <c r="AC343" i="1"/>
  <c r="AC346" i="1"/>
  <c r="AC351" i="1"/>
  <c r="AC356" i="1"/>
  <c r="AC359" i="1"/>
  <c r="AC360" i="1"/>
  <c r="AC355" i="1"/>
  <c r="AC357" i="1"/>
  <c r="AC345" i="1"/>
  <c r="AC297" i="1"/>
  <c r="AC336" i="1"/>
  <c r="AC337" i="1"/>
  <c r="AC320" i="1"/>
  <c r="AC350" i="1"/>
  <c r="AC349" i="1"/>
  <c r="AC344" i="1"/>
  <c r="AC347" i="1"/>
  <c r="AC304" i="1"/>
  <c r="AC338" i="1"/>
  <c r="AC269" i="1"/>
  <c r="AC342" i="1"/>
  <c r="AC325" i="1"/>
  <c r="AC341" i="1"/>
  <c r="AC326" i="1"/>
  <c r="AC201" i="1"/>
  <c r="AC300" i="1"/>
  <c r="AC305" i="1"/>
  <c r="AC339" i="1"/>
  <c r="AC294" i="1"/>
  <c r="AC313" i="1"/>
  <c r="AC315" i="1"/>
  <c r="AC335" i="1"/>
  <c r="AC319" i="1"/>
  <c r="AC312" i="1"/>
  <c r="AC333" i="1"/>
  <c r="AC321" i="1"/>
  <c r="AC331" i="1"/>
  <c r="AC329" i="1"/>
  <c r="AC332" i="1"/>
  <c r="AC308" i="1"/>
  <c r="AC323" i="1"/>
  <c r="AC214" i="1"/>
  <c r="AC334" i="1"/>
  <c r="AC327" i="1"/>
  <c r="AC309" i="1"/>
  <c r="AC322" i="1"/>
  <c r="AC316" i="1"/>
  <c r="AC317" i="1"/>
  <c r="AC318" i="1"/>
  <c r="AC330" i="1"/>
  <c r="AC328" i="1"/>
  <c r="AC69" i="1"/>
  <c r="AC310" i="1"/>
  <c r="AC314" i="1"/>
  <c r="AC324" i="1"/>
  <c r="AC306" i="1"/>
  <c r="AC303" i="1"/>
  <c r="AC311" i="1"/>
  <c r="AC307" i="1"/>
  <c r="AC235" i="1"/>
  <c r="AC236" i="1"/>
  <c r="AC261" i="1"/>
  <c r="AC194" i="1"/>
  <c r="AC288" i="1"/>
  <c r="AC296" i="1"/>
  <c r="AC290" i="1"/>
  <c r="AC301" i="1"/>
  <c r="AC295" i="1"/>
  <c r="AC220" i="1"/>
  <c r="AC229" i="1"/>
  <c r="AC244" i="1"/>
  <c r="AC279" i="1"/>
  <c r="AC302" i="1"/>
  <c r="AC298" i="1"/>
  <c r="AC293" i="1"/>
  <c r="AC299" i="1"/>
  <c r="AC291" i="1"/>
  <c r="AC257" i="1"/>
  <c r="AC221" i="1"/>
  <c r="AC233" i="1"/>
  <c r="AC289" i="1"/>
  <c r="AC292" i="1"/>
  <c r="AC276" i="1"/>
  <c r="AC260" i="1"/>
  <c r="AC245" i="1"/>
  <c r="AC277" i="1"/>
  <c r="AC263" i="1"/>
  <c r="AC242" i="1"/>
  <c r="AC265" i="1"/>
  <c r="AC278" i="1"/>
  <c r="AC258" i="1"/>
  <c r="AC270" i="1"/>
  <c r="AC283" i="1"/>
  <c r="AC232" i="1"/>
  <c r="AC216" i="1"/>
  <c r="AC217" i="1"/>
  <c r="AC273" i="1"/>
  <c r="AC284" i="1"/>
  <c r="AC267" i="1"/>
  <c r="AC227" i="1"/>
  <c r="AC274" i="1"/>
  <c r="AC286" i="1"/>
  <c r="AC272" i="1"/>
  <c r="AC247" i="1"/>
  <c r="AC255" i="1"/>
  <c r="AC212" i="1"/>
  <c r="AC225" i="1"/>
  <c r="AC239" i="1"/>
  <c r="AC251" i="1"/>
  <c r="AC241" i="1"/>
  <c r="AC248" i="1"/>
  <c r="AC253" i="1"/>
  <c r="AC223" i="1"/>
  <c r="AC266" i="1"/>
  <c r="AC219" i="1"/>
  <c r="AC287" i="1"/>
  <c r="AC268" i="1"/>
  <c r="AC243" i="1"/>
  <c r="AC250" i="1"/>
  <c r="AC215" i="1"/>
  <c r="AC238" i="1"/>
  <c r="AC226" i="1"/>
  <c r="AC240" i="1"/>
  <c r="AC285" i="1"/>
  <c r="AC230" i="1"/>
  <c r="AC213" i="1"/>
  <c r="AC256" i="1"/>
  <c r="AC254" i="1"/>
  <c r="AC281" i="1"/>
  <c r="AC264" i="1"/>
  <c r="AC262" i="1"/>
  <c r="AC228" i="1"/>
  <c r="AC224" i="1"/>
  <c r="AC237" i="1"/>
  <c r="AC231" i="1"/>
  <c r="AC280" i="1"/>
  <c r="AC246" i="1"/>
  <c r="AC218" i="1"/>
  <c r="AC222" i="1"/>
  <c r="AC234" i="1"/>
  <c r="AC275" i="1"/>
  <c r="AC271" i="1"/>
  <c r="AC282" i="1"/>
  <c r="AC259" i="1"/>
  <c r="AC252" i="1"/>
  <c r="AC249" i="1"/>
  <c r="AC203" i="1"/>
  <c r="AC205" i="1"/>
  <c r="AC198" i="1"/>
  <c r="AC204" i="1"/>
  <c r="AC211" i="1"/>
  <c r="AC208" i="1"/>
  <c r="AC206" i="1"/>
  <c r="AC199" i="1"/>
  <c r="AC209" i="1"/>
  <c r="AC207" i="1"/>
  <c r="AC210" i="1"/>
  <c r="AC200" i="1"/>
  <c r="AC202" i="1"/>
  <c r="AC193" i="1"/>
  <c r="AL184" i="1"/>
  <c r="AC195" i="1"/>
  <c r="AC197" i="1"/>
  <c r="AC177" i="1"/>
  <c r="AC191" i="1"/>
  <c r="AC188" i="1"/>
  <c r="AC196" i="1"/>
  <c r="AC171" i="1"/>
  <c r="AC170" i="1"/>
  <c r="AC174" i="1"/>
  <c r="AC182" i="1"/>
  <c r="AC189" i="1"/>
  <c r="AC172" i="1"/>
  <c r="AC184" i="1"/>
  <c r="AC173" i="1"/>
  <c r="AC176" i="1"/>
  <c r="AC180" i="1"/>
  <c r="AC185" i="1"/>
  <c r="AC190" i="1"/>
  <c r="AC179" i="1"/>
  <c r="AC181" i="1"/>
  <c r="AC183" i="1"/>
  <c r="AC178" i="1"/>
  <c r="AC151" i="1"/>
  <c r="AC175" i="1"/>
  <c r="AC192" i="1"/>
  <c r="AC187" i="1"/>
  <c r="AC186" i="1"/>
  <c r="AC169" i="1"/>
  <c r="AC168" i="1"/>
  <c r="AC163" i="1"/>
  <c r="AC166" i="1"/>
  <c r="AC160" i="1"/>
  <c r="AC146" i="1"/>
  <c r="AC147" i="1"/>
  <c r="AC148" i="1"/>
  <c r="AC157" i="1"/>
  <c r="AC162" i="1"/>
  <c r="AC154" i="1"/>
  <c r="AC167" i="1"/>
  <c r="AC156" i="1"/>
  <c r="AC153" i="1"/>
  <c r="AC164" i="1"/>
  <c r="AC149" i="1"/>
  <c r="AC150" i="1"/>
  <c r="AC161" i="1"/>
  <c r="AC158" i="1"/>
  <c r="AC159" i="1"/>
  <c r="AC155" i="1"/>
  <c r="AC152" i="1"/>
  <c r="AC140" i="1"/>
  <c r="AC142" i="1"/>
  <c r="AC143" i="1"/>
  <c r="AC141" i="1"/>
  <c r="AC145" i="1"/>
  <c r="AC54" i="1"/>
  <c r="AC138" i="1"/>
  <c r="AC144" i="1"/>
  <c r="AC139" i="1"/>
  <c r="AL127" i="1"/>
  <c r="AC136" i="1"/>
  <c r="AC137" i="1"/>
  <c r="AC115" i="1"/>
  <c r="AC135" i="1"/>
  <c r="AC129" i="1"/>
  <c r="AC126" i="1"/>
  <c r="AC127" i="1"/>
  <c r="AC131" i="1"/>
  <c r="AC132" i="1"/>
  <c r="AC133" i="1"/>
  <c r="AC134" i="1"/>
  <c r="AC125" i="1"/>
  <c r="AC130" i="1"/>
  <c r="AC128" i="1"/>
  <c r="AC109" i="1"/>
  <c r="AC124" i="1"/>
  <c r="AC112" i="1"/>
  <c r="AC106" i="1"/>
  <c r="AC120" i="1"/>
  <c r="AC123" i="1"/>
  <c r="AC117" i="1"/>
  <c r="AC121" i="1"/>
  <c r="AC114" i="1"/>
  <c r="AC107" i="1"/>
  <c r="AC110" i="1"/>
  <c r="AC118" i="1"/>
  <c r="AC119" i="1"/>
  <c r="AC122" i="1"/>
  <c r="AC108" i="1"/>
  <c r="AC113" i="1"/>
  <c r="AC116" i="1"/>
  <c r="AC111" i="1"/>
  <c r="AC102" i="1"/>
  <c r="AC103" i="1"/>
  <c r="AC105" i="1"/>
  <c r="AC98" i="1"/>
  <c r="AC104" i="1"/>
  <c r="AC101" i="1"/>
  <c r="AC91" i="1"/>
  <c r="AC67" i="1"/>
  <c r="AC95" i="1"/>
  <c r="AC97" i="1"/>
  <c r="AC100" i="1"/>
  <c r="AC99" i="1"/>
  <c r="AC96" i="1"/>
  <c r="AC64" i="1"/>
  <c r="AC87" i="1"/>
  <c r="AL94" i="1"/>
  <c r="AC86" i="1"/>
  <c r="AC56" i="1"/>
  <c r="AC84" i="1"/>
  <c r="AC81" i="1"/>
  <c r="AC65" i="1"/>
  <c r="AC74" i="1"/>
  <c r="AC50" i="1"/>
  <c r="AC83" i="1"/>
  <c r="AC92" i="1"/>
  <c r="AC77" i="1"/>
  <c r="AC72" i="1"/>
  <c r="AC78" i="1"/>
  <c r="AC93" i="1"/>
  <c r="AC68" i="1"/>
  <c r="AC89" i="1"/>
  <c r="AC76" i="1"/>
  <c r="AC53" i="1"/>
  <c r="AC61" i="1"/>
  <c r="AL46" i="1"/>
  <c r="AC79" i="1"/>
  <c r="AC59" i="1"/>
  <c r="AC73" i="1"/>
  <c r="AC52" i="1"/>
  <c r="AC75" i="1"/>
  <c r="AC85" i="1"/>
  <c r="AC70" i="1"/>
  <c r="AC82" i="1"/>
  <c r="AC66" i="1"/>
  <c r="AC94" i="1"/>
  <c r="AC80" i="1"/>
  <c r="AC60" i="1"/>
  <c r="AC71" i="1"/>
  <c r="AC63" i="1"/>
  <c r="AC90" i="1"/>
  <c r="AC88" i="1"/>
  <c r="AC57" i="1"/>
  <c r="AC58" i="1"/>
  <c r="AC62" i="1"/>
  <c r="AL56" i="1"/>
  <c r="AC51" i="1"/>
  <c r="AC55" i="1"/>
  <c r="AC45" i="1"/>
  <c r="AC47" i="1"/>
  <c r="AC34" i="1"/>
  <c r="AC43" i="1"/>
  <c r="AC36" i="1"/>
  <c r="AC42" i="1"/>
  <c r="AC46" i="1"/>
  <c r="AC38" i="1"/>
  <c r="AC39" i="1"/>
  <c r="AC44" i="1"/>
  <c r="AC41" i="1"/>
  <c r="AC37" i="1"/>
  <c r="AC40" i="1"/>
  <c r="AC35" i="1"/>
  <c r="AC33" i="1"/>
  <c r="AC32" i="1"/>
  <c r="AC20" i="1"/>
  <c r="Y2" i="1"/>
  <c r="AL23" i="1" s="1"/>
  <c r="R4" i="1"/>
  <c r="W4" i="1" s="1"/>
  <c r="X4" i="1" s="1"/>
  <c r="T4" i="1"/>
  <c r="AC27" i="1"/>
  <c r="I5" i="1"/>
  <c r="H5" i="1"/>
  <c r="X2" i="1" l="1"/>
  <c r="Q4" i="1"/>
  <c r="Y4" i="1"/>
  <c r="T5" i="1"/>
  <c r="R5" i="1"/>
  <c r="W5" i="1" s="1"/>
  <c r="X5" i="1" s="1"/>
  <c r="H6" i="1"/>
  <c r="I6" i="1"/>
  <c r="AB12" i="1" s="1"/>
  <c r="AC13" i="1" l="1"/>
  <c r="AD12" i="1"/>
  <c r="AB8" i="1"/>
  <c r="AD8" i="1" s="1"/>
  <c r="AB10" i="1"/>
  <c r="AD10" i="1" s="1"/>
  <c r="AB9" i="1"/>
  <c r="AD9" i="1" s="1"/>
  <c r="AB11" i="1"/>
  <c r="AD11" i="1" s="1"/>
  <c r="R6" i="1"/>
  <c r="W6" i="1" s="1"/>
  <c r="X7" i="1" s="1"/>
  <c r="T6" i="1"/>
  <c r="T7" i="1"/>
  <c r="Y5" i="1"/>
  <c r="Q5" i="1"/>
  <c r="X12" i="1" l="1"/>
  <c r="X6" i="1"/>
  <c r="X10" i="1"/>
  <c r="X9" i="1"/>
  <c r="X8" i="1"/>
  <c r="X11" i="1"/>
  <c r="AC9" i="1"/>
  <c r="AC10" i="1"/>
  <c r="AC12" i="1"/>
  <c r="AC11" i="1"/>
  <c r="Y6" i="1"/>
  <c r="Q6" i="1"/>
</calcChain>
</file>

<file path=xl/sharedStrings.xml><?xml version="1.0" encoding="utf-8"?>
<sst xmlns="http://schemas.openxmlformats.org/spreadsheetml/2006/main" count="1716" uniqueCount="245">
  <si>
    <t>S</t>
  </si>
  <si>
    <t>DayOfWeek</t>
  </si>
  <si>
    <t>Date</t>
  </si>
  <si>
    <t>IMC</t>
  </si>
  <si>
    <t>Grasa</t>
  </si>
  <si>
    <t>FFM</t>
  </si>
  <si>
    <t>Muscle Mass</t>
  </si>
  <si>
    <t>Visceral</t>
  </si>
  <si>
    <t>TMB</t>
  </si>
  <si>
    <t>Agua</t>
  </si>
  <si>
    <t>Grasa (Kg)</t>
  </si>
  <si>
    <t>Agua (Kg)</t>
  </si>
  <si>
    <t>No Muscle</t>
  </si>
  <si>
    <t>Protein</t>
  </si>
  <si>
    <t>Inc Muscle(+)</t>
  </si>
  <si>
    <t>Dec Fat(-)</t>
  </si>
  <si>
    <t>Óseo (Kg)</t>
  </si>
  <si>
    <t>Peso (Kg)</t>
  </si>
  <si>
    <t>Peso Real</t>
  </si>
  <si>
    <t>Peso (Diff)</t>
  </si>
  <si>
    <t>Viernes</t>
  </si>
  <si>
    <t xml:space="preserve">Lunes </t>
  </si>
  <si>
    <t>Jueves</t>
  </si>
  <si>
    <t>Martes</t>
  </si>
  <si>
    <t>Miercoles</t>
  </si>
  <si>
    <t>Sábado</t>
  </si>
  <si>
    <t>Domingo</t>
  </si>
  <si>
    <t>Avg Peso</t>
  </si>
  <si>
    <t>Avg Grasa</t>
  </si>
  <si>
    <t>Avg Musculo</t>
  </si>
  <si>
    <t xml:space="preserve">PLAN </t>
  </si>
  <si>
    <t>PLAN</t>
  </si>
  <si>
    <t>Gastro</t>
  </si>
  <si>
    <t>Vuelta Mallorca</t>
  </si>
  <si>
    <t>Dinner EVP</t>
  </si>
  <si>
    <t>Vs 30Aug</t>
  </si>
  <si>
    <t>(Todas)</t>
  </si>
  <si>
    <t>Etiquetas de fila</t>
  </si>
  <si>
    <t>Total general</t>
  </si>
  <si>
    <t>Promedio de Peso (Kg)</t>
  </si>
  <si>
    <t>Promedio de Grasa</t>
  </si>
  <si>
    <t>Promedio de Grasa (Kg)</t>
  </si>
  <si>
    <t>Promedio de Muscle Mass</t>
  </si>
  <si>
    <t>Cena FIS</t>
  </si>
  <si>
    <t>Vuelta Ginebra</t>
  </si>
  <si>
    <t>Cena Regional</t>
  </si>
  <si>
    <t>Cena Rober C</t>
  </si>
  <si>
    <t>Vuelta China</t>
  </si>
  <si>
    <t>Cumple Carlos DFR</t>
  </si>
  <si>
    <t>Bejarano &amp; Rober</t>
  </si>
  <si>
    <t>Vuelta las Caldas</t>
  </si>
  <si>
    <t>Nochebuena</t>
  </si>
  <si>
    <t>Navidad</t>
  </si>
  <si>
    <t>Nochevieja</t>
  </si>
  <si>
    <t>Escapada</t>
  </si>
  <si>
    <t>Vuelta Londres</t>
  </si>
  <si>
    <t>Comida cumple Abuela</t>
  </si>
  <si>
    <t>Vuelta de Marbella</t>
  </si>
  <si>
    <t>Cena Geraldine</t>
  </si>
  <si>
    <t>Susto Contraoferta</t>
  </si>
  <si>
    <t>Vuelta Chantilly</t>
  </si>
  <si>
    <t>Lesión hombro + inicio obra</t>
  </si>
  <si>
    <t>Vuelta monasterio piedra + cena cumple</t>
  </si>
  <si>
    <t>Cena cumple Ana</t>
  </si>
  <si>
    <t>Doble creatina</t>
  </si>
  <si>
    <t>CR</t>
  </si>
  <si>
    <t>Visceral2</t>
  </si>
  <si>
    <t>Columna3</t>
  </si>
  <si>
    <t>Cena cumple Alberto</t>
  </si>
  <si>
    <t>Vuelta al Gym</t>
  </si>
  <si>
    <t>Cena RITM</t>
  </si>
  <si>
    <t xml:space="preserve">Vuelta F1 + Lisboa </t>
  </si>
  <si>
    <t>Catarro + japos</t>
  </si>
  <si>
    <t>2023</t>
  </si>
  <si>
    <t>2024</t>
  </si>
  <si>
    <t>CR2</t>
  </si>
  <si>
    <t>Cumple FE</t>
  </si>
  <si>
    <t>Vuelta de Thai Spa</t>
  </si>
  <si>
    <t>Vuelta vacaciones (Coruña+Finistere+Caldas+Cabarceno)</t>
  </si>
  <si>
    <t xml:space="preserve">Fecha </t>
  </si>
  <si>
    <t xml:space="preserve">Porto Cristo </t>
  </si>
  <si>
    <t>Montuiri</t>
  </si>
  <si>
    <t>Sant Salvador</t>
  </si>
  <si>
    <t>Puig de Randa</t>
  </si>
  <si>
    <t>Alaro</t>
  </si>
  <si>
    <t>Soller to Puig Major</t>
  </si>
  <si>
    <t>Sa Calobra</t>
  </si>
  <si>
    <t>Cap Formentor</t>
  </si>
  <si>
    <t>Descent to Pollenca</t>
  </si>
  <si>
    <t>H</t>
  </si>
  <si>
    <t>M</t>
  </si>
  <si>
    <t>TOTAL</t>
  </si>
  <si>
    <t>KM</t>
  </si>
  <si>
    <t>Video</t>
  </si>
  <si>
    <t>Etiquetas de columna</t>
  </si>
  <si>
    <t>@TOTAL</t>
  </si>
  <si>
    <t>Altitud</t>
  </si>
  <si>
    <t>2023-1</t>
  </si>
  <si>
    <t>2024-1</t>
  </si>
  <si>
    <t xml:space="preserve">TOTAL </t>
  </si>
  <si>
    <t>Vuelta viaje Latam (Colombia + Brasil)</t>
  </si>
  <si>
    <t>Vuelta las caldas</t>
  </si>
  <si>
    <t>Inicio FatSecret</t>
  </si>
  <si>
    <t>2024-2</t>
  </si>
  <si>
    <t>Cumple Alex + cagalera</t>
  </si>
  <si>
    <t xml:space="preserve">Cumple Alex Niños </t>
  </si>
  <si>
    <t>Vuelta de Zurich - ExCo</t>
  </si>
  <si>
    <t>Cena aniversario + japo TDP</t>
  </si>
  <si>
    <t>Vuelta de Mallorca - Deloitte</t>
  </si>
  <si>
    <t>CR3</t>
  </si>
  <si>
    <t>Cena Workshop SE</t>
  </si>
  <si>
    <t>Vuelta de cantalejo</t>
  </si>
  <si>
    <t>2023 vs 2024-1</t>
  </si>
  <si>
    <t>Vuelta de Dubai : Gordo zampón</t>
  </si>
  <si>
    <t>Cena HR : Gordo zampón</t>
  </si>
  <si>
    <t>Runni Space : Gordo Zampón</t>
  </si>
  <si>
    <t xml:space="preserve">Vuelta Amberes </t>
  </si>
  <si>
    <t>Vuelta Manila : Gordo Zampón</t>
  </si>
  <si>
    <t>Vuelta Laponia : Gordo Zampón</t>
  </si>
  <si>
    <t>Vuelta Francia &amp; Hamburgo</t>
  </si>
  <si>
    <t>CR4</t>
  </si>
  <si>
    <t>Sabado</t>
  </si>
  <si>
    <t>Cena Navidad</t>
  </si>
  <si>
    <t>Comida SGS</t>
  </si>
  <si>
    <t>Comida Padrinos</t>
  </si>
  <si>
    <t>Cena Nochebuena</t>
  </si>
  <si>
    <t>Vuelta Las Caldas : Gordo Zampon</t>
  </si>
  <si>
    <t>2025</t>
  </si>
  <si>
    <t>Reyes</t>
  </si>
  <si>
    <t>Desayuno Reyes</t>
  </si>
  <si>
    <t>Levantado tarde despues PS5</t>
  </si>
  <si>
    <t>Comida Runni Space</t>
  </si>
  <si>
    <t>Cena Japo</t>
  </si>
  <si>
    <t>Comida Fridays</t>
  </si>
  <si>
    <t xml:space="preserve">Dia de la cirugia </t>
  </si>
  <si>
    <t>Primer dia después de quitarme el vendaje</t>
  </si>
  <si>
    <t>Hasta</t>
  </si>
  <si>
    <t>Desde</t>
  </si>
  <si>
    <t>Días</t>
  </si>
  <si>
    <t>Vuelta Merida + Cena Visita Malcom+Marta</t>
  </si>
  <si>
    <t xml:space="preserve">Dia de Visita Marta + Malcom </t>
  </si>
  <si>
    <t>PL1</t>
  </si>
  <si>
    <t>Comida cumple abuela</t>
  </si>
  <si>
    <t>Vuelta de Londres pero falta un dia</t>
  </si>
  <si>
    <t>Comida Paco Armesto - Jimenez</t>
  </si>
  <si>
    <t>Comida Deloitte - El Quenco de Pepa</t>
  </si>
  <si>
    <t>ene</t>
  </si>
  <si>
    <t>%Musculo</t>
  </si>
  <si>
    <t>AVG%Musculo</t>
  </si>
  <si>
    <t>Vuelta offsite IT + PRP-1</t>
  </si>
  <si>
    <t>Comida de Cumpleaños (Indochina + Tarta)</t>
  </si>
  <si>
    <t>Comida el80 por mi cumple + tarta</t>
  </si>
  <si>
    <t xml:space="preserve">Vuelta Ginebra + Zug </t>
  </si>
  <si>
    <t>Vuelta Castillo + cumple Ana</t>
  </si>
  <si>
    <t xml:space="preserve">Vuelta Colombia y Chile </t>
  </si>
  <si>
    <t>Cena despedida Jose Maria</t>
  </si>
  <si>
    <t>Vuelta SLM madrid</t>
  </si>
  <si>
    <t>PL2</t>
  </si>
  <si>
    <t>Vuelta Taiwan</t>
  </si>
  <si>
    <t>Vuelta Kazahistan. Gordo Zampon</t>
  </si>
  <si>
    <t>Mudanza</t>
  </si>
  <si>
    <t>Cena despedida David &amp; Alberto</t>
  </si>
  <si>
    <t>Cumpleaños de David en Casa</t>
  </si>
  <si>
    <t>Cumpleaños de Fe en casa de los padrinos</t>
  </si>
  <si>
    <t>Vuelta de Zurich</t>
  </si>
  <si>
    <t>Vuelta Glasgow</t>
  </si>
  <si>
    <t xml:space="preserve">Comida niños, merienda de helado a lo bestia </t>
  </si>
  <si>
    <t>Vuelta de Italia de Roma y Florencia</t>
  </si>
  <si>
    <t>Cena Volapie</t>
  </si>
  <si>
    <t>Cena con fondue de chocolate</t>
  </si>
  <si>
    <t xml:space="preserve">Vuelta de Termas Pallares </t>
  </si>
  <si>
    <t>Cena Barbillon Oyster</t>
  </si>
  <si>
    <t>Avg Agua)</t>
  </si>
  <si>
    <t xml:space="preserve">Ratio </t>
  </si>
  <si>
    <t>PL3</t>
  </si>
  <si>
    <t>Vuelta Cantalejo</t>
  </si>
  <si>
    <t>Cena con niños Lolita Lola</t>
  </si>
  <si>
    <t>Celebración cumple Alex en casa</t>
  </si>
  <si>
    <t xml:space="preserve">Helados después muncit </t>
  </si>
  <si>
    <t>Review, madrugon y workshop Google</t>
  </si>
  <si>
    <t>Vuelta ExCo Zurich</t>
  </si>
  <si>
    <t>Despues de cena aniversario</t>
  </si>
  <si>
    <t>Cena Fridays Niños</t>
  </si>
  <si>
    <t>Cena regionals</t>
  </si>
  <si>
    <t>Comida japo + tarta x 2</t>
  </si>
  <si>
    <t>2025-1</t>
  </si>
  <si>
    <t>Promedio de FFM</t>
  </si>
  <si>
    <t>%</t>
  </si>
  <si>
    <t>Comidap pekes + tarta + cena pizza</t>
  </si>
  <si>
    <t>Comida Friday's a lo bestia</t>
  </si>
  <si>
    <t>Reconocimiento médico</t>
  </si>
  <si>
    <t>Comida Japo+Tarta</t>
  </si>
  <si>
    <t>Helados pst dinosaurios</t>
  </si>
  <si>
    <t>Comida Indochina</t>
  </si>
  <si>
    <t>Vuelta de BLESS &amp; cumple Carlos DF</t>
  </si>
  <si>
    <t>Cena en el mexicano con ITLT</t>
  </si>
  <si>
    <t>Cena Japo + niños</t>
  </si>
  <si>
    <t>2025-2</t>
  </si>
  <si>
    <t>Comida Mudrá y cena en casa gorda</t>
  </si>
  <si>
    <t>PL4</t>
  </si>
  <si>
    <t>Vuelta de Zug</t>
  </si>
  <si>
    <t>Comida Japo con niños (Alberto solo)</t>
  </si>
  <si>
    <t>Comida familia Plaza</t>
  </si>
  <si>
    <t>Cena con los de Oracle</t>
  </si>
  <si>
    <t>Cena de Navidad equipo en monsieur sushita</t>
  </si>
  <si>
    <t xml:space="preserve">Viernes </t>
  </si>
  <si>
    <t>Falta Domingo : Pachucho + comida en Indochina</t>
  </si>
  <si>
    <t>Comida Sushi Cabana</t>
  </si>
  <si>
    <t>Comida Padrinos me paso 3 pueblos</t>
  </si>
  <si>
    <t>Comida Ochentas + Virtual4us + Panetone</t>
  </si>
  <si>
    <t>Vuelta de las caldas</t>
  </si>
  <si>
    <t xml:space="preserve">Comida usera </t>
  </si>
  <si>
    <t>Nochevieja + Año nuevo</t>
  </si>
  <si>
    <t>2026</t>
  </si>
  <si>
    <t>Trimestres (Date)</t>
  </si>
  <si>
    <t>Despues de cena de reyes y zampada padre de roscón</t>
  </si>
  <si>
    <t>feb</t>
  </si>
  <si>
    <t>Comida Lolita Lola</t>
  </si>
  <si>
    <t>Comida el80 con ana</t>
  </si>
  <si>
    <t>Vuelta Zug</t>
  </si>
  <si>
    <t>After dia Micropolix Alex/Emerson</t>
  </si>
  <si>
    <t xml:space="preserve">Después semana en Zug y excesos varios </t>
  </si>
  <si>
    <t>2026-1</t>
  </si>
  <si>
    <t>PL5</t>
  </si>
  <si>
    <t xml:space="preserve">Vuelta SIX &amp; Zurich </t>
  </si>
  <si>
    <t>Cena BA/Damian en Madrid</t>
  </si>
  <si>
    <t>Reunión Deloitte Torre Espacio</t>
  </si>
  <si>
    <t>2024-1 vs 2026-1</t>
  </si>
  <si>
    <t>Vuelat de Avila offsite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</si>
  <si>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</si>
  <si>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</si>
  <si>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</si>
  <si>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</si>
  <si>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</si>
  <si>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</si>
  <si>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</si>
  <si>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</si>
  <si>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</si>
  <si>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</si>
  <si>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Comida Cumple mama</t>
  </si>
  <si>
    <t>Vuelta de OCAB Paris</t>
  </si>
  <si>
    <t>Vuelta Gran Canaria. Gordo Zampón</t>
  </si>
  <si>
    <t>Comida padrinos post muerte Trasto</t>
  </si>
  <si>
    <t>Vuelta de Belgica</t>
  </si>
  <si>
    <t>RM1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</si>
</sst>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%"/>
    <numFmt numFmtId="165" formatCode="_-* #,##0.0_-;\-* #,##0.0_-;_-* &quot;-&quot;??_-;_-@_-"/>
    <numFmt numFmtId="166" formatCode="_-* #,##0.00\ _€_-;\-* #,##0.00\ _€_-;_-* &quot;-&quot;??\ _€_-;_-@_-"/>
    <numFmt numFmtId="167" formatCode="#,##0.0"/>
    <numFmt numFmtId="168" formatCode="_-* #,##0_-;\-* #,##0_-;_-* &quot;-&quot;??_-;_-@_-"/>
    <numFmt numFmtId="169" formatCode="_-* #,##0.0\ _€_-;\-* #,##0.0\ _€_-;_-* &quot;-&quot;?\ _€_-;_-@_-"/>
    <numFmt numFmtId="170" formatCode="0.0"/>
    <numFmt numFmtId="171" formatCode="_-* #,##0.000_-;\-* #,##0.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 applyAlignment="1">
      <alignment horizontal="center"/>
    </xf>
    <xf numFmtId="43" fontId="2" fillId="0" borderId="0" xfId="1" applyFont="1" applyAlignment="1">
      <alignment horizontal="center"/>
    </xf>
    <xf numFmtId="164" fontId="2" fillId="0" borderId="0" xfId="2" applyNumberFormat="1" applyFont="1" applyAlignment="1">
      <alignment horizontal="center"/>
    </xf>
    <xf numFmtId="14" fontId="0" fillId="0" borderId="0" xfId="0" applyNumberFormat="1"/>
    <xf numFmtId="164" fontId="0" fillId="0" borderId="0" xfId="0" applyNumberFormat="1"/>
    <xf numFmtId="43" fontId="0" fillId="0" borderId="0" xfId="1" applyFont="1"/>
    <xf numFmtId="165" fontId="0" fillId="0" borderId="0" xfId="1" applyNumberFormat="1" applyFont="1"/>
    <xf numFmtId="165" fontId="0" fillId="0" borderId="0" xfId="0" applyNumberFormat="1"/>
    <xf numFmtId="164" fontId="0" fillId="0" borderId="0" xfId="2" applyNumberFormat="1" applyFont="1"/>
    <xf numFmtId="166" fontId="0" fillId="0" borderId="0" xfId="0" applyNumberFormat="1"/>
    <xf numFmtId="43" fontId="2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4" fontId="0" fillId="0" borderId="0" xfId="0" applyNumberFormat="1"/>
    <xf numFmtId="168" fontId="2" fillId="0" borderId="0" xfId="1" applyNumberFormat="1" applyFont="1" applyAlignment="1">
      <alignment horizontal="left" indent="2"/>
    </xf>
    <xf numFmtId="168" fontId="0" fillId="0" borderId="0" xfId="1" applyNumberFormat="1" applyFont="1" applyAlignment="1">
      <alignment horizontal="left" indent="2"/>
    </xf>
    <xf numFmtId="168" fontId="0" fillId="0" borderId="0" xfId="0" applyNumberFormat="1" applyAlignment="1">
      <alignment horizontal="left" indent="2"/>
    </xf>
    <xf numFmtId="164" fontId="2" fillId="0" borderId="0" xfId="2" applyNumberFormat="1" applyFont="1"/>
    <xf numFmtId="165" fontId="2" fillId="0" borderId="0" xfId="1" applyNumberFormat="1" applyFont="1" applyAlignment="1">
      <alignment horizontal="left" indent="2"/>
    </xf>
    <xf numFmtId="165" fontId="0" fillId="0" borderId="0" xfId="1" applyNumberFormat="1" applyFont="1" applyAlignment="1">
      <alignment horizontal="left" indent="2"/>
    </xf>
    <xf numFmtId="165" fontId="0" fillId="0" borderId="0" xfId="0" applyNumberFormat="1" applyAlignment="1">
      <alignment horizontal="left" indent="2"/>
    </xf>
    <xf numFmtId="43" fontId="0" fillId="0" borderId="0" xfId="0" applyNumberFormat="1"/>
    <xf numFmtId="0" fontId="0" fillId="0" borderId="0" xfId="0" applyAlignment="1">
      <alignment horizontal="left" indent="1"/>
    </xf>
    <xf numFmtId="168" fontId="0" fillId="0" borderId="0" xfId="1" applyNumberFormat="1" applyFont="1"/>
    <xf numFmtId="168" fontId="0" fillId="0" borderId="0" xfId="0" applyNumberFormat="1"/>
    <xf numFmtId="3" fontId="0" fillId="0" borderId="0" xfId="0" applyNumberFormat="1"/>
    <xf numFmtId="169" fontId="0" fillId="0" borderId="0" xfId="0" applyNumberFormat="1"/>
    <xf numFmtId="0" fontId="2" fillId="0" borderId="0" xfId="0" applyFont="1"/>
    <xf numFmtId="14" fontId="0" fillId="0" borderId="0" xfId="0" applyNumberFormat="1" applyAlignment="1">
      <alignment horizontal="center"/>
    </xf>
    <xf numFmtId="14" fontId="2" fillId="2" borderId="1" xfId="0" applyNumberFormat="1" applyFont="1" applyFill="1" applyBorder="1"/>
    <xf numFmtId="14" fontId="2" fillId="2" borderId="1" xfId="0" applyNumberFormat="1" applyFont="1" applyFill="1" applyBorder="1" applyAlignment="1">
      <alignment horizontal="center"/>
    </xf>
    <xf numFmtId="14" fontId="2" fillId="2" borderId="0" xfId="0" applyNumberFormat="1" applyFont="1" applyFill="1" applyAlignment="1">
      <alignment horizontal="center"/>
    </xf>
    <xf numFmtId="168" fontId="2" fillId="0" borderId="0" xfId="1" applyNumberFormat="1" applyFont="1" applyAlignment="1">
      <alignment horizontal="center"/>
    </xf>
    <xf numFmtId="170" fontId="0" fillId="0" borderId="0" xfId="0" applyNumberFormat="1"/>
    <xf numFmtId="14" fontId="2" fillId="0" borderId="0" xfId="0" applyNumberFormat="1" applyFont="1"/>
    <xf numFmtId="14" fontId="2" fillId="0" borderId="0" xfId="0" applyNumberFormat="1" applyFont="1" applyAlignment="1">
      <alignment horizontal="center"/>
    </xf>
    <xf numFmtId="0" fontId="2" fillId="2" borderId="1" xfId="0" applyFont="1" applyFill="1" applyBorder="1"/>
    <xf numFmtId="3" fontId="2" fillId="0" borderId="0" xfId="0" applyNumberFormat="1" applyFont="1"/>
    <xf numFmtId="164" fontId="2" fillId="0" borderId="0" xfId="0" applyNumberFormat="1" applyFont="1" applyAlignment="1">
      <alignment horizontal="center"/>
    </xf>
    <xf numFmtId="171" fontId="2" fillId="0" borderId="0" xfId="1" applyNumberFormat="1" applyFont="1" applyAlignment="1">
      <alignment horizontal="center"/>
    </xf>
    <xf numFmtId="171" fontId="0" fillId="0" borderId="0" xfId="1" applyNumberFormat="1" applyFont="1"/>
    <xf numFmtId="14" fontId="0" fillId="3" borderId="0" xfId="0" applyNumberFormat="1" applyFill="1"/>
    <xf numFmtId="3" fontId="0" fillId="3" borderId="0" xfId="0" applyNumberFormat="1" applyFill="1"/>
  </cellXfs>
  <cellStyles count="3">
    <cellStyle name="Millares" xfId="1" builtinId="3"/>
    <cellStyle name="Normal" xfId="0" builtinId="0"/>
    <cellStyle name="Porcentaje" xfId="2" builtinId="5"/>
  </cellStyles>
  <dxfs count="51">
    <dxf>
      <numFmt numFmtId="19" formatCode="dd/mm/yyyy"/>
    </dxf>
    <dxf>
      <numFmt numFmtId="164" formatCode="0.0%"/>
    </dxf>
    <dxf>
      <font>
        <b/>
      </font>
    </dxf>
    <dxf>
      <alignment horizontal="center"/>
    </dxf>
    <dxf>
      <numFmt numFmtId="4" formatCode="#,##0.00"/>
    </dxf>
    <dxf>
      <numFmt numFmtId="4" formatCode="#,##0.00"/>
    </dxf>
    <dxf>
      <numFmt numFmtId="19" formatCode="dd/mm/yyyy"/>
    </dxf>
    <dxf>
      <numFmt numFmtId="4" formatCode="#,##0.00"/>
    </dxf>
    <dxf>
      <numFmt numFmtId="4" formatCode="#,##0.00"/>
    </dxf>
    <dxf>
      <numFmt numFmtId="4" formatCode="#,##0.00"/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19" formatCode="dd/mm/yyyy"/>
    </dxf>
    <dxf>
      <numFmt numFmtId="4" formatCode="#,##0.00"/>
    </dxf>
    <dxf>
      <numFmt numFmtId="4" formatCode="#,##0.00"/>
    </dxf>
    <dxf>
      <alignment horizontal="center"/>
    </dxf>
    <dxf>
      <font>
        <b/>
      </font>
    </dxf>
    <dxf>
      <numFmt numFmtId="164" formatCode="0.0%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1" formatCode="_-* #,##0.000_-;\-* #,##0.0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.0_-;\-* #,##0.0_-;_-* &quot;-&quot;??_-;_-@_-"/>
      <alignment horizontal="left" vertical="bottom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.0_-;\-* #,##0.0_-;_-* &quot;-&quot;??_-;_-@_-"/>
      <alignment horizontal="left" vertical="bottom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-* #,##0_-;\-* #,##0_-;_-* &quot;-&quot;??_-;_-@_-"/>
      <alignment horizontal="left" vertical="bottom" textRotation="0" wrapText="0" indent="2" justifyLastLine="0" shrinkToFit="0" readingOrder="0"/>
    </dxf>
    <dxf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2.xml"/><Relationship Id="rId13" Type="http://schemas.openxmlformats.org/officeDocument/2006/relationships/pivotCacheDefinition" Target="pivotCache/pivotCacheDefinition2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1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chartsheet" Target="chartsheets/sheet2.xml"/><Relationship Id="rId16" Type="http://schemas.openxmlformats.org/officeDocument/2006/relationships/sharedStrings" Target="sharedStrings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worksheet" Target="worksheets/sheet4.xml"/><Relationship Id="rId5" Type="http://schemas.openxmlformats.org/officeDocument/2006/relationships/chartsheet" Target="chart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3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7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Pesos_R!$E$1</c:f>
              <c:strCache>
                <c:ptCount val="1"/>
                <c:pt idx="0">
                  <c:v> Peso (Kg) 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xVal>
            <c:numRef>
              <c:f>Pesos_R!$D$2:$D$798</c:f>
              <c:numCache>
                <c:formatCode>m/d/yyyy</c:formatCode>
                <c:ptCount val="797"/>
                <c:pt idx="0">
                  <c:v>45110</c:v>
                </c:pt>
                <c:pt idx="1">
                  <c:v>45111</c:v>
                </c:pt>
                <c:pt idx="2">
                  <c:v>45112</c:v>
                </c:pt>
                <c:pt idx="3">
                  <c:v>45113</c:v>
                </c:pt>
                <c:pt idx="4">
                  <c:v>45114</c:v>
                </c:pt>
                <c:pt idx="5">
                  <c:v>45115</c:v>
                </c:pt>
                <c:pt idx="6">
                  <c:v>45116</c:v>
                </c:pt>
                <c:pt idx="7">
                  <c:v>45117</c:v>
                </c:pt>
                <c:pt idx="8">
                  <c:v>45118</c:v>
                </c:pt>
                <c:pt idx="9">
                  <c:v>45119</c:v>
                </c:pt>
                <c:pt idx="10">
                  <c:v>45120</c:v>
                </c:pt>
                <c:pt idx="11">
                  <c:v>45121</c:v>
                </c:pt>
                <c:pt idx="12">
                  <c:v>45122</c:v>
                </c:pt>
                <c:pt idx="13">
                  <c:v>45123</c:v>
                </c:pt>
                <c:pt idx="14">
                  <c:v>45124</c:v>
                </c:pt>
                <c:pt idx="15">
                  <c:v>45125</c:v>
                </c:pt>
                <c:pt idx="16">
                  <c:v>45126</c:v>
                </c:pt>
                <c:pt idx="17">
                  <c:v>45134</c:v>
                </c:pt>
                <c:pt idx="18">
                  <c:v>45135</c:v>
                </c:pt>
                <c:pt idx="19">
                  <c:v>45136</c:v>
                </c:pt>
                <c:pt idx="20">
                  <c:v>45137</c:v>
                </c:pt>
                <c:pt idx="21">
                  <c:v>45138</c:v>
                </c:pt>
                <c:pt idx="22">
                  <c:v>45139</c:v>
                </c:pt>
                <c:pt idx="23">
                  <c:v>45140</c:v>
                </c:pt>
                <c:pt idx="24">
                  <c:v>45141</c:v>
                </c:pt>
                <c:pt idx="25">
                  <c:v>45142</c:v>
                </c:pt>
                <c:pt idx="26">
                  <c:v>45143</c:v>
                </c:pt>
                <c:pt idx="27">
                  <c:v>45144</c:v>
                </c:pt>
                <c:pt idx="28">
                  <c:v>45145</c:v>
                </c:pt>
                <c:pt idx="29">
                  <c:v>45153</c:v>
                </c:pt>
                <c:pt idx="30">
                  <c:v>45154</c:v>
                </c:pt>
                <c:pt idx="31">
                  <c:v>45155</c:v>
                </c:pt>
                <c:pt idx="32">
                  <c:v>45156</c:v>
                </c:pt>
                <c:pt idx="33">
                  <c:v>45157</c:v>
                </c:pt>
                <c:pt idx="34">
                  <c:v>45158</c:v>
                </c:pt>
                <c:pt idx="35">
                  <c:v>45159</c:v>
                </c:pt>
                <c:pt idx="36">
                  <c:v>45160</c:v>
                </c:pt>
                <c:pt idx="37">
                  <c:v>45161</c:v>
                </c:pt>
                <c:pt idx="38">
                  <c:v>45163</c:v>
                </c:pt>
                <c:pt idx="39">
                  <c:v>45164</c:v>
                </c:pt>
                <c:pt idx="40">
                  <c:v>45165</c:v>
                </c:pt>
                <c:pt idx="41">
                  <c:v>45166</c:v>
                </c:pt>
                <c:pt idx="42">
                  <c:v>45167</c:v>
                </c:pt>
                <c:pt idx="43">
                  <c:v>45168</c:v>
                </c:pt>
                <c:pt idx="44">
                  <c:v>45169</c:v>
                </c:pt>
                <c:pt idx="45">
                  <c:v>45170</c:v>
                </c:pt>
                <c:pt idx="46">
                  <c:v>45171</c:v>
                </c:pt>
                <c:pt idx="47">
                  <c:v>45172</c:v>
                </c:pt>
                <c:pt idx="48">
                  <c:v>45173</c:v>
                </c:pt>
                <c:pt idx="49">
                  <c:v>45174</c:v>
                </c:pt>
                <c:pt idx="50">
                  <c:v>45175</c:v>
                </c:pt>
                <c:pt idx="51">
                  <c:v>45176</c:v>
                </c:pt>
                <c:pt idx="52">
                  <c:v>45177</c:v>
                </c:pt>
                <c:pt idx="53">
                  <c:v>45178</c:v>
                </c:pt>
                <c:pt idx="54">
                  <c:v>45179</c:v>
                </c:pt>
                <c:pt idx="55">
                  <c:v>45180</c:v>
                </c:pt>
                <c:pt idx="56">
                  <c:v>45181</c:v>
                </c:pt>
                <c:pt idx="57">
                  <c:v>45182</c:v>
                </c:pt>
                <c:pt idx="58">
                  <c:v>45183</c:v>
                </c:pt>
                <c:pt idx="59">
                  <c:v>45184</c:v>
                </c:pt>
                <c:pt idx="60">
                  <c:v>45185</c:v>
                </c:pt>
                <c:pt idx="61">
                  <c:v>45186</c:v>
                </c:pt>
                <c:pt idx="62">
                  <c:v>45187</c:v>
                </c:pt>
                <c:pt idx="63">
                  <c:v>45188</c:v>
                </c:pt>
                <c:pt idx="64">
                  <c:v>45189</c:v>
                </c:pt>
                <c:pt idx="65">
                  <c:v>45190</c:v>
                </c:pt>
                <c:pt idx="66">
                  <c:v>45193</c:v>
                </c:pt>
                <c:pt idx="67">
                  <c:v>45194</c:v>
                </c:pt>
                <c:pt idx="68">
                  <c:v>45195</c:v>
                </c:pt>
                <c:pt idx="69">
                  <c:v>45196</c:v>
                </c:pt>
                <c:pt idx="70">
                  <c:v>45197</c:v>
                </c:pt>
                <c:pt idx="71">
                  <c:v>45198</c:v>
                </c:pt>
                <c:pt idx="72">
                  <c:v>45199</c:v>
                </c:pt>
                <c:pt idx="73">
                  <c:v>45200</c:v>
                </c:pt>
                <c:pt idx="74">
                  <c:v>45201</c:v>
                </c:pt>
                <c:pt idx="75">
                  <c:v>45202</c:v>
                </c:pt>
                <c:pt idx="76">
                  <c:v>45203</c:v>
                </c:pt>
                <c:pt idx="77">
                  <c:v>45204</c:v>
                </c:pt>
                <c:pt idx="78">
                  <c:v>45205</c:v>
                </c:pt>
                <c:pt idx="79">
                  <c:v>45206</c:v>
                </c:pt>
                <c:pt idx="80">
                  <c:v>45207</c:v>
                </c:pt>
                <c:pt idx="81">
                  <c:v>45208</c:v>
                </c:pt>
                <c:pt idx="82">
                  <c:v>45209</c:v>
                </c:pt>
                <c:pt idx="83">
                  <c:v>45210</c:v>
                </c:pt>
                <c:pt idx="84">
                  <c:v>45211</c:v>
                </c:pt>
                <c:pt idx="85">
                  <c:v>45212</c:v>
                </c:pt>
                <c:pt idx="86">
                  <c:v>45213</c:v>
                </c:pt>
                <c:pt idx="87">
                  <c:v>45214</c:v>
                </c:pt>
                <c:pt idx="88">
                  <c:v>45215</c:v>
                </c:pt>
                <c:pt idx="89">
                  <c:v>45216</c:v>
                </c:pt>
                <c:pt idx="90">
                  <c:v>45219</c:v>
                </c:pt>
                <c:pt idx="91">
                  <c:v>45220</c:v>
                </c:pt>
                <c:pt idx="92">
                  <c:v>45221</c:v>
                </c:pt>
                <c:pt idx="93">
                  <c:v>45222</c:v>
                </c:pt>
                <c:pt idx="94">
                  <c:v>45223</c:v>
                </c:pt>
                <c:pt idx="95">
                  <c:v>45224</c:v>
                </c:pt>
                <c:pt idx="96">
                  <c:v>45226</c:v>
                </c:pt>
                <c:pt idx="97">
                  <c:v>45227</c:v>
                </c:pt>
                <c:pt idx="98">
                  <c:v>45228</c:v>
                </c:pt>
                <c:pt idx="99">
                  <c:v>45229</c:v>
                </c:pt>
                <c:pt idx="100">
                  <c:v>45230</c:v>
                </c:pt>
                <c:pt idx="101">
                  <c:v>45231</c:v>
                </c:pt>
                <c:pt idx="102">
                  <c:v>45232</c:v>
                </c:pt>
                <c:pt idx="103">
                  <c:v>45233</c:v>
                </c:pt>
                <c:pt idx="104">
                  <c:v>45234</c:v>
                </c:pt>
                <c:pt idx="105">
                  <c:v>45235</c:v>
                </c:pt>
                <c:pt idx="106">
                  <c:v>45241</c:v>
                </c:pt>
                <c:pt idx="107">
                  <c:v>45242</c:v>
                </c:pt>
                <c:pt idx="108">
                  <c:v>45243</c:v>
                </c:pt>
                <c:pt idx="109">
                  <c:v>45244</c:v>
                </c:pt>
                <c:pt idx="110">
                  <c:v>45245</c:v>
                </c:pt>
                <c:pt idx="111">
                  <c:v>45246</c:v>
                </c:pt>
                <c:pt idx="112">
                  <c:v>45248</c:v>
                </c:pt>
                <c:pt idx="113">
                  <c:v>45249</c:v>
                </c:pt>
                <c:pt idx="114">
                  <c:v>45250</c:v>
                </c:pt>
                <c:pt idx="115">
                  <c:v>45251</c:v>
                </c:pt>
                <c:pt idx="116">
                  <c:v>45252</c:v>
                </c:pt>
                <c:pt idx="117">
                  <c:v>45253</c:v>
                </c:pt>
                <c:pt idx="118">
                  <c:v>45254</c:v>
                </c:pt>
                <c:pt idx="119">
                  <c:v>45255</c:v>
                </c:pt>
                <c:pt idx="120">
                  <c:v>45256</c:v>
                </c:pt>
                <c:pt idx="121">
                  <c:v>45257</c:v>
                </c:pt>
                <c:pt idx="122">
                  <c:v>45258</c:v>
                </c:pt>
                <c:pt idx="123">
                  <c:v>45259</c:v>
                </c:pt>
                <c:pt idx="124">
                  <c:v>45260</c:v>
                </c:pt>
                <c:pt idx="125">
                  <c:v>45261</c:v>
                </c:pt>
                <c:pt idx="126">
                  <c:v>45262</c:v>
                </c:pt>
                <c:pt idx="127">
                  <c:v>45263</c:v>
                </c:pt>
                <c:pt idx="128">
                  <c:v>45264</c:v>
                </c:pt>
                <c:pt idx="129">
                  <c:v>45265</c:v>
                </c:pt>
                <c:pt idx="130">
                  <c:v>45266</c:v>
                </c:pt>
                <c:pt idx="131">
                  <c:v>45267</c:v>
                </c:pt>
                <c:pt idx="132">
                  <c:v>45268</c:v>
                </c:pt>
                <c:pt idx="133">
                  <c:v>45269</c:v>
                </c:pt>
                <c:pt idx="134">
                  <c:v>45270</c:v>
                </c:pt>
                <c:pt idx="135">
                  <c:v>45271</c:v>
                </c:pt>
                <c:pt idx="136">
                  <c:v>45272</c:v>
                </c:pt>
                <c:pt idx="137">
                  <c:v>45273</c:v>
                </c:pt>
                <c:pt idx="138">
                  <c:v>45274</c:v>
                </c:pt>
                <c:pt idx="139">
                  <c:v>45275</c:v>
                </c:pt>
                <c:pt idx="140">
                  <c:v>45276</c:v>
                </c:pt>
                <c:pt idx="141">
                  <c:v>45277</c:v>
                </c:pt>
                <c:pt idx="142">
                  <c:v>45278</c:v>
                </c:pt>
                <c:pt idx="143">
                  <c:v>45279</c:v>
                </c:pt>
                <c:pt idx="144">
                  <c:v>45280</c:v>
                </c:pt>
                <c:pt idx="145">
                  <c:v>45281</c:v>
                </c:pt>
                <c:pt idx="146">
                  <c:v>45282</c:v>
                </c:pt>
                <c:pt idx="147">
                  <c:v>45283</c:v>
                </c:pt>
                <c:pt idx="148">
                  <c:v>45284</c:v>
                </c:pt>
                <c:pt idx="149">
                  <c:v>45285</c:v>
                </c:pt>
                <c:pt idx="150">
                  <c:v>45286</c:v>
                </c:pt>
                <c:pt idx="151">
                  <c:v>45291</c:v>
                </c:pt>
                <c:pt idx="152">
                  <c:v>45292</c:v>
                </c:pt>
                <c:pt idx="153">
                  <c:v>45293</c:v>
                </c:pt>
                <c:pt idx="154">
                  <c:v>45294</c:v>
                </c:pt>
                <c:pt idx="155">
                  <c:v>45295</c:v>
                </c:pt>
                <c:pt idx="156">
                  <c:v>45296</c:v>
                </c:pt>
                <c:pt idx="157">
                  <c:v>45297</c:v>
                </c:pt>
                <c:pt idx="158">
                  <c:v>45298</c:v>
                </c:pt>
                <c:pt idx="159">
                  <c:v>45299</c:v>
                </c:pt>
                <c:pt idx="160">
                  <c:v>45300</c:v>
                </c:pt>
                <c:pt idx="161">
                  <c:v>45301</c:v>
                </c:pt>
                <c:pt idx="162">
                  <c:v>45302</c:v>
                </c:pt>
                <c:pt idx="163">
                  <c:v>45303</c:v>
                </c:pt>
                <c:pt idx="164">
                  <c:v>45304</c:v>
                </c:pt>
                <c:pt idx="165">
                  <c:v>45305</c:v>
                </c:pt>
                <c:pt idx="166">
                  <c:v>45306</c:v>
                </c:pt>
                <c:pt idx="167">
                  <c:v>45307</c:v>
                </c:pt>
                <c:pt idx="168">
                  <c:v>45308</c:v>
                </c:pt>
                <c:pt idx="169">
                  <c:v>45309</c:v>
                </c:pt>
                <c:pt idx="170">
                  <c:v>45310</c:v>
                </c:pt>
                <c:pt idx="171">
                  <c:v>45312</c:v>
                </c:pt>
                <c:pt idx="172">
                  <c:v>45313</c:v>
                </c:pt>
                <c:pt idx="173">
                  <c:v>45314</c:v>
                </c:pt>
                <c:pt idx="174">
                  <c:v>45315</c:v>
                </c:pt>
                <c:pt idx="175">
                  <c:v>45316</c:v>
                </c:pt>
                <c:pt idx="176">
                  <c:v>45317</c:v>
                </c:pt>
                <c:pt idx="177">
                  <c:v>45318</c:v>
                </c:pt>
                <c:pt idx="178">
                  <c:v>45319</c:v>
                </c:pt>
                <c:pt idx="179">
                  <c:v>45320</c:v>
                </c:pt>
                <c:pt idx="180">
                  <c:v>45321</c:v>
                </c:pt>
                <c:pt idx="181">
                  <c:v>45322</c:v>
                </c:pt>
                <c:pt idx="182">
                  <c:v>45323</c:v>
                </c:pt>
                <c:pt idx="183">
                  <c:v>45324</c:v>
                </c:pt>
                <c:pt idx="184">
                  <c:v>45325</c:v>
                </c:pt>
                <c:pt idx="185">
                  <c:v>45326</c:v>
                </c:pt>
                <c:pt idx="186">
                  <c:v>45327</c:v>
                </c:pt>
                <c:pt idx="187">
                  <c:v>45328</c:v>
                </c:pt>
                <c:pt idx="188">
                  <c:v>45329</c:v>
                </c:pt>
                <c:pt idx="189">
                  <c:v>45330</c:v>
                </c:pt>
                <c:pt idx="190">
                  <c:v>45331</c:v>
                </c:pt>
                <c:pt idx="191">
                  <c:v>45332</c:v>
                </c:pt>
                <c:pt idx="192">
                  <c:v>45333</c:v>
                </c:pt>
                <c:pt idx="193">
                  <c:v>45334</c:v>
                </c:pt>
                <c:pt idx="194">
                  <c:v>45335</c:v>
                </c:pt>
                <c:pt idx="195">
                  <c:v>45336</c:v>
                </c:pt>
                <c:pt idx="196">
                  <c:v>45339</c:v>
                </c:pt>
                <c:pt idx="197">
                  <c:v>45340</c:v>
                </c:pt>
                <c:pt idx="198">
                  <c:v>45341</c:v>
                </c:pt>
                <c:pt idx="199">
                  <c:v>45342</c:v>
                </c:pt>
                <c:pt idx="200">
                  <c:v>45343</c:v>
                </c:pt>
                <c:pt idx="201">
                  <c:v>45344</c:v>
                </c:pt>
                <c:pt idx="202">
                  <c:v>45345</c:v>
                </c:pt>
                <c:pt idx="203">
                  <c:v>45346</c:v>
                </c:pt>
                <c:pt idx="204">
                  <c:v>45347</c:v>
                </c:pt>
                <c:pt idx="205">
                  <c:v>45348</c:v>
                </c:pt>
                <c:pt idx="206">
                  <c:v>45349</c:v>
                </c:pt>
                <c:pt idx="207">
                  <c:v>45350</c:v>
                </c:pt>
                <c:pt idx="208">
                  <c:v>45351</c:v>
                </c:pt>
                <c:pt idx="209">
                  <c:v>45352</c:v>
                </c:pt>
                <c:pt idx="210">
                  <c:v>45353</c:v>
                </c:pt>
                <c:pt idx="211">
                  <c:v>45354</c:v>
                </c:pt>
                <c:pt idx="212">
                  <c:v>45355</c:v>
                </c:pt>
                <c:pt idx="213">
                  <c:v>45356</c:v>
                </c:pt>
                <c:pt idx="214">
                  <c:v>45357</c:v>
                </c:pt>
                <c:pt idx="215">
                  <c:v>45358</c:v>
                </c:pt>
                <c:pt idx="216">
                  <c:v>45359</c:v>
                </c:pt>
                <c:pt idx="217">
                  <c:v>45360</c:v>
                </c:pt>
                <c:pt idx="218">
                  <c:v>45361</c:v>
                </c:pt>
                <c:pt idx="219">
                  <c:v>45362</c:v>
                </c:pt>
                <c:pt idx="220">
                  <c:v>45366</c:v>
                </c:pt>
                <c:pt idx="221">
                  <c:v>45367</c:v>
                </c:pt>
                <c:pt idx="222">
                  <c:v>45368</c:v>
                </c:pt>
                <c:pt idx="223">
                  <c:v>45369</c:v>
                </c:pt>
                <c:pt idx="224">
                  <c:v>45370</c:v>
                </c:pt>
                <c:pt idx="225">
                  <c:v>45371</c:v>
                </c:pt>
                <c:pt idx="226">
                  <c:v>45372</c:v>
                </c:pt>
                <c:pt idx="227">
                  <c:v>45373</c:v>
                </c:pt>
                <c:pt idx="228">
                  <c:v>45374</c:v>
                </c:pt>
                <c:pt idx="229">
                  <c:v>45381</c:v>
                </c:pt>
                <c:pt idx="230">
                  <c:v>45383</c:v>
                </c:pt>
                <c:pt idx="231">
                  <c:v>45384</c:v>
                </c:pt>
                <c:pt idx="232">
                  <c:v>45385</c:v>
                </c:pt>
                <c:pt idx="233">
                  <c:v>45386</c:v>
                </c:pt>
                <c:pt idx="234">
                  <c:v>45387</c:v>
                </c:pt>
                <c:pt idx="235">
                  <c:v>45388</c:v>
                </c:pt>
                <c:pt idx="236">
                  <c:v>45389</c:v>
                </c:pt>
                <c:pt idx="237">
                  <c:v>45392</c:v>
                </c:pt>
                <c:pt idx="238">
                  <c:v>45393</c:v>
                </c:pt>
                <c:pt idx="239">
                  <c:v>45394</c:v>
                </c:pt>
                <c:pt idx="240">
                  <c:v>45395</c:v>
                </c:pt>
                <c:pt idx="241">
                  <c:v>45396</c:v>
                </c:pt>
                <c:pt idx="242">
                  <c:v>45397</c:v>
                </c:pt>
                <c:pt idx="243">
                  <c:v>45398</c:v>
                </c:pt>
                <c:pt idx="244">
                  <c:v>45399</c:v>
                </c:pt>
                <c:pt idx="245">
                  <c:v>45400</c:v>
                </c:pt>
                <c:pt idx="246">
                  <c:v>45401</c:v>
                </c:pt>
                <c:pt idx="247">
                  <c:v>45402</c:v>
                </c:pt>
                <c:pt idx="248">
                  <c:v>45404</c:v>
                </c:pt>
                <c:pt idx="249">
                  <c:v>45405</c:v>
                </c:pt>
                <c:pt idx="250">
                  <c:v>45406</c:v>
                </c:pt>
                <c:pt idx="251">
                  <c:v>45407</c:v>
                </c:pt>
                <c:pt idx="252">
                  <c:v>45408</c:v>
                </c:pt>
                <c:pt idx="253">
                  <c:v>45409</c:v>
                </c:pt>
                <c:pt idx="254">
                  <c:v>45410</c:v>
                </c:pt>
                <c:pt idx="255">
                  <c:v>45411</c:v>
                </c:pt>
                <c:pt idx="256">
                  <c:v>45412</c:v>
                </c:pt>
                <c:pt idx="257">
                  <c:v>45413</c:v>
                </c:pt>
                <c:pt idx="258">
                  <c:v>45414</c:v>
                </c:pt>
                <c:pt idx="259">
                  <c:v>45415</c:v>
                </c:pt>
                <c:pt idx="260">
                  <c:v>45416</c:v>
                </c:pt>
                <c:pt idx="261">
                  <c:v>45417</c:v>
                </c:pt>
                <c:pt idx="262">
                  <c:v>45418</c:v>
                </c:pt>
                <c:pt idx="263">
                  <c:v>45419</c:v>
                </c:pt>
                <c:pt idx="264">
                  <c:v>45420</c:v>
                </c:pt>
                <c:pt idx="265">
                  <c:v>45421</c:v>
                </c:pt>
                <c:pt idx="266">
                  <c:v>45422</c:v>
                </c:pt>
                <c:pt idx="267">
                  <c:v>45423</c:v>
                </c:pt>
                <c:pt idx="268">
                  <c:v>45424</c:v>
                </c:pt>
                <c:pt idx="269">
                  <c:v>45425</c:v>
                </c:pt>
                <c:pt idx="270">
                  <c:v>45426</c:v>
                </c:pt>
                <c:pt idx="271">
                  <c:v>45427</c:v>
                </c:pt>
                <c:pt idx="272">
                  <c:v>45428</c:v>
                </c:pt>
                <c:pt idx="273">
                  <c:v>45429</c:v>
                </c:pt>
                <c:pt idx="274">
                  <c:v>45431</c:v>
                </c:pt>
                <c:pt idx="275">
                  <c:v>45432</c:v>
                </c:pt>
                <c:pt idx="276">
                  <c:v>45433</c:v>
                </c:pt>
                <c:pt idx="277">
                  <c:v>45434</c:v>
                </c:pt>
                <c:pt idx="278">
                  <c:v>45437</c:v>
                </c:pt>
                <c:pt idx="279">
                  <c:v>45438</c:v>
                </c:pt>
                <c:pt idx="280">
                  <c:v>45439</c:v>
                </c:pt>
                <c:pt idx="281">
                  <c:v>45440</c:v>
                </c:pt>
                <c:pt idx="282">
                  <c:v>45441</c:v>
                </c:pt>
                <c:pt idx="283">
                  <c:v>45442</c:v>
                </c:pt>
                <c:pt idx="284">
                  <c:v>45443</c:v>
                </c:pt>
                <c:pt idx="285">
                  <c:v>45444</c:v>
                </c:pt>
                <c:pt idx="286">
                  <c:v>45445</c:v>
                </c:pt>
                <c:pt idx="287">
                  <c:v>45446</c:v>
                </c:pt>
                <c:pt idx="288">
                  <c:v>45447</c:v>
                </c:pt>
                <c:pt idx="289">
                  <c:v>45448</c:v>
                </c:pt>
                <c:pt idx="290">
                  <c:v>45449</c:v>
                </c:pt>
                <c:pt idx="291">
                  <c:v>45450</c:v>
                </c:pt>
                <c:pt idx="292">
                  <c:v>45451</c:v>
                </c:pt>
                <c:pt idx="293">
                  <c:v>45452</c:v>
                </c:pt>
                <c:pt idx="294">
                  <c:v>45453</c:v>
                </c:pt>
                <c:pt idx="295">
                  <c:v>45454</c:v>
                </c:pt>
                <c:pt idx="296">
                  <c:v>45455</c:v>
                </c:pt>
                <c:pt idx="297">
                  <c:v>45456</c:v>
                </c:pt>
                <c:pt idx="298">
                  <c:v>45457</c:v>
                </c:pt>
                <c:pt idx="299">
                  <c:v>45458</c:v>
                </c:pt>
                <c:pt idx="300">
                  <c:v>45459</c:v>
                </c:pt>
                <c:pt idx="301">
                  <c:v>45460</c:v>
                </c:pt>
                <c:pt idx="302">
                  <c:v>45461</c:v>
                </c:pt>
                <c:pt idx="303">
                  <c:v>45462</c:v>
                </c:pt>
                <c:pt idx="304">
                  <c:v>45463</c:v>
                </c:pt>
                <c:pt idx="305">
                  <c:v>45464</c:v>
                </c:pt>
                <c:pt idx="306">
                  <c:v>45469</c:v>
                </c:pt>
                <c:pt idx="307">
                  <c:v>45470</c:v>
                </c:pt>
                <c:pt idx="308">
                  <c:v>45471</c:v>
                </c:pt>
                <c:pt idx="309">
                  <c:v>45472</c:v>
                </c:pt>
                <c:pt idx="310">
                  <c:v>45473</c:v>
                </c:pt>
                <c:pt idx="311">
                  <c:v>45474</c:v>
                </c:pt>
                <c:pt idx="312">
                  <c:v>45475</c:v>
                </c:pt>
                <c:pt idx="313">
                  <c:v>45478</c:v>
                </c:pt>
                <c:pt idx="314">
                  <c:v>45479</c:v>
                </c:pt>
                <c:pt idx="315">
                  <c:v>45480</c:v>
                </c:pt>
                <c:pt idx="316">
                  <c:v>45481</c:v>
                </c:pt>
                <c:pt idx="317">
                  <c:v>45482</c:v>
                </c:pt>
                <c:pt idx="318">
                  <c:v>45483</c:v>
                </c:pt>
                <c:pt idx="319">
                  <c:v>45487</c:v>
                </c:pt>
                <c:pt idx="320">
                  <c:v>45488</c:v>
                </c:pt>
                <c:pt idx="321">
                  <c:v>45504</c:v>
                </c:pt>
                <c:pt idx="322">
                  <c:v>45505</c:v>
                </c:pt>
                <c:pt idx="323">
                  <c:v>45506</c:v>
                </c:pt>
                <c:pt idx="324">
                  <c:v>45507</c:v>
                </c:pt>
                <c:pt idx="325">
                  <c:v>45508</c:v>
                </c:pt>
                <c:pt idx="326">
                  <c:v>45509</c:v>
                </c:pt>
                <c:pt idx="327">
                  <c:v>45510</c:v>
                </c:pt>
                <c:pt idx="328">
                  <c:v>45511</c:v>
                </c:pt>
                <c:pt idx="329">
                  <c:v>45512</c:v>
                </c:pt>
                <c:pt idx="330">
                  <c:v>45513</c:v>
                </c:pt>
                <c:pt idx="331">
                  <c:v>45514</c:v>
                </c:pt>
                <c:pt idx="332">
                  <c:v>45515</c:v>
                </c:pt>
                <c:pt idx="333">
                  <c:v>45516</c:v>
                </c:pt>
                <c:pt idx="334">
                  <c:v>45517</c:v>
                </c:pt>
                <c:pt idx="335">
                  <c:v>45518</c:v>
                </c:pt>
                <c:pt idx="336">
                  <c:v>45519</c:v>
                </c:pt>
                <c:pt idx="337">
                  <c:v>45524</c:v>
                </c:pt>
                <c:pt idx="338">
                  <c:v>45525</c:v>
                </c:pt>
                <c:pt idx="339">
                  <c:v>45526</c:v>
                </c:pt>
                <c:pt idx="340">
                  <c:v>45527</c:v>
                </c:pt>
                <c:pt idx="341">
                  <c:v>45528</c:v>
                </c:pt>
                <c:pt idx="342">
                  <c:v>45529</c:v>
                </c:pt>
                <c:pt idx="343">
                  <c:v>45536</c:v>
                </c:pt>
                <c:pt idx="344">
                  <c:v>45537</c:v>
                </c:pt>
                <c:pt idx="345">
                  <c:v>45538</c:v>
                </c:pt>
                <c:pt idx="346">
                  <c:v>45539</c:v>
                </c:pt>
                <c:pt idx="347">
                  <c:v>45540</c:v>
                </c:pt>
                <c:pt idx="348">
                  <c:v>45541</c:v>
                </c:pt>
                <c:pt idx="349">
                  <c:v>45542</c:v>
                </c:pt>
                <c:pt idx="350">
                  <c:v>45543</c:v>
                </c:pt>
                <c:pt idx="351">
                  <c:v>45544</c:v>
                </c:pt>
                <c:pt idx="352">
                  <c:v>45545</c:v>
                </c:pt>
                <c:pt idx="353">
                  <c:v>45546</c:v>
                </c:pt>
                <c:pt idx="354">
                  <c:v>45547</c:v>
                </c:pt>
                <c:pt idx="355">
                  <c:v>45548</c:v>
                </c:pt>
                <c:pt idx="356">
                  <c:v>45549</c:v>
                </c:pt>
                <c:pt idx="357">
                  <c:v>45550</c:v>
                </c:pt>
                <c:pt idx="358">
                  <c:v>45553</c:v>
                </c:pt>
                <c:pt idx="359">
                  <c:v>45554</c:v>
                </c:pt>
                <c:pt idx="360">
                  <c:v>45557</c:v>
                </c:pt>
                <c:pt idx="361">
                  <c:v>45558</c:v>
                </c:pt>
                <c:pt idx="362">
                  <c:v>45559</c:v>
                </c:pt>
                <c:pt idx="363">
                  <c:v>45560</c:v>
                </c:pt>
                <c:pt idx="364">
                  <c:v>45561</c:v>
                </c:pt>
                <c:pt idx="365">
                  <c:v>45562</c:v>
                </c:pt>
                <c:pt idx="366">
                  <c:v>45563</c:v>
                </c:pt>
                <c:pt idx="367">
                  <c:v>45564</c:v>
                </c:pt>
                <c:pt idx="368">
                  <c:v>45565</c:v>
                </c:pt>
                <c:pt idx="369">
                  <c:v>45566</c:v>
                </c:pt>
                <c:pt idx="370">
                  <c:v>45567</c:v>
                </c:pt>
                <c:pt idx="371">
                  <c:v>45568</c:v>
                </c:pt>
                <c:pt idx="372">
                  <c:v>45569</c:v>
                </c:pt>
                <c:pt idx="373">
                  <c:v>45570</c:v>
                </c:pt>
                <c:pt idx="374">
                  <c:v>45571</c:v>
                </c:pt>
                <c:pt idx="375">
                  <c:v>45572</c:v>
                </c:pt>
                <c:pt idx="376">
                  <c:v>45573</c:v>
                </c:pt>
                <c:pt idx="377">
                  <c:v>45574</c:v>
                </c:pt>
                <c:pt idx="378">
                  <c:v>45575</c:v>
                </c:pt>
                <c:pt idx="379">
                  <c:v>45576</c:v>
                </c:pt>
                <c:pt idx="380">
                  <c:v>45579</c:v>
                </c:pt>
                <c:pt idx="381">
                  <c:v>45580</c:v>
                </c:pt>
                <c:pt idx="382">
                  <c:v>45581</c:v>
                </c:pt>
                <c:pt idx="383">
                  <c:v>45582</c:v>
                </c:pt>
                <c:pt idx="384">
                  <c:v>45583</c:v>
                </c:pt>
                <c:pt idx="385">
                  <c:v>45584</c:v>
                </c:pt>
                <c:pt idx="386">
                  <c:v>45585</c:v>
                </c:pt>
                <c:pt idx="387">
                  <c:v>45591</c:v>
                </c:pt>
                <c:pt idx="388">
                  <c:v>45592</c:v>
                </c:pt>
                <c:pt idx="389">
                  <c:v>45593</c:v>
                </c:pt>
                <c:pt idx="390">
                  <c:v>45594</c:v>
                </c:pt>
                <c:pt idx="391">
                  <c:v>45595</c:v>
                </c:pt>
                <c:pt idx="392">
                  <c:v>45596</c:v>
                </c:pt>
                <c:pt idx="393">
                  <c:v>45597</c:v>
                </c:pt>
                <c:pt idx="394">
                  <c:v>45598</c:v>
                </c:pt>
                <c:pt idx="395">
                  <c:v>45599</c:v>
                </c:pt>
                <c:pt idx="396">
                  <c:v>45600</c:v>
                </c:pt>
                <c:pt idx="397">
                  <c:v>45601</c:v>
                </c:pt>
                <c:pt idx="398">
                  <c:v>45602</c:v>
                </c:pt>
                <c:pt idx="399">
                  <c:v>45604</c:v>
                </c:pt>
                <c:pt idx="400">
                  <c:v>45605</c:v>
                </c:pt>
                <c:pt idx="401">
                  <c:v>45606</c:v>
                </c:pt>
                <c:pt idx="402">
                  <c:v>45607</c:v>
                </c:pt>
                <c:pt idx="403">
                  <c:v>45608</c:v>
                </c:pt>
                <c:pt idx="404">
                  <c:v>45609</c:v>
                </c:pt>
                <c:pt idx="405">
                  <c:v>45610</c:v>
                </c:pt>
                <c:pt idx="406">
                  <c:v>45611</c:v>
                </c:pt>
                <c:pt idx="407">
                  <c:v>45612</c:v>
                </c:pt>
                <c:pt idx="408">
                  <c:v>45618</c:v>
                </c:pt>
                <c:pt idx="409">
                  <c:v>45619</c:v>
                </c:pt>
                <c:pt idx="410">
                  <c:v>45620</c:v>
                </c:pt>
                <c:pt idx="411">
                  <c:v>45626</c:v>
                </c:pt>
                <c:pt idx="412">
                  <c:v>45627</c:v>
                </c:pt>
                <c:pt idx="413">
                  <c:v>45628</c:v>
                </c:pt>
                <c:pt idx="414">
                  <c:v>45629</c:v>
                </c:pt>
                <c:pt idx="415">
                  <c:v>45630</c:v>
                </c:pt>
                <c:pt idx="416">
                  <c:v>45635</c:v>
                </c:pt>
                <c:pt idx="417">
                  <c:v>45639</c:v>
                </c:pt>
                <c:pt idx="418">
                  <c:v>45640</c:v>
                </c:pt>
                <c:pt idx="419">
                  <c:v>45641</c:v>
                </c:pt>
                <c:pt idx="420">
                  <c:v>45642</c:v>
                </c:pt>
                <c:pt idx="421">
                  <c:v>45643</c:v>
                </c:pt>
                <c:pt idx="422">
                  <c:v>45644</c:v>
                </c:pt>
                <c:pt idx="423">
                  <c:v>45645</c:v>
                </c:pt>
                <c:pt idx="424">
                  <c:v>45646</c:v>
                </c:pt>
                <c:pt idx="425">
                  <c:v>45647</c:v>
                </c:pt>
                <c:pt idx="426">
                  <c:v>45648</c:v>
                </c:pt>
                <c:pt idx="427">
                  <c:v>45649</c:v>
                </c:pt>
                <c:pt idx="428">
                  <c:v>45650</c:v>
                </c:pt>
                <c:pt idx="429">
                  <c:v>45651</c:v>
                </c:pt>
                <c:pt idx="430">
                  <c:v>45657</c:v>
                </c:pt>
                <c:pt idx="431">
                  <c:v>45658</c:v>
                </c:pt>
                <c:pt idx="432">
                  <c:v>45659</c:v>
                </c:pt>
                <c:pt idx="433">
                  <c:v>45660</c:v>
                </c:pt>
                <c:pt idx="434">
                  <c:v>45661</c:v>
                </c:pt>
                <c:pt idx="435">
                  <c:v>45662</c:v>
                </c:pt>
                <c:pt idx="436">
                  <c:v>45664</c:v>
                </c:pt>
                <c:pt idx="437">
                  <c:v>45665</c:v>
                </c:pt>
                <c:pt idx="438">
                  <c:v>45666</c:v>
                </c:pt>
                <c:pt idx="439">
                  <c:v>45667</c:v>
                </c:pt>
                <c:pt idx="440">
                  <c:v>45668</c:v>
                </c:pt>
                <c:pt idx="441">
                  <c:v>45669</c:v>
                </c:pt>
                <c:pt idx="442">
                  <c:v>45670</c:v>
                </c:pt>
                <c:pt idx="443">
                  <c:v>45671</c:v>
                </c:pt>
                <c:pt idx="444">
                  <c:v>45672</c:v>
                </c:pt>
                <c:pt idx="445">
                  <c:v>45673</c:v>
                </c:pt>
                <c:pt idx="446">
                  <c:v>45674</c:v>
                </c:pt>
                <c:pt idx="447">
                  <c:v>45675</c:v>
                </c:pt>
                <c:pt idx="448">
                  <c:v>45676</c:v>
                </c:pt>
                <c:pt idx="449">
                  <c:v>45677</c:v>
                </c:pt>
                <c:pt idx="450">
                  <c:v>45678</c:v>
                </c:pt>
                <c:pt idx="451">
                  <c:v>45679</c:v>
                </c:pt>
                <c:pt idx="452">
                  <c:v>45680</c:v>
                </c:pt>
                <c:pt idx="453">
                  <c:v>45681</c:v>
                </c:pt>
                <c:pt idx="454">
                  <c:v>45682</c:v>
                </c:pt>
                <c:pt idx="455">
                  <c:v>45683</c:v>
                </c:pt>
                <c:pt idx="456">
                  <c:v>45684</c:v>
                </c:pt>
                <c:pt idx="457">
                  <c:v>45685</c:v>
                </c:pt>
                <c:pt idx="458">
                  <c:v>45686</c:v>
                </c:pt>
                <c:pt idx="459">
                  <c:v>45687</c:v>
                </c:pt>
                <c:pt idx="460">
                  <c:v>45688</c:v>
                </c:pt>
                <c:pt idx="461">
                  <c:v>45689</c:v>
                </c:pt>
                <c:pt idx="462">
                  <c:v>45690</c:v>
                </c:pt>
                <c:pt idx="463">
                  <c:v>45691</c:v>
                </c:pt>
                <c:pt idx="464">
                  <c:v>45696</c:v>
                </c:pt>
                <c:pt idx="465">
                  <c:v>45697</c:v>
                </c:pt>
                <c:pt idx="466">
                  <c:v>45698</c:v>
                </c:pt>
                <c:pt idx="467">
                  <c:v>45699</c:v>
                </c:pt>
                <c:pt idx="468">
                  <c:v>45700</c:v>
                </c:pt>
                <c:pt idx="469">
                  <c:v>45701</c:v>
                </c:pt>
                <c:pt idx="470">
                  <c:v>45702</c:v>
                </c:pt>
                <c:pt idx="471">
                  <c:v>45703</c:v>
                </c:pt>
                <c:pt idx="472">
                  <c:v>45704</c:v>
                </c:pt>
                <c:pt idx="473">
                  <c:v>45705</c:v>
                </c:pt>
                <c:pt idx="474">
                  <c:v>45706</c:v>
                </c:pt>
                <c:pt idx="475">
                  <c:v>45707</c:v>
                </c:pt>
                <c:pt idx="476">
                  <c:v>45715</c:v>
                </c:pt>
                <c:pt idx="477">
                  <c:v>45716</c:v>
                </c:pt>
                <c:pt idx="478">
                  <c:v>45717</c:v>
                </c:pt>
                <c:pt idx="479">
                  <c:v>45718</c:v>
                </c:pt>
                <c:pt idx="480">
                  <c:v>45719</c:v>
                </c:pt>
                <c:pt idx="481">
                  <c:v>45720</c:v>
                </c:pt>
                <c:pt idx="482">
                  <c:v>45723</c:v>
                </c:pt>
                <c:pt idx="483">
                  <c:v>45724</c:v>
                </c:pt>
                <c:pt idx="484">
                  <c:v>45725</c:v>
                </c:pt>
                <c:pt idx="485">
                  <c:v>45726</c:v>
                </c:pt>
                <c:pt idx="486">
                  <c:v>45727</c:v>
                </c:pt>
                <c:pt idx="487">
                  <c:v>45729</c:v>
                </c:pt>
                <c:pt idx="488">
                  <c:v>45730</c:v>
                </c:pt>
                <c:pt idx="489">
                  <c:v>45731</c:v>
                </c:pt>
                <c:pt idx="490">
                  <c:v>45732</c:v>
                </c:pt>
                <c:pt idx="491">
                  <c:v>45733</c:v>
                </c:pt>
                <c:pt idx="492">
                  <c:v>45734</c:v>
                </c:pt>
                <c:pt idx="493">
                  <c:v>45735</c:v>
                </c:pt>
                <c:pt idx="494">
                  <c:v>45738</c:v>
                </c:pt>
                <c:pt idx="495">
                  <c:v>45739</c:v>
                </c:pt>
                <c:pt idx="496">
                  <c:v>45740</c:v>
                </c:pt>
                <c:pt idx="497">
                  <c:v>45741</c:v>
                </c:pt>
                <c:pt idx="498">
                  <c:v>45742</c:v>
                </c:pt>
                <c:pt idx="499">
                  <c:v>45743</c:v>
                </c:pt>
                <c:pt idx="500">
                  <c:v>45744</c:v>
                </c:pt>
                <c:pt idx="501">
                  <c:v>45745</c:v>
                </c:pt>
                <c:pt idx="502">
                  <c:v>45746</c:v>
                </c:pt>
                <c:pt idx="503">
                  <c:v>45747</c:v>
                </c:pt>
                <c:pt idx="504">
                  <c:v>45748</c:v>
                </c:pt>
                <c:pt idx="505">
                  <c:v>45749</c:v>
                </c:pt>
                <c:pt idx="506">
                  <c:v>45750</c:v>
                </c:pt>
                <c:pt idx="507">
                  <c:v>45751</c:v>
                </c:pt>
                <c:pt idx="508">
                  <c:v>45752</c:v>
                </c:pt>
                <c:pt idx="509">
                  <c:v>45753</c:v>
                </c:pt>
                <c:pt idx="510">
                  <c:v>45754</c:v>
                </c:pt>
                <c:pt idx="511">
                  <c:v>45755</c:v>
                </c:pt>
                <c:pt idx="512">
                  <c:v>45758</c:v>
                </c:pt>
                <c:pt idx="513">
                  <c:v>45759</c:v>
                </c:pt>
                <c:pt idx="514">
                  <c:v>45767</c:v>
                </c:pt>
                <c:pt idx="515">
                  <c:v>45768</c:v>
                </c:pt>
                <c:pt idx="516">
                  <c:v>45769</c:v>
                </c:pt>
                <c:pt idx="517">
                  <c:v>45770</c:v>
                </c:pt>
                <c:pt idx="518">
                  <c:v>45771</c:v>
                </c:pt>
                <c:pt idx="519">
                  <c:v>45772</c:v>
                </c:pt>
                <c:pt idx="520">
                  <c:v>45773</c:v>
                </c:pt>
                <c:pt idx="521">
                  <c:v>45774</c:v>
                </c:pt>
                <c:pt idx="522">
                  <c:v>45775</c:v>
                </c:pt>
                <c:pt idx="523">
                  <c:v>45778</c:v>
                </c:pt>
                <c:pt idx="524">
                  <c:v>45779</c:v>
                </c:pt>
                <c:pt idx="525">
                  <c:v>45782</c:v>
                </c:pt>
                <c:pt idx="526">
                  <c:v>45788</c:v>
                </c:pt>
                <c:pt idx="527">
                  <c:v>45789</c:v>
                </c:pt>
                <c:pt idx="528">
                  <c:v>45790</c:v>
                </c:pt>
                <c:pt idx="529">
                  <c:v>45791</c:v>
                </c:pt>
                <c:pt idx="530">
                  <c:v>45792</c:v>
                </c:pt>
                <c:pt idx="531">
                  <c:v>45793</c:v>
                </c:pt>
                <c:pt idx="532">
                  <c:v>45794</c:v>
                </c:pt>
                <c:pt idx="533">
                  <c:v>45798</c:v>
                </c:pt>
                <c:pt idx="534">
                  <c:v>45799</c:v>
                </c:pt>
                <c:pt idx="535">
                  <c:v>45800</c:v>
                </c:pt>
                <c:pt idx="536">
                  <c:v>45801</c:v>
                </c:pt>
                <c:pt idx="537">
                  <c:v>45802</c:v>
                </c:pt>
                <c:pt idx="538">
                  <c:v>45803</c:v>
                </c:pt>
                <c:pt idx="539">
                  <c:v>45809</c:v>
                </c:pt>
                <c:pt idx="540">
                  <c:v>45810</c:v>
                </c:pt>
                <c:pt idx="541">
                  <c:v>45811</c:v>
                </c:pt>
                <c:pt idx="542">
                  <c:v>45812</c:v>
                </c:pt>
                <c:pt idx="543">
                  <c:v>45813</c:v>
                </c:pt>
                <c:pt idx="544">
                  <c:v>45814</c:v>
                </c:pt>
                <c:pt idx="545">
                  <c:v>45815</c:v>
                </c:pt>
                <c:pt idx="546">
                  <c:v>45816</c:v>
                </c:pt>
                <c:pt idx="547">
                  <c:v>45821</c:v>
                </c:pt>
                <c:pt idx="548">
                  <c:v>45822</c:v>
                </c:pt>
                <c:pt idx="549">
                  <c:v>45823</c:v>
                </c:pt>
                <c:pt idx="550">
                  <c:v>45824</c:v>
                </c:pt>
                <c:pt idx="551">
                  <c:v>45825</c:v>
                </c:pt>
                <c:pt idx="552">
                  <c:v>45826</c:v>
                </c:pt>
                <c:pt idx="553">
                  <c:v>45827</c:v>
                </c:pt>
                <c:pt idx="554">
                  <c:v>45828</c:v>
                </c:pt>
                <c:pt idx="555">
                  <c:v>45829</c:v>
                </c:pt>
                <c:pt idx="556">
                  <c:v>45830</c:v>
                </c:pt>
                <c:pt idx="557">
                  <c:v>45831</c:v>
                </c:pt>
                <c:pt idx="558">
                  <c:v>45832</c:v>
                </c:pt>
                <c:pt idx="559">
                  <c:v>45833</c:v>
                </c:pt>
                <c:pt idx="560">
                  <c:v>45834</c:v>
                </c:pt>
                <c:pt idx="561">
                  <c:v>45835</c:v>
                </c:pt>
                <c:pt idx="562">
                  <c:v>45836</c:v>
                </c:pt>
                <c:pt idx="563">
                  <c:v>45837</c:v>
                </c:pt>
                <c:pt idx="564">
                  <c:v>45838</c:v>
                </c:pt>
                <c:pt idx="565">
                  <c:v>45839</c:v>
                </c:pt>
                <c:pt idx="566">
                  <c:v>45840</c:v>
                </c:pt>
                <c:pt idx="567">
                  <c:v>45841</c:v>
                </c:pt>
                <c:pt idx="568">
                  <c:v>45842</c:v>
                </c:pt>
                <c:pt idx="569">
                  <c:v>45843</c:v>
                </c:pt>
                <c:pt idx="570">
                  <c:v>45844</c:v>
                </c:pt>
                <c:pt idx="571">
                  <c:v>45845</c:v>
                </c:pt>
                <c:pt idx="572">
                  <c:v>45846</c:v>
                </c:pt>
                <c:pt idx="573">
                  <c:v>45847</c:v>
                </c:pt>
                <c:pt idx="574">
                  <c:v>45848</c:v>
                </c:pt>
                <c:pt idx="575">
                  <c:v>45849</c:v>
                </c:pt>
                <c:pt idx="576">
                  <c:v>45850</c:v>
                </c:pt>
                <c:pt idx="577">
                  <c:v>45851</c:v>
                </c:pt>
                <c:pt idx="578">
                  <c:v>45852</c:v>
                </c:pt>
                <c:pt idx="579">
                  <c:v>45854</c:v>
                </c:pt>
                <c:pt idx="580">
                  <c:v>45855</c:v>
                </c:pt>
                <c:pt idx="581">
                  <c:v>45856</c:v>
                </c:pt>
                <c:pt idx="582">
                  <c:v>45857</c:v>
                </c:pt>
                <c:pt idx="583">
                  <c:v>45858</c:v>
                </c:pt>
                <c:pt idx="584">
                  <c:v>45862</c:v>
                </c:pt>
                <c:pt idx="585">
                  <c:v>45863</c:v>
                </c:pt>
                <c:pt idx="586">
                  <c:v>45864</c:v>
                </c:pt>
                <c:pt idx="587">
                  <c:v>45871</c:v>
                </c:pt>
                <c:pt idx="588">
                  <c:v>45872</c:v>
                </c:pt>
                <c:pt idx="589">
                  <c:v>45873</c:v>
                </c:pt>
                <c:pt idx="590">
                  <c:v>45880</c:v>
                </c:pt>
                <c:pt idx="591">
                  <c:v>45881</c:v>
                </c:pt>
                <c:pt idx="592">
                  <c:v>45882</c:v>
                </c:pt>
                <c:pt idx="593">
                  <c:v>45886</c:v>
                </c:pt>
                <c:pt idx="594">
                  <c:v>45887</c:v>
                </c:pt>
                <c:pt idx="595">
                  <c:v>45888</c:v>
                </c:pt>
                <c:pt idx="596">
                  <c:v>45889</c:v>
                </c:pt>
                <c:pt idx="597">
                  <c:v>45890</c:v>
                </c:pt>
                <c:pt idx="598">
                  <c:v>45891</c:v>
                </c:pt>
                <c:pt idx="599">
                  <c:v>45894</c:v>
                </c:pt>
                <c:pt idx="600">
                  <c:v>45895</c:v>
                </c:pt>
                <c:pt idx="601">
                  <c:v>45896</c:v>
                </c:pt>
                <c:pt idx="602">
                  <c:v>45897</c:v>
                </c:pt>
                <c:pt idx="603">
                  <c:v>45898</c:v>
                </c:pt>
                <c:pt idx="604">
                  <c:v>45899</c:v>
                </c:pt>
                <c:pt idx="605">
                  <c:v>45900</c:v>
                </c:pt>
                <c:pt idx="606">
                  <c:v>45901</c:v>
                </c:pt>
                <c:pt idx="607">
                  <c:v>45902</c:v>
                </c:pt>
                <c:pt idx="608">
                  <c:v>45903</c:v>
                </c:pt>
                <c:pt idx="609">
                  <c:v>45904</c:v>
                </c:pt>
                <c:pt idx="610">
                  <c:v>45905</c:v>
                </c:pt>
                <c:pt idx="611">
                  <c:v>45906</c:v>
                </c:pt>
                <c:pt idx="612">
                  <c:v>45907</c:v>
                </c:pt>
                <c:pt idx="613">
                  <c:v>45908</c:v>
                </c:pt>
                <c:pt idx="614">
                  <c:v>45909</c:v>
                </c:pt>
                <c:pt idx="615">
                  <c:v>45911</c:v>
                </c:pt>
                <c:pt idx="616">
                  <c:v>45912</c:v>
                </c:pt>
                <c:pt idx="617">
                  <c:v>45913</c:v>
                </c:pt>
                <c:pt idx="618">
                  <c:v>45914</c:v>
                </c:pt>
                <c:pt idx="619">
                  <c:v>45917</c:v>
                </c:pt>
                <c:pt idx="620">
                  <c:v>45919</c:v>
                </c:pt>
                <c:pt idx="621">
                  <c:v>45920</c:v>
                </c:pt>
                <c:pt idx="622">
                  <c:v>45921</c:v>
                </c:pt>
                <c:pt idx="623">
                  <c:v>45922</c:v>
                </c:pt>
                <c:pt idx="624">
                  <c:v>45923</c:v>
                </c:pt>
                <c:pt idx="625">
                  <c:v>45924</c:v>
                </c:pt>
                <c:pt idx="626">
                  <c:v>45925</c:v>
                </c:pt>
                <c:pt idx="627">
                  <c:v>45926</c:v>
                </c:pt>
                <c:pt idx="628">
                  <c:v>45927</c:v>
                </c:pt>
                <c:pt idx="629">
                  <c:v>45928</c:v>
                </c:pt>
                <c:pt idx="630">
                  <c:v>45929</c:v>
                </c:pt>
                <c:pt idx="631">
                  <c:v>45930</c:v>
                </c:pt>
                <c:pt idx="632">
                  <c:v>45931</c:v>
                </c:pt>
                <c:pt idx="633">
                  <c:v>45932</c:v>
                </c:pt>
                <c:pt idx="634">
                  <c:v>45933</c:v>
                </c:pt>
                <c:pt idx="635">
                  <c:v>45934</c:v>
                </c:pt>
                <c:pt idx="636">
                  <c:v>45935</c:v>
                </c:pt>
                <c:pt idx="637">
                  <c:v>45936</c:v>
                </c:pt>
                <c:pt idx="638">
                  <c:v>45937</c:v>
                </c:pt>
                <c:pt idx="639">
                  <c:v>45938</c:v>
                </c:pt>
                <c:pt idx="640">
                  <c:v>45939</c:v>
                </c:pt>
                <c:pt idx="641">
                  <c:v>45940</c:v>
                </c:pt>
                <c:pt idx="642">
                  <c:v>45941</c:v>
                </c:pt>
                <c:pt idx="643">
                  <c:v>45942</c:v>
                </c:pt>
                <c:pt idx="644">
                  <c:v>45943</c:v>
                </c:pt>
                <c:pt idx="645">
                  <c:v>45944</c:v>
                </c:pt>
                <c:pt idx="646">
                  <c:v>45945</c:v>
                </c:pt>
                <c:pt idx="647">
                  <c:v>45946</c:v>
                </c:pt>
                <c:pt idx="648">
                  <c:v>45947</c:v>
                </c:pt>
                <c:pt idx="649">
                  <c:v>45948</c:v>
                </c:pt>
                <c:pt idx="650">
                  <c:v>45949</c:v>
                </c:pt>
                <c:pt idx="651">
                  <c:v>45950</c:v>
                </c:pt>
                <c:pt idx="652">
                  <c:v>45951</c:v>
                </c:pt>
                <c:pt idx="653">
                  <c:v>45952</c:v>
                </c:pt>
                <c:pt idx="654">
                  <c:v>45953</c:v>
                </c:pt>
                <c:pt idx="655">
                  <c:v>45954</c:v>
                </c:pt>
                <c:pt idx="656">
                  <c:v>45955</c:v>
                </c:pt>
                <c:pt idx="657">
                  <c:v>45956</c:v>
                </c:pt>
                <c:pt idx="658">
                  <c:v>45957</c:v>
                </c:pt>
                <c:pt idx="659">
                  <c:v>45958</c:v>
                </c:pt>
                <c:pt idx="660">
                  <c:v>45959</c:v>
                </c:pt>
                <c:pt idx="661">
                  <c:v>45960</c:v>
                </c:pt>
                <c:pt idx="662">
                  <c:v>45961</c:v>
                </c:pt>
                <c:pt idx="663">
                  <c:v>45962</c:v>
                </c:pt>
                <c:pt idx="664">
                  <c:v>45963</c:v>
                </c:pt>
                <c:pt idx="665">
                  <c:v>45964</c:v>
                </c:pt>
                <c:pt idx="666">
                  <c:v>45965</c:v>
                </c:pt>
                <c:pt idx="667">
                  <c:v>45966</c:v>
                </c:pt>
                <c:pt idx="668">
                  <c:v>45967</c:v>
                </c:pt>
                <c:pt idx="669">
                  <c:v>45968</c:v>
                </c:pt>
                <c:pt idx="670">
                  <c:v>45969</c:v>
                </c:pt>
                <c:pt idx="671">
                  <c:v>45971</c:v>
                </c:pt>
                <c:pt idx="672">
                  <c:v>45972</c:v>
                </c:pt>
                <c:pt idx="673">
                  <c:v>45973</c:v>
                </c:pt>
                <c:pt idx="674">
                  <c:v>45974</c:v>
                </c:pt>
                <c:pt idx="675">
                  <c:v>45975</c:v>
                </c:pt>
                <c:pt idx="676">
                  <c:v>45976</c:v>
                </c:pt>
                <c:pt idx="677">
                  <c:v>45977</c:v>
                </c:pt>
                <c:pt idx="678">
                  <c:v>45978</c:v>
                </c:pt>
                <c:pt idx="679">
                  <c:v>45983</c:v>
                </c:pt>
                <c:pt idx="680">
                  <c:v>45984</c:v>
                </c:pt>
                <c:pt idx="681">
                  <c:v>45985</c:v>
                </c:pt>
                <c:pt idx="682">
                  <c:v>45986</c:v>
                </c:pt>
                <c:pt idx="683">
                  <c:v>45987</c:v>
                </c:pt>
                <c:pt idx="684">
                  <c:v>45988</c:v>
                </c:pt>
                <c:pt idx="685">
                  <c:v>45989</c:v>
                </c:pt>
                <c:pt idx="686">
                  <c:v>45990</c:v>
                </c:pt>
                <c:pt idx="687">
                  <c:v>45991</c:v>
                </c:pt>
                <c:pt idx="688">
                  <c:v>45992</c:v>
                </c:pt>
                <c:pt idx="689">
                  <c:v>45993</c:v>
                </c:pt>
                <c:pt idx="690">
                  <c:v>45994</c:v>
                </c:pt>
                <c:pt idx="691">
                  <c:v>45995</c:v>
                </c:pt>
                <c:pt idx="692">
                  <c:v>45996</c:v>
                </c:pt>
                <c:pt idx="693">
                  <c:v>45997</c:v>
                </c:pt>
                <c:pt idx="694">
                  <c:v>45998</c:v>
                </c:pt>
                <c:pt idx="695">
                  <c:v>45999</c:v>
                </c:pt>
                <c:pt idx="696">
                  <c:v>46000</c:v>
                </c:pt>
                <c:pt idx="697">
                  <c:v>46001</c:v>
                </c:pt>
                <c:pt idx="698">
                  <c:v>46002</c:v>
                </c:pt>
                <c:pt idx="699">
                  <c:v>46003</c:v>
                </c:pt>
                <c:pt idx="700">
                  <c:v>46004</c:v>
                </c:pt>
                <c:pt idx="701">
                  <c:v>46006</c:v>
                </c:pt>
                <c:pt idx="702">
                  <c:v>46007</c:v>
                </c:pt>
                <c:pt idx="703">
                  <c:v>46008</c:v>
                </c:pt>
                <c:pt idx="704">
                  <c:v>46009</c:v>
                </c:pt>
                <c:pt idx="705">
                  <c:v>46010</c:v>
                </c:pt>
                <c:pt idx="706">
                  <c:v>46011</c:v>
                </c:pt>
                <c:pt idx="707">
                  <c:v>46012</c:v>
                </c:pt>
                <c:pt idx="708">
                  <c:v>46013</c:v>
                </c:pt>
                <c:pt idx="709">
                  <c:v>46014</c:v>
                </c:pt>
                <c:pt idx="710">
                  <c:v>46015</c:v>
                </c:pt>
                <c:pt idx="711">
                  <c:v>46016</c:v>
                </c:pt>
                <c:pt idx="712">
                  <c:v>46022</c:v>
                </c:pt>
                <c:pt idx="713">
                  <c:v>46024</c:v>
                </c:pt>
                <c:pt idx="714">
                  <c:v>46025</c:v>
                </c:pt>
                <c:pt idx="715">
                  <c:v>46026</c:v>
                </c:pt>
                <c:pt idx="716">
                  <c:v>46027</c:v>
                </c:pt>
                <c:pt idx="717">
                  <c:v>46029</c:v>
                </c:pt>
                <c:pt idx="718">
                  <c:v>46030</c:v>
                </c:pt>
                <c:pt idx="719">
                  <c:v>46031</c:v>
                </c:pt>
                <c:pt idx="720">
                  <c:v>46032</c:v>
                </c:pt>
                <c:pt idx="721">
                  <c:v>46033</c:v>
                </c:pt>
                <c:pt idx="722">
                  <c:v>46034</c:v>
                </c:pt>
                <c:pt idx="723">
                  <c:v>46039</c:v>
                </c:pt>
                <c:pt idx="724">
                  <c:v>46040</c:v>
                </c:pt>
                <c:pt idx="725">
                  <c:v>46041</c:v>
                </c:pt>
                <c:pt idx="726">
                  <c:v>46042</c:v>
                </c:pt>
                <c:pt idx="727">
                  <c:v>46044</c:v>
                </c:pt>
                <c:pt idx="728">
                  <c:v>46045</c:v>
                </c:pt>
                <c:pt idx="729">
                  <c:v>46046</c:v>
                </c:pt>
                <c:pt idx="730">
                  <c:v>46047</c:v>
                </c:pt>
                <c:pt idx="731">
                  <c:v>46054</c:v>
                </c:pt>
                <c:pt idx="732">
                  <c:v>46055</c:v>
                </c:pt>
                <c:pt idx="733">
                  <c:v>46056</c:v>
                </c:pt>
                <c:pt idx="734">
                  <c:v>46057</c:v>
                </c:pt>
                <c:pt idx="735">
                  <c:v>46058</c:v>
                </c:pt>
                <c:pt idx="736">
                  <c:v>46059</c:v>
                </c:pt>
                <c:pt idx="737">
                  <c:v>46060</c:v>
                </c:pt>
                <c:pt idx="738">
                  <c:v>46061</c:v>
                </c:pt>
                <c:pt idx="739">
                  <c:v>46062</c:v>
                </c:pt>
                <c:pt idx="740">
                  <c:v>46063</c:v>
                </c:pt>
                <c:pt idx="741">
                  <c:v>46066</c:v>
                </c:pt>
                <c:pt idx="742">
                  <c:v>46067</c:v>
                </c:pt>
                <c:pt idx="743">
                  <c:v>46068</c:v>
                </c:pt>
                <c:pt idx="744">
                  <c:v>46069</c:v>
                </c:pt>
                <c:pt idx="745">
                  <c:v>46070</c:v>
                </c:pt>
                <c:pt idx="746">
                  <c:v>46071</c:v>
                </c:pt>
                <c:pt idx="747">
                  <c:v>46072</c:v>
                </c:pt>
                <c:pt idx="748">
                  <c:v>46073</c:v>
                </c:pt>
                <c:pt idx="749">
                  <c:v>46074</c:v>
                </c:pt>
                <c:pt idx="750">
                  <c:v>46075</c:v>
                </c:pt>
                <c:pt idx="751">
                  <c:v>46076</c:v>
                </c:pt>
                <c:pt idx="752">
                  <c:v>46079</c:v>
                </c:pt>
                <c:pt idx="753">
                  <c:v>46080</c:v>
                </c:pt>
                <c:pt idx="754">
                  <c:v>46081</c:v>
                </c:pt>
                <c:pt idx="755">
                  <c:v>46082</c:v>
                </c:pt>
                <c:pt idx="756">
                  <c:v>46083</c:v>
                </c:pt>
                <c:pt idx="757">
                  <c:v>46084</c:v>
                </c:pt>
                <c:pt idx="758">
                  <c:v>46088</c:v>
                </c:pt>
                <c:pt idx="759">
                  <c:v>46089</c:v>
                </c:pt>
                <c:pt idx="760">
                  <c:v>46090</c:v>
                </c:pt>
                <c:pt idx="761">
                  <c:v>46091</c:v>
                </c:pt>
                <c:pt idx="762">
                  <c:v>46092</c:v>
                </c:pt>
                <c:pt idx="763">
                  <c:v>46093</c:v>
                </c:pt>
                <c:pt idx="764">
                  <c:v>46094</c:v>
                </c:pt>
                <c:pt idx="765">
                  <c:v>46096</c:v>
                </c:pt>
                <c:pt idx="766">
                  <c:v>46097</c:v>
                </c:pt>
                <c:pt idx="767">
                  <c:v>46101</c:v>
                </c:pt>
                <c:pt idx="768">
                  <c:v>46102</c:v>
                </c:pt>
                <c:pt idx="769">
                  <c:v>46103</c:v>
                </c:pt>
                <c:pt idx="770">
                  <c:v>46104</c:v>
                </c:pt>
                <c:pt idx="771">
                  <c:v>46116</c:v>
                </c:pt>
                <c:pt idx="772">
                  <c:v>46117</c:v>
                </c:pt>
                <c:pt idx="773">
                  <c:v>46118</c:v>
                </c:pt>
                <c:pt idx="774">
                  <c:v>46119</c:v>
                </c:pt>
                <c:pt idx="775">
                  <c:v>46120</c:v>
                </c:pt>
                <c:pt idx="776">
                  <c:v>46121</c:v>
                </c:pt>
                <c:pt idx="777">
                  <c:v>46122</c:v>
                </c:pt>
                <c:pt idx="778">
                  <c:v>46123</c:v>
                </c:pt>
                <c:pt idx="779">
                  <c:v>46124</c:v>
                </c:pt>
                <c:pt idx="780">
                  <c:v>46125</c:v>
                </c:pt>
                <c:pt idx="781">
                  <c:v>46126</c:v>
                </c:pt>
                <c:pt idx="782">
                  <c:v>46127</c:v>
                </c:pt>
                <c:pt idx="783">
                  <c:v>46128</c:v>
                </c:pt>
                <c:pt idx="784">
                  <c:v>46129</c:v>
                </c:pt>
                <c:pt idx="785">
                  <c:v>46135</c:v>
                </c:pt>
                <c:pt idx="786">
                  <c:v>46136</c:v>
                </c:pt>
                <c:pt idx="787">
                  <c:v>46137</c:v>
                </c:pt>
                <c:pt idx="788">
                  <c:v>46138</c:v>
                </c:pt>
                <c:pt idx="789">
                  <c:v>46139</c:v>
                </c:pt>
                <c:pt idx="790">
                  <c:v>46140</c:v>
                </c:pt>
                <c:pt idx="791">
                  <c:v>46141</c:v>
                </c:pt>
                <c:pt idx="792">
                  <c:v>46142</c:v>
                </c:pt>
                <c:pt idx="793">
                  <c:v>46143</c:v>
                </c:pt>
                <c:pt idx="794">
                  <c:v>46144</c:v>
                </c:pt>
                <c:pt idx="795">
                  <c:v>46147</c:v>
                </c:pt>
                <c:pt idx="796">
                  <c:v>46148</c:v>
                </c:pt>
              </c:numCache>
            </c:numRef>
          </c:xVal>
          <c:yVal>
            <c:numRef>
              <c:f>Pesos_R!$E$2:$E$798</c:f>
              <c:numCache>
                <c:formatCode>_(* #,##0.00_);_(* \(#,##0.00\);_(* "-"??_);_(@_)</c:formatCode>
                <c:ptCount val="797"/>
                <c:pt idx="0">
                  <c:v>93.95</c:v>
                </c:pt>
                <c:pt idx="1">
                  <c:v>94</c:v>
                </c:pt>
                <c:pt idx="2">
                  <c:v>92.7</c:v>
                </c:pt>
                <c:pt idx="3">
                  <c:v>93.2</c:v>
                </c:pt>
                <c:pt idx="4">
                  <c:v>93.05</c:v>
                </c:pt>
                <c:pt idx="5">
                  <c:v>93.45</c:v>
                </c:pt>
                <c:pt idx="6">
                  <c:v>93.75</c:v>
                </c:pt>
                <c:pt idx="7">
                  <c:v>93.85</c:v>
                </c:pt>
                <c:pt idx="8">
                  <c:v>93.6</c:v>
                </c:pt>
                <c:pt idx="9">
                  <c:v>93.65</c:v>
                </c:pt>
                <c:pt idx="10">
                  <c:v>94.35</c:v>
                </c:pt>
                <c:pt idx="11">
                  <c:v>94.1</c:v>
                </c:pt>
                <c:pt idx="12">
                  <c:v>94.2</c:v>
                </c:pt>
                <c:pt idx="13">
                  <c:v>93.3</c:v>
                </c:pt>
                <c:pt idx="14">
                  <c:v>93.75</c:v>
                </c:pt>
                <c:pt idx="15">
                  <c:v>93.45</c:v>
                </c:pt>
                <c:pt idx="16">
                  <c:v>93.75</c:v>
                </c:pt>
                <c:pt idx="17">
                  <c:v>94</c:v>
                </c:pt>
                <c:pt idx="18">
                  <c:v>94</c:v>
                </c:pt>
                <c:pt idx="19">
                  <c:v>93.3</c:v>
                </c:pt>
                <c:pt idx="20">
                  <c:v>92.95</c:v>
                </c:pt>
                <c:pt idx="21">
                  <c:v>93.25</c:v>
                </c:pt>
                <c:pt idx="22">
                  <c:v>94.25</c:v>
                </c:pt>
                <c:pt idx="23">
                  <c:v>93.2</c:v>
                </c:pt>
                <c:pt idx="24">
                  <c:v>93.35</c:v>
                </c:pt>
                <c:pt idx="25">
                  <c:v>93.8</c:v>
                </c:pt>
                <c:pt idx="26">
                  <c:v>93.2</c:v>
                </c:pt>
                <c:pt idx="27">
                  <c:v>92.7</c:v>
                </c:pt>
                <c:pt idx="28">
                  <c:v>93.45</c:v>
                </c:pt>
                <c:pt idx="29">
                  <c:v>94.05</c:v>
                </c:pt>
                <c:pt idx="30">
                  <c:v>94.1</c:v>
                </c:pt>
                <c:pt idx="31">
                  <c:v>93.85</c:v>
                </c:pt>
                <c:pt idx="32">
                  <c:v>93.7</c:v>
                </c:pt>
                <c:pt idx="33">
                  <c:v>93.25</c:v>
                </c:pt>
                <c:pt idx="34">
                  <c:v>92.6</c:v>
                </c:pt>
                <c:pt idx="35">
                  <c:v>91.3</c:v>
                </c:pt>
                <c:pt idx="36">
                  <c:v>91.65</c:v>
                </c:pt>
                <c:pt idx="37">
                  <c:v>91.9</c:v>
                </c:pt>
                <c:pt idx="38">
                  <c:v>92.25</c:v>
                </c:pt>
                <c:pt idx="39">
                  <c:v>92.25</c:v>
                </c:pt>
                <c:pt idx="40">
                  <c:v>92.25</c:v>
                </c:pt>
                <c:pt idx="41">
                  <c:v>92.15</c:v>
                </c:pt>
                <c:pt idx="42">
                  <c:v>91.45</c:v>
                </c:pt>
                <c:pt idx="43">
                  <c:v>90.85</c:v>
                </c:pt>
                <c:pt idx="44">
                  <c:v>91.75</c:v>
                </c:pt>
                <c:pt idx="45">
                  <c:v>91.25</c:v>
                </c:pt>
                <c:pt idx="46">
                  <c:v>91.1</c:v>
                </c:pt>
                <c:pt idx="47">
                  <c:v>91</c:v>
                </c:pt>
                <c:pt idx="48">
                  <c:v>91.2</c:v>
                </c:pt>
                <c:pt idx="49">
                  <c:v>90.9</c:v>
                </c:pt>
                <c:pt idx="50">
                  <c:v>91.2</c:v>
                </c:pt>
                <c:pt idx="51">
                  <c:v>91.4</c:v>
                </c:pt>
                <c:pt idx="52">
                  <c:v>90.95</c:v>
                </c:pt>
                <c:pt idx="53">
                  <c:v>91.5</c:v>
                </c:pt>
                <c:pt idx="54">
                  <c:v>91.5</c:v>
                </c:pt>
                <c:pt idx="55">
                  <c:v>91.4</c:v>
                </c:pt>
                <c:pt idx="56">
                  <c:v>91.35</c:v>
                </c:pt>
                <c:pt idx="57">
                  <c:v>91.7</c:v>
                </c:pt>
                <c:pt idx="58">
                  <c:v>90.85</c:v>
                </c:pt>
                <c:pt idx="59">
                  <c:v>91.15</c:v>
                </c:pt>
                <c:pt idx="60">
                  <c:v>91.9</c:v>
                </c:pt>
                <c:pt idx="61">
                  <c:v>91.2</c:v>
                </c:pt>
                <c:pt idx="62">
                  <c:v>91.2</c:v>
                </c:pt>
                <c:pt idx="63">
                  <c:v>90.9</c:v>
                </c:pt>
                <c:pt idx="64">
                  <c:v>90.8</c:v>
                </c:pt>
                <c:pt idx="65">
                  <c:v>90.55</c:v>
                </c:pt>
                <c:pt idx="66">
                  <c:v>91.8</c:v>
                </c:pt>
                <c:pt idx="67">
                  <c:v>91.4</c:v>
                </c:pt>
                <c:pt idx="68">
                  <c:v>90.9</c:v>
                </c:pt>
                <c:pt idx="69">
                  <c:v>90.35</c:v>
                </c:pt>
                <c:pt idx="70">
                  <c:v>90.85</c:v>
                </c:pt>
                <c:pt idx="71">
                  <c:v>91.3</c:v>
                </c:pt>
                <c:pt idx="72">
                  <c:v>90.7</c:v>
                </c:pt>
                <c:pt idx="73">
                  <c:v>91</c:v>
                </c:pt>
                <c:pt idx="74">
                  <c:v>91.2</c:v>
                </c:pt>
                <c:pt idx="75">
                  <c:v>90.75</c:v>
                </c:pt>
                <c:pt idx="76">
                  <c:v>90.3</c:v>
                </c:pt>
                <c:pt idx="77">
                  <c:v>90.2</c:v>
                </c:pt>
                <c:pt idx="78">
                  <c:v>90.35</c:v>
                </c:pt>
                <c:pt idx="79">
                  <c:v>90.55</c:v>
                </c:pt>
                <c:pt idx="80">
                  <c:v>90.6</c:v>
                </c:pt>
                <c:pt idx="81">
                  <c:v>90.75</c:v>
                </c:pt>
                <c:pt idx="82">
                  <c:v>90.55</c:v>
                </c:pt>
                <c:pt idx="83">
                  <c:v>90.75</c:v>
                </c:pt>
                <c:pt idx="84">
                  <c:v>90.8</c:v>
                </c:pt>
                <c:pt idx="85">
                  <c:v>91</c:v>
                </c:pt>
                <c:pt idx="86">
                  <c:v>90.6</c:v>
                </c:pt>
                <c:pt idx="87">
                  <c:v>90.45</c:v>
                </c:pt>
                <c:pt idx="88">
                  <c:v>90.3</c:v>
                </c:pt>
                <c:pt idx="89">
                  <c:v>90.6</c:v>
                </c:pt>
                <c:pt idx="90">
                  <c:v>90.25</c:v>
                </c:pt>
                <c:pt idx="91">
                  <c:v>89.65</c:v>
                </c:pt>
                <c:pt idx="92">
                  <c:v>89.35</c:v>
                </c:pt>
                <c:pt idx="93">
                  <c:v>90.7</c:v>
                </c:pt>
                <c:pt idx="94">
                  <c:v>90.75</c:v>
                </c:pt>
                <c:pt idx="95">
                  <c:v>90.3</c:v>
                </c:pt>
                <c:pt idx="96">
                  <c:v>90.35</c:v>
                </c:pt>
                <c:pt idx="97">
                  <c:v>90.25</c:v>
                </c:pt>
                <c:pt idx="98">
                  <c:v>89.45</c:v>
                </c:pt>
                <c:pt idx="99">
                  <c:v>90.25</c:v>
                </c:pt>
                <c:pt idx="100">
                  <c:v>90.9</c:v>
                </c:pt>
                <c:pt idx="101">
                  <c:v>91.05</c:v>
                </c:pt>
                <c:pt idx="102">
                  <c:v>90.4</c:v>
                </c:pt>
                <c:pt idx="103">
                  <c:v>89.5</c:v>
                </c:pt>
                <c:pt idx="104">
                  <c:v>89.9</c:v>
                </c:pt>
                <c:pt idx="105">
                  <c:v>89.35</c:v>
                </c:pt>
                <c:pt idx="106">
                  <c:v>90.05</c:v>
                </c:pt>
                <c:pt idx="107">
                  <c:v>90.8</c:v>
                </c:pt>
                <c:pt idx="108">
                  <c:v>91</c:v>
                </c:pt>
                <c:pt idx="109">
                  <c:v>90.5</c:v>
                </c:pt>
                <c:pt idx="110">
                  <c:v>90.1</c:v>
                </c:pt>
                <c:pt idx="111">
                  <c:v>90.35</c:v>
                </c:pt>
                <c:pt idx="112">
                  <c:v>90.55</c:v>
                </c:pt>
                <c:pt idx="113">
                  <c:v>90.2</c:v>
                </c:pt>
                <c:pt idx="114">
                  <c:v>90.1</c:v>
                </c:pt>
                <c:pt idx="115">
                  <c:v>90.2</c:v>
                </c:pt>
                <c:pt idx="116">
                  <c:v>90.35</c:v>
                </c:pt>
                <c:pt idx="117">
                  <c:v>90.35</c:v>
                </c:pt>
                <c:pt idx="118">
                  <c:v>90.45</c:v>
                </c:pt>
                <c:pt idx="119">
                  <c:v>90.6</c:v>
                </c:pt>
                <c:pt idx="120">
                  <c:v>90.55</c:v>
                </c:pt>
                <c:pt idx="121">
                  <c:v>90.75</c:v>
                </c:pt>
                <c:pt idx="122">
                  <c:v>89.9</c:v>
                </c:pt>
                <c:pt idx="123">
                  <c:v>89.8</c:v>
                </c:pt>
                <c:pt idx="124">
                  <c:v>90.3</c:v>
                </c:pt>
                <c:pt idx="125">
                  <c:v>89.8</c:v>
                </c:pt>
                <c:pt idx="126">
                  <c:v>89.85</c:v>
                </c:pt>
                <c:pt idx="127">
                  <c:v>90.9</c:v>
                </c:pt>
                <c:pt idx="128">
                  <c:v>90.4</c:v>
                </c:pt>
                <c:pt idx="129">
                  <c:v>90.2</c:v>
                </c:pt>
                <c:pt idx="130">
                  <c:v>89.05</c:v>
                </c:pt>
                <c:pt idx="131">
                  <c:v>89.25</c:v>
                </c:pt>
                <c:pt idx="132">
                  <c:v>89.6</c:v>
                </c:pt>
                <c:pt idx="133">
                  <c:v>90.2</c:v>
                </c:pt>
                <c:pt idx="134">
                  <c:v>89.5</c:v>
                </c:pt>
                <c:pt idx="135">
                  <c:v>89.45</c:v>
                </c:pt>
                <c:pt idx="136">
                  <c:v>89.15</c:v>
                </c:pt>
                <c:pt idx="137">
                  <c:v>90.2</c:v>
                </c:pt>
                <c:pt idx="138">
                  <c:v>90.15</c:v>
                </c:pt>
                <c:pt idx="139">
                  <c:v>90</c:v>
                </c:pt>
                <c:pt idx="140">
                  <c:v>89.35</c:v>
                </c:pt>
                <c:pt idx="141">
                  <c:v>89</c:v>
                </c:pt>
                <c:pt idx="142">
                  <c:v>89.6</c:v>
                </c:pt>
                <c:pt idx="143">
                  <c:v>89.65</c:v>
                </c:pt>
                <c:pt idx="144">
                  <c:v>89.65</c:v>
                </c:pt>
                <c:pt idx="145">
                  <c:v>89.6</c:v>
                </c:pt>
                <c:pt idx="146">
                  <c:v>90.15</c:v>
                </c:pt>
                <c:pt idx="147">
                  <c:v>90.6</c:v>
                </c:pt>
                <c:pt idx="148">
                  <c:v>90.05</c:v>
                </c:pt>
                <c:pt idx="149">
                  <c:v>90.35</c:v>
                </c:pt>
                <c:pt idx="150">
                  <c:v>90.85</c:v>
                </c:pt>
                <c:pt idx="151">
                  <c:v>90.7</c:v>
                </c:pt>
                <c:pt idx="152">
                  <c:v>90.6</c:v>
                </c:pt>
                <c:pt idx="153">
                  <c:v>90.8</c:v>
                </c:pt>
                <c:pt idx="154">
                  <c:v>90.2</c:v>
                </c:pt>
                <c:pt idx="155">
                  <c:v>89.7</c:v>
                </c:pt>
                <c:pt idx="156">
                  <c:v>90</c:v>
                </c:pt>
                <c:pt idx="157">
                  <c:v>90.1</c:v>
                </c:pt>
                <c:pt idx="158">
                  <c:v>90.2</c:v>
                </c:pt>
                <c:pt idx="159">
                  <c:v>90.55</c:v>
                </c:pt>
                <c:pt idx="160">
                  <c:v>90.15</c:v>
                </c:pt>
                <c:pt idx="161">
                  <c:v>89</c:v>
                </c:pt>
                <c:pt idx="162">
                  <c:v>89.25</c:v>
                </c:pt>
                <c:pt idx="163">
                  <c:v>90.1</c:v>
                </c:pt>
                <c:pt idx="164">
                  <c:v>89.8</c:v>
                </c:pt>
                <c:pt idx="165">
                  <c:v>89.55</c:v>
                </c:pt>
                <c:pt idx="166">
                  <c:v>88.95</c:v>
                </c:pt>
                <c:pt idx="167">
                  <c:v>89.05</c:v>
                </c:pt>
                <c:pt idx="168">
                  <c:v>89.1</c:v>
                </c:pt>
                <c:pt idx="169">
                  <c:v>89.3</c:v>
                </c:pt>
                <c:pt idx="170">
                  <c:v>89.1</c:v>
                </c:pt>
                <c:pt idx="171">
                  <c:v>90.15</c:v>
                </c:pt>
                <c:pt idx="172">
                  <c:v>89.75</c:v>
                </c:pt>
                <c:pt idx="173">
                  <c:v>88.9</c:v>
                </c:pt>
                <c:pt idx="174">
                  <c:v>88.2</c:v>
                </c:pt>
                <c:pt idx="175">
                  <c:v>88.4</c:v>
                </c:pt>
                <c:pt idx="176">
                  <c:v>89.05</c:v>
                </c:pt>
                <c:pt idx="177">
                  <c:v>89.3</c:v>
                </c:pt>
                <c:pt idx="178">
                  <c:v>89.65</c:v>
                </c:pt>
                <c:pt idx="179">
                  <c:v>89.8</c:v>
                </c:pt>
                <c:pt idx="180">
                  <c:v>89.6</c:v>
                </c:pt>
                <c:pt idx="181">
                  <c:v>88.6</c:v>
                </c:pt>
                <c:pt idx="182">
                  <c:v>89</c:v>
                </c:pt>
                <c:pt idx="183">
                  <c:v>89.2</c:v>
                </c:pt>
                <c:pt idx="184">
                  <c:v>89.1</c:v>
                </c:pt>
                <c:pt idx="185">
                  <c:v>88.8</c:v>
                </c:pt>
                <c:pt idx="186">
                  <c:v>89.15</c:v>
                </c:pt>
                <c:pt idx="187">
                  <c:v>89.05</c:v>
                </c:pt>
                <c:pt idx="188">
                  <c:v>89.5</c:v>
                </c:pt>
                <c:pt idx="189">
                  <c:v>89.25</c:v>
                </c:pt>
                <c:pt idx="190">
                  <c:v>88.45</c:v>
                </c:pt>
                <c:pt idx="191">
                  <c:v>88.05</c:v>
                </c:pt>
                <c:pt idx="192">
                  <c:v>87.65</c:v>
                </c:pt>
                <c:pt idx="193">
                  <c:v>88.1</c:v>
                </c:pt>
                <c:pt idx="194">
                  <c:v>88.1</c:v>
                </c:pt>
                <c:pt idx="195">
                  <c:v>88.35</c:v>
                </c:pt>
                <c:pt idx="196">
                  <c:v>89.45</c:v>
                </c:pt>
                <c:pt idx="197">
                  <c:v>88.3</c:v>
                </c:pt>
                <c:pt idx="198">
                  <c:v>88.45</c:v>
                </c:pt>
                <c:pt idx="199">
                  <c:v>87.85</c:v>
                </c:pt>
                <c:pt idx="200">
                  <c:v>88.45</c:v>
                </c:pt>
                <c:pt idx="201">
                  <c:v>88.8</c:v>
                </c:pt>
                <c:pt idx="202">
                  <c:v>88.6</c:v>
                </c:pt>
                <c:pt idx="203">
                  <c:v>87.35</c:v>
                </c:pt>
                <c:pt idx="204">
                  <c:v>87.4</c:v>
                </c:pt>
                <c:pt idx="205">
                  <c:v>87.75</c:v>
                </c:pt>
                <c:pt idx="206">
                  <c:v>87.2</c:v>
                </c:pt>
                <c:pt idx="207">
                  <c:v>87.2</c:v>
                </c:pt>
                <c:pt idx="208">
                  <c:v>88.4</c:v>
                </c:pt>
                <c:pt idx="209">
                  <c:v>88</c:v>
                </c:pt>
                <c:pt idx="210">
                  <c:v>87.85</c:v>
                </c:pt>
                <c:pt idx="211">
                  <c:v>87.85</c:v>
                </c:pt>
                <c:pt idx="212">
                  <c:v>88.85</c:v>
                </c:pt>
                <c:pt idx="213">
                  <c:v>87.95</c:v>
                </c:pt>
                <c:pt idx="214">
                  <c:v>88.7</c:v>
                </c:pt>
                <c:pt idx="215">
                  <c:v>89.05</c:v>
                </c:pt>
                <c:pt idx="216">
                  <c:v>88.15</c:v>
                </c:pt>
                <c:pt idx="217">
                  <c:v>87.85</c:v>
                </c:pt>
                <c:pt idx="218">
                  <c:v>87.8</c:v>
                </c:pt>
                <c:pt idx="219">
                  <c:v>88.15</c:v>
                </c:pt>
                <c:pt idx="220">
                  <c:v>88.2</c:v>
                </c:pt>
                <c:pt idx="221">
                  <c:v>88.25</c:v>
                </c:pt>
                <c:pt idx="222">
                  <c:v>87.95</c:v>
                </c:pt>
                <c:pt idx="223">
                  <c:v>89.1</c:v>
                </c:pt>
                <c:pt idx="224">
                  <c:v>87.7</c:v>
                </c:pt>
                <c:pt idx="225">
                  <c:v>87.6</c:v>
                </c:pt>
                <c:pt idx="226">
                  <c:v>88.3</c:v>
                </c:pt>
                <c:pt idx="227">
                  <c:v>88.6</c:v>
                </c:pt>
                <c:pt idx="228">
                  <c:v>88.1</c:v>
                </c:pt>
                <c:pt idx="229">
                  <c:v>89.2</c:v>
                </c:pt>
                <c:pt idx="230">
                  <c:v>88.55</c:v>
                </c:pt>
                <c:pt idx="231">
                  <c:v>87.95</c:v>
                </c:pt>
                <c:pt idx="232">
                  <c:v>87.8</c:v>
                </c:pt>
                <c:pt idx="233">
                  <c:v>87.95</c:v>
                </c:pt>
                <c:pt idx="234">
                  <c:v>88.75</c:v>
                </c:pt>
                <c:pt idx="235">
                  <c:v>89.25</c:v>
                </c:pt>
                <c:pt idx="236">
                  <c:v>89.4</c:v>
                </c:pt>
                <c:pt idx="237">
                  <c:v>89.05</c:v>
                </c:pt>
                <c:pt idx="238">
                  <c:v>89.15</c:v>
                </c:pt>
                <c:pt idx="239">
                  <c:v>88.6</c:v>
                </c:pt>
                <c:pt idx="240">
                  <c:v>89</c:v>
                </c:pt>
                <c:pt idx="241">
                  <c:v>89.15</c:v>
                </c:pt>
                <c:pt idx="242">
                  <c:v>88.6</c:v>
                </c:pt>
                <c:pt idx="243">
                  <c:v>88.2</c:v>
                </c:pt>
                <c:pt idx="244">
                  <c:v>88.45</c:v>
                </c:pt>
                <c:pt idx="245">
                  <c:v>88.95</c:v>
                </c:pt>
                <c:pt idx="246">
                  <c:v>89.2</c:v>
                </c:pt>
                <c:pt idx="247">
                  <c:v>88</c:v>
                </c:pt>
                <c:pt idx="248">
                  <c:v>89.55</c:v>
                </c:pt>
                <c:pt idx="249">
                  <c:v>89.25</c:v>
                </c:pt>
                <c:pt idx="250">
                  <c:v>88.5</c:v>
                </c:pt>
                <c:pt idx="251">
                  <c:v>87.85</c:v>
                </c:pt>
                <c:pt idx="252">
                  <c:v>87.85</c:v>
                </c:pt>
                <c:pt idx="253">
                  <c:v>87.9</c:v>
                </c:pt>
                <c:pt idx="254">
                  <c:v>88</c:v>
                </c:pt>
                <c:pt idx="255">
                  <c:v>88.6</c:v>
                </c:pt>
                <c:pt idx="256">
                  <c:v>88.65</c:v>
                </c:pt>
                <c:pt idx="257">
                  <c:v>87.9</c:v>
                </c:pt>
                <c:pt idx="258">
                  <c:v>87.65</c:v>
                </c:pt>
                <c:pt idx="259">
                  <c:v>87.8</c:v>
                </c:pt>
                <c:pt idx="260">
                  <c:v>88.6</c:v>
                </c:pt>
                <c:pt idx="261">
                  <c:v>88.3</c:v>
                </c:pt>
                <c:pt idx="262">
                  <c:v>88.8</c:v>
                </c:pt>
                <c:pt idx="263">
                  <c:v>88.25</c:v>
                </c:pt>
                <c:pt idx="264">
                  <c:v>88.65</c:v>
                </c:pt>
                <c:pt idx="265">
                  <c:v>88.75</c:v>
                </c:pt>
                <c:pt idx="266">
                  <c:v>88.35</c:v>
                </c:pt>
                <c:pt idx="267">
                  <c:v>88.4</c:v>
                </c:pt>
                <c:pt idx="268">
                  <c:v>87.5</c:v>
                </c:pt>
                <c:pt idx="269">
                  <c:v>87.85</c:v>
                </c:pt>
                <c:pt idx="270">
                  <c:v>88.65</c:v>
                </c:pt>
                <c:pt idx="271">
                  <c:v>88.05</c:v>
                </c:pt>
                <c:pt idx="272">
                  <c:v>88.6</c:v>
                </c:pt>
                <c:pt idx="273">
                  <c:v>88.65</c:v>
                </c:pt>
                <c:pt idx="274">
                  <c:v>88.7</c:v>
                </c:pt>
                <c:pt idx="275">
                  <c:v>88.3</c:v>
                </c:pt>
                <c:pt idx="276">
                  <c:v>88</c:v>
                </c:pt>
                <c:pt idx="277">
                  <c:v>87.8</c:v>
                </c:pt>
                <c:pt idx="278">
                  <c:v>88</c:v>
                </c:pt>
                <c:pt idx="279">
                  <c:v>88.75</c:v>
                </c:pt>
                <c:pt idx="280">
                  <c:v>89.3</c:v>
                </c:pt>
                <c:pt idx="281">
                  <c:v>88.35</c:v>
                </c:pt>
                <c:pt idx="282">
                  <c:v>87.7</c:v>
                </c:pt>
                <c:pt idx="283">
                  <c:v>88.1</c:v>
                </c:pt>
                <c:pt idx="284">
                  <c:v>87.75</c:v>
                </c:pt>
                <c:pt idx="285">
                  <c:v>87.55</c:v>
                </c:pt>
                <c:pt idx="286">
                  <c:v>87.9</c:v>
                </c:pt>
                <c:pt idx="287">
                  <c:v>88.1</c:v>
                </c:pt>
                <c:pt idx="288">
                  <c:v>88.45</c:v>
                </c:pt>
                <c:pt idx="289">
                  <c:v>88.4</c:v>
                </c:pt>
                <c:pt idx="290">
                  <c:v>88.15</c:v>
                </c:pt>
                <c:pt idx="291">
                  <c:v>88.4</c:v>
                </c:pt>
                <c:pt idx="292">
                  <c:v>89.05</c:v>
                </c:pt>
                <c:pt idx="293">
                  <c:v>88.15</c:v>
                </c:pt>
                <c:pt idx="294">
                  <c:v>88.45</c:v>
                </c:pt>
                <c:pt idx="295">
                  <c:v>88</c:v>
                </c:pt>
                <c:pt idx="296">
                  <c:v>87.9</c:v>
                </c:pt>
                <c:pt idx="297">
                  <c:v>88.3</c:v>
                </c:pt>
                <c:pt idx="298">
                  <c:v>88.1</c:v>
                </c:pt>
                <c:pt idx="299">
                  <c:v>87.8</c:v>
                </c:pt>
                <c:pt idx="300">
                  <c:v>87.75</c:v>
                </c:pt>
                <c:pt idx="301">
                  <c:v>87.95</c:v>
                </c:pt>
                <c:pt idx="302">
                  <c:v>87.75</c:v>
                </c:pt>
                <c:pt idx="303">
                  <c:v>88.5</c:v>
                </c:pt>
                <c:pt idx="304">
                  <c:v>88.5</c:v>
                </c:pt>
                <c:pt idx="305">
                  <c:v>88.3</c:v>
                </c:pt>
                <c:pt idx="306">
                  <c:v>88.5</c:v>
                </c:pt>
                <c:pt idx="307">
                  <c:v>87.55</c:v>
                </c:pt>
                <c:pt idx="308">
                  <c:v>87.8</c:v>
                </c:pt>
                <c:pt idx="309">
                  <c:v>88.2</c:v>
                </c:pt>
                <c:pt idx="310">
                  <c:v>89.15</c:v>
                </c:pt>
                <c:pt idx="311">
                  <c:v>89.05</c:v>
                </c:pt>
                <c:pt idx="312">
                  <c:v>88.45</c:v>
                </c:pt>
                <c:pt idx="313">
                  <c:v>88.15</c:v>
                </c:pt>
                <c:pt idx="314">
                  <c:v>87.15</c:v>
                </c:pt>
                <c:pt idx="315">
                  <c:v>88.15</c:v>
                </c:pt>
                <c:pt idx="316">
                  <c:v>88.45</c:v>
                </c:pt>
                <c:pt idx="317">
                  <c:v>88.5</c:v>
                </c:pt>
                <c:pt idx="318">
                  <c:v>88.6</c:v>
                </c:pt>
                <c:pt idx="319">
                  <c:v>90</c:v>
                </c:pt>
                <c:pt idx="320">
                  <c:v>88.9</c:v>
                </c:pt>
                <c:pt idx="321">
                  <c:v>89.3</c:v>
                </c:pt>
                <c:pt idx="322">
                  <c:v>88.8</c:v>
                </c:pt>
                <c:pt idx="323">
                  <c:v>88.7</c:v>
                </c:pt>
                <c:pt idx="324">
                  <c:v>88.55</c:v>
                </c:pt>
                <c:pt idx="325">
                  <c:v>88.15</c:v>
                </c:pt>
                <c:pt idx="326">
                  <c:v>88.45</c:v>
                </c:pt>
                <c:pt idx="327">
                  <c:v>88.35</c:v>
                </c:pt>
                <c:pt idx="328">
                  <c:v>88.7</c:v>
                </c:pt>
                <c:pt idx="329">
                  <c:v>88.6</c:v>
                </c:pt>
                <c:pt idx="330">
                  <c:v>88.55</c:v>
                </c:pt>
                <c:pt idx="331">
                  <c:v>87.6</c:v>
                </c:pt>
                <c:pt idx="332">
                  <c:v>87.55</c:v>
                </c:pt>
                <c:pt idx="333">
                  <c:v>88.1</c:v>
                </c:pt>
                <c:pt idx="334">
                  <c:v>88.35</c:v>
                </c:pt>
                <c:pt idx="335">
                  <c:v>88.6</c:v>
                </c:pt>
                <c:pt idx="336">
                  <c:v>88.3</c:v>
                </c:pt>
                <c:pt idx="337">
                  <c:v>89</c:v>
                </c:pt>
                <c:pt idx="338">
                  <c:v>88.75</c:v>
                </c:pt>
                <c:pt idx="339">
                  <c:v>89.1</c:v>
                </c:pt>
                <c:pt idx="340">
                  <c:v>88.75</c:v>
                </c:pt>
                <c:pt idx="341">
                  <c:v>87.85</c:v>
                </c:pt>
                <c:pt idx="342">
                  <c:v>87.6</c:v>
                </c:pt>
                <c:pt idx="343">
                  <c:v>88.9</c:v>
                </c:pt>
                <c:pt idx="344">
                  <c:v>88.8</c:v>
                </c:pt>
                <c:pt idx="345">
                  <c:v>87.85</c:v>
                </c:pt>
                <c:pt idx="346">
                  <c:v>87.45</c:v>
                </c:pt>
                <c:pt idx="347">
                  <c:v>87.3</c:v>
                </c:pt>
                <c:pt idx="348">
                  <c:v>86.8</c:v>
                </c:pt>
                <c:pt idx="349">
                  <c:v>86.8</c:v>
                </c:pt>
                <c:pt idx="350">
                  <c:v>86.75</c:v>
                </c:pt>
                <c:pt idx="351">
                  <c:v>86.45</c:v>
                </c:pt>
                <c:pt idx="352">
                  <c:v>86.55</c:v>
                </c:pt>
                <c:pt idx="353">
                  <c:v>86.75</c:v>
                </c:pt>
                <c:pt idx="354">
                  <c:v>86.75</c:v>
                </c:pt>
                <c:pt idx="355">
                  <c:v>86.45</c:v>
                </c:pt>
                <c:pt idx="356">
                  <c:v>85.85</c:v>
                </c:pt>
                <c:pt idx="357">
                  <c:v>86.7</c:v>
                </c:pt>
                <c:pt idx="358">
                  <c:v>86.25</c:v>
                </c:pt>
                <c:pt idx="359">
                  <c:v>86.3</c:v>
                </c:pt>
                <c:pt idx="360">
                  <c:v>86.85</c:v>
                </c:pt>
                <c:pt idx="361">
                  <c:v>86.95</c:v>
                </c:pt>
                <c:pt idx="362">
                  <c:v>86.5</c:v>
                </c:pt>
                <c:pt idx="363">
                  <c:v>87.5</c:v>
                </c:pt>
                <c:pt idx="364">
                  <c:v>87</c:v>
                </c:pt>
                <c:pt idx="365">
                  <c:v>86.5</c:v>
                </c:pt>
                <c:pt idx="366">
                  <c:v>85.95</c:v>
                </c:pt>
                <c:pt idx="367">
                  <c:v>86.4</c:v>
                </c:pt>
                <c:pt idx="368">
                  <c:v>86.5</c:v>
                </c:pt>
                <c:pt idx="369">
                  <c:v>86.15</c:v>
                </c:pt>
                <c:pt idx="370">
                  <c:v>85.85</c:v>
                </c:pt>
                <c:pt idx="371">
                  <c:v>85.8</c:v>
                </c:pt>
                <c:pt idx="372">
                  <c:v>85.75</c:v>
                </c:pt>
                <c:pt idx="373">
                  <c:v>85.6</c:v>
                </c:pt>
                <c:pt idx="374">
                  <c:v>85.35</c:v>
                </c:pt>
                <c:pt idx="375">
                  <c:v>85.5</c:v>
                </c:pt>
                <c:pt idx="376">
                  <c:v>84.8</c:v>
                </c:pt>
                <c:pt idx="377">
                  <c:v>85.2</c:v>
                </c:pt>
                <c:pt idx="378">
                  <c:v>85.55</c:v>
                </c:pt>
                <c:pt idx="379">
                  <c:v>84.95</c:v>
                </c:pt>
                <c:pt idx="380">
                  <c:v>86.4</c:v>
                </c:pt>
                <c:pt idx="381">
                  <c:v>85.75</c:v>
                </c:pt>
                <c:pt idx="382">
                  <c:v>84.95</c:v>
                </c:pt>
                <c:pt idx="383">
                  <c:v>84.75</c:v>
                </c:pt>
                <c:pt idx="384">
                  <c:v>85</c:v>
                </c:pt>
                <c:pt idx="385">
                  <c:v>84.55</c:v>
                </c:pt>
                <c:pt idx="386">
                  <c:v>85.2</c:v>
                </c:pt>
                <c:pt idx="387">
                  <c:v>87</c:v>
                </c:pt>
                <c:pt idx="388">
                  <c:v>86.6</c:v>
                </c:pt>
                <c:pt idx="389">
                  <c:v>86.25</c:v>
                </c:pt>
                <c:pt idx="390">
                  <c:v>85.85</c:v>
                </c:pt>
                <c:pt idx="391">
                  <c:v>85.85</c:v>
                </c:pt>
                <c:pt idx="392">
                  <c:v>86.95</c:v>
                </c:pt>
                <c:pt idx="393">
                  <c:v>86.3</c:v>
                </c:pt>
                <c:pt idx="394">
                  <c:v>85.95</c:v>
                </c:pt>
                <c:pt idx="395">
                  <c:v>86</c:v>
                </c:pt>
                <c:pt idx="396">
                  <c:v>86.1</c:v>
                </c:pt>
                <c:pt idx="397">
                  <c:v>85.85</c:v>
                </c:pt>
                <c:pt idx="398">
                  <c:v>85.55</c:v>
                </c:pt>
                <c:pt idx="399">
                  <c:v>85.75</c:v>
                </c:pt>
                <c:pt idx="400">
                  <c:v>85.5</c:v>
                </c:pt>
                <c:pt idx="401">
                  <c:v>85.55</c:v>
                </c:pt>
                <c:pt idx="402">
                  <c:v>85.3</c:v>
                </c:pt>
                <c:pt idx="403">
                  <c:v>85.25</c:v>
                </c:pt>
                <c:pt idx="404">
                  <c:v>85.35</c:v>
                </c:pt>
                <c:pt idx="405">
                  <c:v>85.15</c:v>
                </c:pt>
                <c:pt idx="406">
                  <c:v>84.75</c:v>
                </c:pt>
                <c:pt idx="407">
                  <c:v>84.95</c:v>
                </c:pt>
                <c:pt idx="408">
                  <c:v>86.35</c:v>
                </c:pt>
                <c:pt idx="409">
                  <c:v>85.65</c:v>
                </c:pt>
                <c:pt idx="410">
                  <c:v>85.2</c:v>
                </c:pt>
                <c:pt idx="411">
                  <c:v>87.45</c:v>
                </c:pt>
                <c:pt idx="412">
                  <c:v>86.75</c:v>
                </c:pt>
                <c:pt idx="413">
                  <c:v>85.9</c:v>
                </c:pt>
                <c:pt idx="414">
                  <c:v>85.45</c:v>
                </c:pt>
                <c:pt idx="415">
                  <c:v>85.85</c:v>
                </c:pt>
                <c:pt idx="416">
                  <c:v>86.9</c:v>
                </c:pt>
                <c:pt idx="417">
                  <c:v>86.95</c:v>
                </c:pt>
                <c:pt idx="418">
                  <c:v>85.9</c:v>
                </c:pt>
                <c:pt idx="419">
                  <c:v>85.6</c:v>
                </c:pt>
                <c:pt idx="420">
                  <c:v>85.8</c:v>
                </c:pt>
                <c:pt idx="421">
                  <c:v>85.75</c:v>
                </c:pt>
                <c:pt idx="422">
                  <c:v>85.8</c:v>
                </c:pt>
                <c:pt idx="423">
                  <c:v>86.85</c:v>
                </c:pt>
                <c:pt idx="424">
                  <c:v>85.55</c:v>
                </c:pt>
                <c:pt idx="425">
                  <c:v>86.45</c:v>
                </c:pt>
                <c:pt idx="426">
                  <c:v>86.1</c:v>
                </c:pt>
                <c:pt idx="427">
                  <c:v>85.9</c:v>
                </c:pt>
                <c:pt idx="428">
                  <c:v>85.35</c:v>
                </c:pt>
                <c:pt idx="429">
                  <c:v>85.75</c:v>
                </c:pt>
                <c:pt idx="430">
                  <c:v>87.8</c:v>
                </c:pt>
                <c:pt idx="431">
                  <c:v>86.7</c:v>
                </c:pt>
                <c:pt idx="432">
                  <c:v>86.45</c:v>
                </c:pt>
                <c:pt idx="433">
                  <c:v>86.2</c:v>
                </c:pt>
                <c:pt idx="434">
                  <c:v>85.8</c:v>
                </c:pt>
                <c:pt idx="435">
                  <c:v>86.4</c:v>
                </c:pt>
                <c:pt idx="436">
                  <c:v>86.55</c:v>
                </c:pt>
                <c:pt idx="437">
                  <c:v>86.45</c:v>
                </c:pt>
                <c:pt idx="438">
                  <c:v>85.9</c:v>
                </c:pt>
                <c:pt idx="439">
                  <c:v>86.3</c:v>
                </c:pt>
                <c:pt idx="440">
                  <c:v>85.9</c:v>
                </c:pt>
                <c:pt idx="441">
                  <c:v>86.1</c:v>
                </c:pt>
                <c:pt idx="442">
                  <c:v>86.2</c:v>
                </c:pt>
                <c:pt idx="443">
                  <c:v>86.15</c:v>
                </c:pt>
                <c:pt idx="444">
                  <c:v>85.65</c:v>
                </c:pt>
                <c:pt idx="445">
                  <c:v>85.35</c:v>
                </c:pt>
                <c:pt idx="446">
                  <c:v>85.1</c:v>
                </c:pt>
                <c:pt idx="447">
                  <c:v>85.4</c:v>
                </c:pt>
                <c:pt idx="448">
                  <c:v>86.2</c:v>
                </c:pt>
                <c:pt idx="449">
                  <c:v>85.35</c:v>
                </c:pt>
                <c:pt idx="450">
                  <c:v>85.05</c:v>
                </c:pt>
                <c:pt idx="451">
                  <c:v>85.1</c:v>
                </c:pt>
                <c:pt idx="452">
                  <c:v>84.85</c:v>
                </c:pt>
                <c:pt idx="453">
                  <c:v>84.75</c:v>
                </c:pt>
                <c:pt idx="454">
                  <c:v>84.45</c:v>
                </c:pt>
                <c:pt idx="455">
                  <c:v>84.3</c:v>
                </c:pt>
                <c:pt idx="456">
                  <c:v>85.15</c:v>
                </c:pt>
                <c:pt idx="457">
                  <c:v>85.1</c:v>
                </c:pt>
                <c:pt idx="458">
                  <c:v>85.1</c:v>
                </c:pt>
                <c:pt idx="459">
                  <c:v>84.55</c:v>
                </c:pt>
                <c:pt idx="460">
                  <c:v>84.4</c:v>
                </c:pt>
                <c:pt idx="461">
                  <c:v>84.8</c:v>
                </c:pt>
                <c:pt idx="462">
                  <c:v>84.7</c:v>
                </c:pt>
                <c:pt idx="463">
                  <c:v>84.65</c:v>
                </c:pt>
                <c:pt idx="464">
                  <c:v>84.5</c:v>
                </c:pt>
                <c:pt idx="465">
                  <c:v>84.9</c:v>
                </c:pt>
                <c:pt idx="466">
                  <c:v>85.15</c:v>
                </c:pt>
                <c:pt idx="467">
                  <c:v>85.35</c:v>
                </c:pt>
                <c:pt idx="468">
                  <c:v>84.25</c:v>
                </c:pt>
                <c:pt idx="469">
                  <c:v>85</c:v>
                </c:pt>
                <c:pt idx="470">
                  <c:v>84.7</c:v>
                </c:pt>
                <c:pt idx="471">
                  <c:v>84.45</c:v>
                </c:pt>
                <c:pt idx="472">
                  <c:v>83.7</c:v>
                </c:pt>
                <c:pt idx="473">
                  <c:v>84.35</c:v>
                </c:pt>
                <c:pt idx="474">
                  <c:v>83.25</c:v>
                </c:pt>
                <c:pt idx="475">
                  <c:v>82.6</c:v>
                </c:pt>
                <c:pt idx="476">
                  <c:v>82.35</c:v>
                </c:pt>
                <c:pt idx="477">
                  <c:v>83.4</c:v>
                </c:pt>
                <c:pt idx="478">
                  <c:v>82.7</c:v>
                </c:pt>
                <c:pt idx="479">
                  <c:v>81.45</c:v>
                </c:pt>
                <c:pt idx="480">
                  <c:v>81.849999999999994</c:v>
                </c:pt>
                <c:pt idx="481">
                  <c:v>81.599999999999994</c:v>
                </c:pt>
                <c:pt idx="482">
                  <c:v>83.8</c:v>
                </c:pt>
                <c:pt idx="483">
                  <c:v>83.25</c:v>
                </c:pt>
                <c:pt idx="484">
                  <c:v>82.15</c:v>
                </c:pt>
                <c:pt idx="485">
                  <c:v>82.65</c:v>
                </c:pt>
                <c:pt idx="486">
                  <c:v>82.85</c:v>
                </c:pt>
                <c:pt idx="487">
                  <c:v>83.8</c:v>
                </c:pt>
                <c:pt idx="488">
                  <c:v>83.35</c:v>
                </c:pt>
                <c:pt idx="489">
                  <c:v>83.95</c:v>
                </c:pt>
                <c:pt idx="490">
                  <c:v>83.2</c:v>
                </c:pt>
                <c:pt idx="491">
                  <c:v>82.85</c:v>
                </c:pt>
                <c:pt idx="492">
                  <c:v>82.55</c:v>
                </c:pt>
                <c:pt idx="493">
                  <c:v>83.35</c:v>
                </c:pt>
                <c:pt idx="494">
                  <c:v>82.95</c:v>
                </c:pt>
                <c:pt idx="495">
                  <c:v>82.6</c:v>
                </c:pt>
                <c:pt idx="496">
                  <c:v>82.75</c:v>
                </c:pt>
                <c:pt idx="497">
                  <c:v>82.7</c:v>
                </c:pt>
                <c:pt idx="498">
                  <c:v>82.25</c:v>
                </c:pt>
                <c:pt idx="499">
                  <c:v>83.3</c:v>
                </c:pt>
                <c:pt idx="500">
                  <c:v>83.5</c:v>
                </c:pt>
                <c:pt idx="501">
                  <c:v>82.8</c:v>
                </c:pt>
                <c:pt idx="502">
                  <c:v>82.7</c:v>
                </c:pt>
                <c:pt idx="503">
                  <c:v>82.35</c:v>
                </c:pt>
                <c:pt idx="504">
                  <c:v>82.85</c:v>
                </c:pt>
                <c:pt idx="505">
                  <c:v>82.65</c:v>
                </c:pt>
                <c:pt idx="506">
                  <c:v>82.9</c:v>
                </c:pt>
                <c:pt idx="507">
                  <c:v>82.85</c:v>
                </c:pt>
                <c:pt idx="508">
                  <c:v>83.55</c:v>
                </c:pt>
                <c:pt idx="509">
                  <c:v>83.45</c:v>
                </c:pt>
                <c:pt idx="510">
                  <c:v>83.45</c:v>
                </c:pt>
                <c:pt idx="511">
                  <c:v>82.9</c:v>
                </c:pt>
                <c:pt idx="512">
                  <c:v>84.65</c:v>
                </c:pt>
                <c:pt idx="513">
                  <c:v>83.7</c:v>
                </c:pt>
                <c:pt idx="514">
                  <c:v>85.05</c:v>
                </c:pt>
                <c:pt idx="515">
                  <c:v>84.95</c:v>
                </c:pt>
                <c:pt idx="516">
                  <c:v>83.95</c:v>
                </c:pt>
                <c:pt idx="517">
                  <c:v>83.75</c:v>
                </c:pt>
                <c:pt idx="518">
                  <c:v>83.85</c:v>
                </c:pt>
                <c:pt idx="519">
                  <c:v>84.15</c:v>
                </c:pt>
                <c:pt idx="520">
                  <c:v>83.75</c:v>
                </c:pt>
                <c:pt idx="521">
                  <c:v>83.65</c:v>
                </c:pt>
                <c:pt idx="522">
                  <c:v>83.55</c:v>
                </c:pt>
                <c:pt idx="523">
                  <c:v>84.14</c:v>
                </c:pt>
                <c:pt idx="524">
                  <c:v>83.95</c:v>
                </c:pt>
                <c:pt idx="525">
                  <c:v>85.15</c:v>
                </c:pt>
                <c:pt idx="526">
                  <c:v>83.65</c:v>
                </c:pt>
                <c:pt idx="527">
                  <c:v>83.9</c:v>
                </c:pt>
                <c:pt idx="528">
                  <c:v>83.8</c:v>
                </c:pt>
                <c:pt idx="529">
                  <c:v>84.3</c:v>
                </c:pt>
                <c:pt idx="530">
                  <c:v>84.6</c:v>
                </c:pt>
                <c:pt idx="531">
                  <c:v>84.2</c:v>
                </c:pt>
                <c:pt idx="532">
                  <c:v>83.85</c:v>
                </c:pt>
                <c:pt idx="533">
                  <c:v>84.8</c:v>
                </c:pt>
                <c:pt idx="534">
                  <c:v>84.4</c:v>
                </c:pt>
                <c:pt idx="535">
                  <c:v>83.85</c:v>
                </c:pt>
                <c:pt idx="536">
                  <c:v>84</c:v>
                </c:pt>
                <c:pt idx="537">
                  <c:v>84</c:v>
                </c:pt>
                <c:pt idx="538">
                  <c:v>83.55</c:v>
                </c:pt>
                <c:pt idx="539">
                  <c:v>84.05</c:v>
                </c:pt>
                <c:pt idx="540">
                  <c:v>83.95</c:v>
                </c:pt>
                <c:pt idx="541">
                  <c:v>83.55</c:v>
                </c:pt>
                <c:pt idx="542">
                  <c:v>83.65</c:v>
                </c:pt>
                <c:pt idx="543">
                  <c:v>83.85</c:v>
                </c:pt>
                <c:pt idx="544">
                  <c:v>83.95</c:v>
                </c:pt>
                <c:pt idx="545">
                  <c:v>83.75</c:v>
                </c:pt>
                <c:pt idx="546">
                  <c:v>84.55</c:v>
                </c:pt>
                <c:pt idx="547">
                  <c:v>84.85</c:v>
                </c:pt>
                <c:pt idx="548">
                  <c:v>84.9</c:v>
                </c:pt>
                <c:pt idx="549">
                  <c:v>84.45</c:v>
                </c:pt>
                <c:pt idx="550">
                  <c:v>84.65</c:v>
                </c:pt>
                <c:pt idx="551">
                  <c:v>84.2</c:v>
                </c:pt>
                <c:pt idx="552">
                  <c:v>83.95</c:v>
                </c:pt>
                <c:pt idx="553">
                  <c:v>84.45</c:v>
                </c:pt>
                <c:pt idx="554">
                  <c:v>84.65</c:v>
                </c:pt>
                <c:pt idx="555">
                  <c:v>84.6</c:v>
                </c:pt>
                <c:pt idx="556">
                  <c:v>83.9</c:v>
                </c:pt>
                <c:pt idx="557">
                  <c:v>84.4</c:v>
                </c:pt>
                <c:pt idx="558">
                  <c:v>84.05</c:v>
                </c:pt>
                <c:pt idx="559">
                  <c:v>83.25</c:v>
                </c:pt>
                <c:pt idx="560">
                  <c:v>84.2</c:v>
                </c:pt>
                <c:pt idx="561">
                  <c:v>82.95</c:v>
                </c:pt>
                <c:pt idx="562">
                  <c:v>83.2</c:v>
                </c:pt>
                <c:pt idx="563">
                  <c:v>83.65</c:v>
                </c:pt>
                <c:pt idx="564">
                  <c:v>83.9</c:v>
                </c:pt>
                <c:pt idx="565">
                  <c:v>83.65</c:v>
                </c:pt>
                <c:pt idx="566">
                  <c:v>83.1</c:v>
                </c:pt>
                <c:pt idx="567">
                  <c:v>82.45</c:v>
                </c:pt>
                <c:pt idx="568">
                  <c:v>82.9</c:v>
                </c:pt>
                <c:pt idx="569">
                  <c:v>82.8</c:v>
                </c:pt>
                <c:pt idx="570">
                  <c:v>83.2</c:v>
                </c:pt>
                <c:pt idx="571">
                  <c:v>82.55</c:v>
                </c:pt>
                <c:pt idx="572">
                  <c:v>82.45</c:v>
                </c:pt>
                <c:pt idx="573">
                  <c:v>83.55</c:v>
                </c:pt>
                <c:pt idx="574">
                  <c:v>83.95</c:v>
                </c:pt>
                <c:pt idx="575">
                  <c:v>83.35</c:v>
                </c:pt>
                <c:pt idx="576">
                  <c:v>83.2</c:v>
                </c:pt>
                <c:pt idx="577">
                  <c:v>83.8</c:v>
                </c:pt>
                <c:pt idx="578">
                  <c:v>82.95</c:v>
                </c:pt>
                <c:pt idx="579">
                  <c:v>83.3</c:v>
                </c:pt>
                <c:pt idx="580">
                  <c:v>83.5</c:v>
                </c:pt>
                <c:pt idx="581">
                  <c:v>84.15</c:v>
                </c:pt>
                <c:pt idx="582">
                  <c:v>83.3</c:v>
                </c:pt>
                <c:pt idx="583">
                  <c:v>83.7</c:v>
                </c:pt>
                <c:pt idx="584">
                  <c:v>84.5</c:v>
                </c:pt>
                <c:pt idx="585">
                  <c:v>84.1</c:v>
                </c:pt>
                <c:pt idx="586">
                  <c:v>84.15</c:v>
                </c:pt>
                <c:pt idx="587">
                  <c:v>84.4</c:v>
                </c:pt>
                <c:pt idx="588">
                  <c:v>83.7</c:v>
                </c:pt>
                <c:pt idx="589">
                  <c:v>83.3</c:v>
                </c:pt>
                <c:pt idx="590">
                  <c:v>84.4</c:v>
                </c:pt>
                <c:pt idx="591">
                  <c:v>84.45</c:v>
                </c:pt>
                <c:pt idx="592">
                  <c:v>84.35</c:v>
                </c:pt>
                <c:pt idx="593">
                  <c:v>84.8</c:v>
                </c:pt>
                <c:pt idx="594">
                  <c:v>84.1</c:v>
                </c:pt>
                <c:pt idx="595">
                  <c:v>83.9</c:v>
                </c:pt>
                <c:pt idx="596">
                  <c:v>84.05</c:v>
                </c:pt>
                <c:pt idx="597">
                  <c:v>84.6</c:v>
                </c:pt>
                <c:pt idx="598">
                  <c:v>84.25</c:v>
                </c:pt>
                <c:pt idx="599">
                  <c:v>85.2</c:v>
                </c:pt>
                <c:pt idx="600">
                  <c:v>83.6</c:v>
                </c:pt>
                <c:pt idx="601">
                  <c:v>83.35</c:v>
                </c:pt>
                <c:pt idx="602">
                  <c:v>83.85</c:v>
                </c:pt>
                <c:pt idx="603">
                  <c:v>83.8</c:v>
                </c:pt>
                <c:pt idx="604">
                  <c:v>84</c:v>
                </c:pt>
                <c:pt idx="605">
                  <c:v>84.2</c:v>
                </c:pt>
                <c:pt idx="606">
                  <c:v>84.5</c:v>
                </c:pt>
                <c:pt idx="607">
                  <c:v>83.3</c:v>
                </c:pt>
                <c:pt idx="608">
                  <c:v>83</c:v>
                </c:pt>
                <c:pt idx="609">
                  <c:v>83.35</c:v>
                </c:pt>
                <c:pt idx="610">
                  <c:v>83.2</c:v>
                </c:pt>
                <c:pt idx="611">
                  <c:v>83.25</c:v>
                </c:pt>
                <c:pt idx="612">
                  <c:v>83.9</c:v>
                </c:pt>
                <c:pt idx="613">
                  <c:v>84.35</c:v>
                </c:pt>
                <c:pt idx="614">
                  <c:v>83.35</c:v>
                </c:pt>
                <c:pt idx="615">
                  <c:v>84.35</c:v>
                </c:pt>
                <c:pt idx="616">
                  <c:v>84</c:v>
                </c:pt>
                <c:pt idx="617">
                  <c:v>83.4</c:v>
                </c:pt>
                <c:pt idx="618">
                  <c:v>84</c:v>
                </c:pt>
                <c:pt idx="619">
                  <c:v>84.55</c:v>
                </c:pt>
                <c:pt idx="620">
                  <c:v>83.7</c:v>
                </c:pt>
                <c:pt idx="621">
                  <c:v>83.7</c:v>
                </c:pt>
                <c:pt idx="622">
                  <c:v>84.35</c:v>
                </c:pt>
                <c:pt idx="623">
                  <c:v>83.9</c:v>
                </c:pt>
                <c:pt idx="624">
                  <c:v>83.35</c:v>
                </c:pt>
                <c:pt idx="625">
                  <c:v>84.95</c:v>
                </c:pt>
                <c:pt idx="626">
                  <c:v>84.45</c:v>
                </c:pt>
                <c:pt idx="627">
                  <c:v>84.05</c:v>
                </c:pt>
                <c:pt idx="628">
                  <c:v>83.45</c:v>
                </c:pt>
                <c:pt idx="629">
                  <c:v>83.75</c:v>
                </c:pt>
                <c:pt idx="630">
                  <c:v>83.55</c:v>
                </c:pt>
                <c:pt idx="631">
                  <c:v>83.45</c:v>
                </c:pt>
                <c:pt idx="632">
                  <c:v>83.25</c:v>
                </c:pt>
                <c:pt idx="633">
                  <c:v>83.35</c:v>
                </c:pt>
                <c:pt idx="634">
                  <c:v>82.95</c:v>
                </c:pt>
                <c:pt idx="635">
                  <c:v>83</c:v>
                </c:pt>
                <c:pt idx="636">
                  <c:v>83.6</c:v>
                </c:pt>
                <c:pt idx="637">
                  <c:v>84.5</c:v>
                </c:pt>
                <c:pt idx="638">
                  <c:v>84.2</c:v>
                </c:pt>
                <c:pt idx="639">
                  <c:v>83.85</c:v>
                </c:pt>
                <c:pt idx="640">
                  <c:v>83.4</c:v>
                </c:pt>
                <c:pt idx="641">
                  <c:v>83.2</c:v>
                </c:pt>
                <c:pt idx="642">
                  <c:v>82.85</c:v>
                </c:pt>
                <c:pt idx="643">
                  <c:v>83.3</c:v>
                </c:pt>
                <c:pt idx="644">
                  <c:v>84.75</c:v>
                </c:pt>
                <c:pt idx="645">
                  <c:v>83.9</c:v>
                </c:pt>
                <c:pt idx="646">
                  <c:v>83.7</c:v>
                </c:pt>
                <c:pt idx="647">
                  <c:v>83.4</c:v>
                </c:pt>
                <c:pt idx="648">
                  <c:v>83.1</c:v>
                </c:pt>
                <c:pt idx="649">
                  <c:v>83</c:v>
                </c:pt>
                <c:pt idx="650">
                  <c:v>83.15</c:v>
                </c:pt>
                <c:pt idx="651">
                  <c:v>82.7</c:v>
                </c:pt>
                <c:pt idx="652">
                  <c:v>83</c:v>
                </c:pt>
                <c:pt idx="653">
                  <c:v>82.5</c:v>
                </c:pt>
                <c:pt idx="654">
                  <c:v>82.45</c:v>
                </c:pt>
                <c:pt idx="655">
                  <c:v>82.35</c:v>
                </c:pt>
                <c:pt idx="656">
                  <c:v>82.65</c:v>
                </c:pt>
                <c:pt idx="657">
                  <c:v>82.15</c:v>
                </c:pt>
                <c:pt idx="658">
                  <c:v>82.55</c:v>
                </c:pt>
                <c:pt idx="659">
                  <c:v>82.25</c:v>
                </c:pt>
                <c:pt idx="660">
                  <c:v>82.05</c:v>
                </c:pt>
                <c:pt idx="661">
                  <c:v>81.8</c:v>
                </c:pt>
                <c:pt idx="662">
                  <c:v>82.45</c:v>
                </c:pt>
                <c:pt idx="663">
                  <c:v>81.95</c:v>
                </c:pt>
                <c:pt idx="664">
                  <c:v>82.7</c:v>
                </c:pt>
                <c:pt idx="665">
                  <c:v>82.55</c:v>
                </c:pt>
                <c:pt idx="666">
                  <c:v>82.65</c:v>
                </c:pt>
                <c:pt idx="667">
                  <c:v>82.1</c:v>
                </c:pt>
                <c:pt idx="668">
                  <c:v>82</c:v>
                </c:pt>
                <c:pt idx="669">
                  <c:v>82.15</c:v>
                </c:pt>
                <c:pt idx="670">
                  <c:v>82</c:v>
                </c:pt>
                <c:pt idx="671">
                  <c:v>84.25</c:v>
                </c:pt>
                <c:pt idx="672">
                  <c:v>82.6</c:v>
                </c:pt>
                <c:pt idx="673">
                  <c:v>83.5</c:v>
                </c:pt>
                <c:pt idx="674">
                  <c:v>82.65</c:v>
                </c:pt>
                <c:pt idx="675">
                  <c:v>82.9</c:v>
                </c:pt>
                <c:pt idx="676">
                  <c:v>82.35</c:v>
                </c:pt>
                <c:pt idx="677">
                  <c:v>82.85</c:v>
                </c:pt>
                <c:pt idx="678">
                  <c:v>82.95</c:v>
                </c:pt>
                <c:pt idx="679">
                  <c:v>83.1</c:v>
                </c:pt>
                <c:pt idx="680">
                  <c:v>82.1</c:v>
                </c:pt>
                <c:pt idx="681">
                  <c:v>82.95</c:v>
                </c:pt>
                <c:pt idx="682">
                  <c:v>81.95</c:v>
                </c:pt>
                <c:pt idx="683">
                  <c:v>82</c:v>
                </c:pt>
                <c:pt idx="684">
                  <c:v>82.45</c:v>
                </c:pt>
                <c:pt idx="685">
                  <c:v>82.3</c:v>
                </c:pt>
                <c:pt idx="686">
                  <c:v>81.849999999999994</c:v>
                </c:pt>
                <c:pt idx="687">
                  <c:v>82.65</c:v>
                </c:pt>
                <c:pt idx="688">
                  <c:v>82.2</c:v>
                </c:pt>
                <c:pt idx="689">
                  <c:v>81.8</c:v>
                </c:pt>
                <c:pt idx="690">
                  <c:v>81.3</c:v>
                </c:pt>
                <c:pt idx="691">
                  <c:v>82.3</c:v>
                </c:pt>
                <c:pt idx="692">
                  <c:v>81.8</c:v>
                </c:pt>
                <c:pt idx="693">
                  <c:v>81.099999999999994</c:v>
                </c:pt>
                <c:pt idx="694">
                  <c:v>81.05</c:v>
                </c:pt>
                <c:pt idx="695">
                  <c:v>81.05</c:v>
                </c:pt>
                <c:pt idx="696">
                  <c:v>81.400000000000006</c:v>
                </c:pt>
                <c:pt idx="697">
                  <c:v>81</c:v>
                </c:pt>
                <c:pt idx="698">
                  <c:v>80.95</c:v>
                </c:pt>
                <c:pt idx="699">
                  <c:v>82.05</c:v>
                </c:pt>
                <c:pt idx="700">
                  <c:v>81.95</c:v>
                </c:pt>
                <c:pt idx="701">
                  <c:v>81.75</c:v>
                </c:pt>
                <c:pt idx="702">
                  <c:v>80.900000000000006</c:v>
                </c:pt>
                <c:pt idx="703">
                  <c:v>81.2</c:v>
                </c:pt>
                <c:pt idx="704">
                  <c:v>81.400000000000006</c:v>
                </c:pt>
                <c:pt idx="705">
                  <c:v>81.900000000000006</c:v>
                </c:pt>
                <c:pt idx="706">
                  <c:v>82.1</c:v>
                </c:pt>
                <c:pt idx="707">
                  <c:v>83.15</c:v>
                </c:pt>
                <c:pt idx="708">
                  <c:v>82.05</c:v>
                </c:pt>
                <c:pt idx="709">
                  <c:v>80.95</c:v>
                </c:pt>
                <c:pt idx="710">
                  <c:v>81.7</c:v>
                </c:pt>
                <c:pt idx="711">
                  <c:v>81.55</c:v>
                </c:pt>
                <c:pt idx="712">
                  <c:v>83</c:v>
                </c:pt>
                <c:pt idx="713">
                  <c:v>82.9</c:v>
                </c:pt>
                <c:pt idx="714">
                  <c:v>82.7</c:v>
                </c:pt>
                <c:pt idx="715">
                  <c:v>82.05</c:v>
                </c:pt>
                <c:pt idx="716">
                  <c:v>82.55</c:v>
                </c:pt>
                <c:pt idx="717">
                  <c:v>82.75</c:v>
                </c:pt>
                <c:pt idx="718">
                  <c:v>82.25</c:v>
                </c:pt>
                <c:pt idx="719">
                  <c:v>81.7</c:v>
                </c:pt>
                <c:pt idx="720">
                  <c:v>82.15</c:v>
                </c:pt>
                <c:pt idx="721">
                  <c:v>82.55</c:v>
                </c:pt>
                <c:pt idx="722">
                  <c:v>82.75</c:v>
                </c:pt>
                <c:pt idx="723">
                  <c:v>82.15</c:v>
                </c:pt>
                <c:pt idx="724">
                  <c:v>81.849999999999994</c:v>
                </c:pt>
                <c:pt idx="725">
                  <c:v>82.55</c:v>
                </c:pt>
                <c:pt idx="726">
                  <c:v>82.25</c:v>
                </c:pt>
                <c:pt idx="727">
                  <c:v>82.4</c:v>
                </c:pt>
                <c:pt idx="728">
                  <c:v>82.95</c:v>
                </c:pt>
                <c:pt idx="729">
                  <c:v>82.9</c:v>
                </c:pt>
                <c:pt idx="730">
                  <c:v>82.45</c:v>
                </c:pt>
                <c:pt idx="731">
                  <c:v>84.2</c:v>
                </c:pt>
                <c:pt idx="732">
                  <c:v>83.9</c:v>
                </c:pt>
                <c:pt idx="733">
                  <c:v>83.65</c:v>
                </c:pt>
                <c:pt idx="734">
                  <c:v>84.4</c:v>
                </c:pt>
                <c:pt idx="735">
                  <c:v>83.55</c:v>
                </c:pt>
                <c:pt idx="736">
                  <c:v>83.35</c:v>
                </c:pt>
                <c:pt idx="737">
                  <c:v>82.65</c:v>
                </c:pt>
                <c:pt idx="738">
                  <c:v>82.9</c:v>
                </c:pt>
                <c:pt idx="739">
                  <c:v>83.25</c:v>
                </c:pt>
                <c:pt idx="740">
                  <c:v>83.7</c:v>
                </c:pt>
                <c:pt idx="741">
                  <c:v>84.05</c:v>
                </c:pt>
                <c:pt idx="742">
                  <c:v>82.95</c:v>
                </c:pt>
                <c:pt idx="743">
                  <c:v>82.75</c:v>
                </c:pt>
                <c:pt idx="744">
                  <c:v>83.1</c:v>
                </c:pt>
                <c:pt idx="745">
                  <c:v>84.2</c:v>
                </c:pt>
                <c:pt idx="746">
                  <c:v>83.6</c:v>
                </c:pt>
                <c:pt idx="747">
                  <c:v>84.35</c:v>
                </c:pt>
                <c:pt idx="748">
                  <c:v>83.35</c:v>
                </c:pt>
                <c:pt idx="749">
                  <c:v>82.95</c:v>
                </c:pt>
                <c:pt idx="750">
                  <c:v>82.75</c:v>
                </c:pt>
                <c:pt idx="751">
                  <c:v>83.1</c:v>
                </c:pt>
                <c:pt idx="752">
                  <c:v>84.1</c:v>
                </c:pt>
                <c:pt idx="753">
                  <c:v>83.6</c:v>
                </c:pt>
                <c:pt idx="754">
                  <c:v>83.35</c:v>
                </c:pt>
                <c:pt idx="755">
                  <c:v>83.15</c:v>
                </c:pt>
                <c:pt idx="756">
                  <c:v>83.45</c:v>
                </c:pt>
                <c:pt idx="757">
                  <c:v>83.85</c:v>
                </c:pt>
                <c:pt idx="758">
                  <c:v>85</c:v>
                </c:pt>
                <c:pt idx="759">
                  <c:v>83.2</c:v>
                </c:pt>
                <c:pt idx="760">
                  <c:v>83.2</c:v>
                </c:pt>
                <c:pt idx="761">
                  <c:v>83.7</c:v>
                </c:pt>
                <c:pt idx="762">
                  <c:v>83.85</c:v>
                </c:pt>
                <c:pt idx="763">
                  <c:v>83.8</c:v>
                </c:pt>
                <c:pt idx="764">
                  <c:v>83.9</c:v>
                </c:pt>
                <c:pt idx="765">
                  <c:v>83.4</c:v>
                </c:pt>
                <c:pt idx="766">
                  <c:v>83.95</c:v>
                </c:pt>
                <c:pt idx="767">
                  <c:v>84.3</c:v>
                </c:pt>
                <c:pt idx="768">
                  <c:v>83.65</c:v>
                </c:pt>
                <c:pt idx="769">
                  <c:v>83.8</c:v>
                </c:pt>
                <c:pt idx="770">
                  <c:v>83.95</c:v>
                </c:pt>
                <c:pt idx="771">
                  <c:v>86.2</c:v>
                </c:pt>
                <c:pt idx="772">
                  <c:v>85.7</c:v>
                </c:pt>
                <c:pt idx="773">
                  <c:v>84.7</c:v>
                </c:pt>
                <c:pt idx="774">
                  <c:v>84.6</c:v>
                </c:pt>
                <c:pt idx="775">
                  <c:v>84.7</c:v>
                </c:pt>
                <c:pt idx="776">
                  <c:v>84.75</c:v>
                </c:pt>
                <c:pt idx="777">
                  <c:v>84.1</c:v>
                </c:pt>
                <c:pt idx="778">
                  <c:v>83.95</c:v>
                </c:pt>
                <c:pt idx="779">
                  <c:v>84.1</c:v>
                </c:pt>
                <c:pt idx="780">
                  <c:v>84.85</c:v>
                </c:pt>
                <c:pt idx="781">
                  <c:v>84.95</c:v>
                </c:pt>
                <c:pt idx="782">
                  <c:v>84.15</c:v>
                </c:pt>
                <c:pt idx="783">
                  <c:v>83.9</c:v>
                </c:pt>
                <c:pt idx="784">
                  <c:v>84.3</c:v>
                </c:pt>
                <c:pt idx="785">
                  <c:v>84.45</c:v>
                </c:pt>
                <c:pt idx="786">
                  <c:v>84.55</c:v>
                </c:pt>
                <c:pt idx="787">
                  <c:v>85.25</c:v>
                </c:pt>
                <c:pt idx="788">
                  <c:v>85</c:v>
                </c:pt>
                <c:pt idx="789">
                  <c:v>84.7</c:v>
                </c:pt>
                <c:pt idx="790">
                  <c:v>84.8</c:v>
                </c:pt>
                <c:pt idx="791">
                  <c:v>84.35</c:v>
                </c:pt>
                <c:pt idx="792">
                  <c:v>84.1</c:v>
                </c:pt>
                <c:pt idx="793">
                  <c:v>83.75</c:v>
                </c:pt>
                <c:pt idx="794">
                  <c:v>83.5</c:v>
                </c:pt>
                <c:pt idx="795">
                  <c:v>85.45</c:v>
                </c:pt>
                <c:pt idx="796">
                  <c:v>85.85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7D-4E5B-BAE7-2A4078A87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872703"/>
        <c:axId val="166719727"/>
      </c:scatterChart>
      <c:catAx>
        <c:axId val="299872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6719727"/>
        <c:crosses val="autoZero"/>
        <c:auto val="1"/>
        <c:lblAlgn val="ctr"/>
        <c:lblOffset val="100"/>
        <c:noMultiLvlLbl val="0"/>
      </c:catAx>
      <c:valAx>
        <c:axId val="166719727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99872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7"/>
          <c:order val="3"/>
          <c:tx>
            <c:strRef>
              <c:f>Pesos_R!$Y$1</c:f>
              <c:strCache>
                <c:ptCount val="1"/>
                <c:pt idx="0">
                  <c:v> Peso Real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Pesos_R!$D$2:$D$798</c:f>
              <c:numCache>
                <c:formatCode>m/d/yyyy</c:formatCode>
                <c:ptCount val="797"/>
                <c:pt idx="0">
                  <c:v>45110</c:v>
                </c:pt>
                <c:pt idx="1">
                  <c:v>45111</c:v>
                </c:pt>
                <c:pt idx="2">
                  <c:v>45112</c:v>
                </c:pt>
                <c:pt idx="3">
                  <c:v>45113</c:v>
                </c:pt>
                <c:pt idx="4">
                  <c:v>45114</c:v>
                </c:pt>
                <c:pt idx="5">
                  <c:v>45115</c:v>
                </c:pt>
                <c:pt idx="6">
                  <c:v>45116</c:v>
                </c:pt>
                <c:pt idx="7">
                  <c:v>45117</c:v>
                </c:pt>
                <c:pt idx="8">
                  <c:v>45118</c:v>
                </c:pt>
                <c:pt idx="9">
                  <c:v>45119</c:v>
                </c:pt>
                <c:pt idx="10">
                  <c:v>45120</c:v>
                </c:pt>
                <c:pt idx="11">
                  <c:v>45121</c:v>
                </c:pt>
                <c:pt idx="12">
                  <c:v>45122</c:v>
                </c:pt>
                <c:pt idx="13">
                  <c:v>45123</c:v>
                </c:pt>
                <c:pt idx="14">
                  <c:v>45124</c:v>
                </c:pt>
                <c:pt idx="15">
                  <c:v>45125</c:v>
                </c:pt>
                <c:pt idx="16">
                  <c:v>45126</c:v>
                </c:pt>
                <c:pt idx="17">
                  <c:v>45134</c:v>
                </c:pt>
                <c:pt idx="18">
                  <c:v>45135</c:v>
                </c:pt>
                <c:pt idx="19">
                  <c:v>45136</c:v>
                </c:pt>
                <c:pt idx="20">
                  <c:v>45137</c:v>
                </c:pt>
                <c:pt idx="21">
                  <c:v>45138</c:v>
                </c:pt>
                <c:pt idx="22">
                  <c:v>45139</c:v>
                </c:pt>
                <c:pt idx="23">
                  <c:v>45140</c:v>
                </c:pt>
                <c:pt idx="24">
                  <c:v>45141</c:v>
                </c:pt>
                <c:pt idx="25">
                  <c:v>45142</c:v>
                </c:pt>
                <c:pt idx="26">
                  <c:v>45143</c:v>
                </c:pt>
                <c:pt idx="27">
                  <c:v>45144</c:v>
                </c:pt>
                <c:pt idx="28">
                  <c:v>45145</c:v>
                </c:pt>
                <c:pt idx="29">
                  <c:v>45153</c:v>
                </c:pt>
                <c:pt idx="30">
                  <c:v>45154</c:v>
                </c:pt>
                <c:pt idx="31">
                  <c:v>45155</c:v>
                </c:pt>
                <c:pt idx="32">
                  <c:v>45156</c:v>
                </c:pt>
                <c:pt idx="33">
                  <c:v>45157</c:v>
                </c:pt>
                <c:pt idx="34">
                  <c:v>45158</c:v>
                </c:pt>
                <c:pt idx="35">
                  <c:v>45159</c:v>
                </c:pt>
                <c:pt idx="36">
                  <c:v>45160</c:v>
                </c:pt>
                <c:pt idx="37">
                  <c:v>45161</c:v>
                </c:pt>
                <c:pt idx="38">
                  <c:v>45163</c:v>
                </c:pt>
                <c:pt idx="39">
                  <c:v>45164</c:v>
                </c:pt>
                <c:pt idx="40">
                  <c:v>45165</c:v>
                </c:pt>
                <c:pt idx="41">
                  <c:v>45166</c:v>
                </c:pt>
                <c:pt idx="42">
                  <c:v>45167</c:v>
                </c:pt>
                <c:pt idx="43">
                  <c:v>45168</c:v>
                </c:pt>
                <c:pt idx="44">
                  <c:v>45169</c:v>
                </c:pt>
                <c:pt idx="45">
                  <c:v>45170</c:v>
                </c:pt>
                <c:pt idx="46">
                  <c:v>45171</c:v>
                </c:pt>
                <c:pt idx="47">
                  <c:v>45172</c:v>
                </c:pt>
                <c:pt idx="48">
                  <c:v>45173</c:v>
                </c:pt>
                <c:pt idx="49">
                  <c:v>45174</c:v>
                </c:pt>
                <c:pt idx="50">
                  <c:v>45175</c:v>
                </c:pt>
                <c:pt idx="51">
                  <c:v>45176</c:v>
                </c:pt>
                <c:pt idx="52">
                  <c:v>45177</c:v>
                </c:pt>
                <c:pt idx="53">
                  <c:v>45178</c:v>
                </c:pt>
                <c:pt idx="54">
                  <c:v>45179</c:v>
                </c:pt>
                <c:pt idx="55">
                  <c:v>45180</c:v>
                </c:pt>
                <c:pt idx="56">
                  <c:v>45181</c:v>
                </c:pt>
                <c:pt idx="57">
                  <c:v>45182</c:v>
                </c:pt>
                <c:pt idx="58">
                  <c:v>45183</c:v>
                </c:pt>
                <c:pt idx="59">
                  <c:v>45184</c:v>
                </c:pt>
                <c:pt idx="60">
                  <c:v>45185</c:v>
                </c:pt>
                <c:pt idx="61">
                  <c:v>45186</c:v>
                </c:pt>
                <c:pt idx="62">
                  <c:v>45187</c:v>
                </c:pt>
                <c:pt idx="63">
                  <c:v>45188</c:v>
                </c:pt>
                <c:pt idx="64">
                  <c:v>45189</c:v>
                </c:pt>
                <c:pt idx="65">
                  <c:v>45190</c:v>
                </c:pt>
                <c:pt idx="66">
                  <c:v>45193</c:v>
                </c:pt>
                <c:pt idx="67">
                  <c:v>45194</c:v>
                </c:pt>
                <c:pt idx="68">
                  <c:v>45195</c:v>
                </c:pt>
                <c:pt idx="69">
                  <c:v>45196</c:v>
                </c:pt>
                <c:pt idx="70">
                  <c:v>45197</c:v>
                </c:pt>
                <c:pt idx="71">
                  <c:v>45198</c:v>
                </c:pt>
                <c:pt idx="72">
                  <c:v>45199</c:v>
                </c:pt>
                <c:pt idx="73">
                  <c:v>45200</c:v>
                </c:pt>
                <c:pt idx="74">
                  <c:v>45201</c:v>
                </c:pt>
                <c:pt idx="75">
                  <c:v>45202</c:v>
                </c:pt>
                <c:pt idx="76">
                  <c:v>45203</c:v>
                </c:pt>
                <c:pt idx="77">
                  <c:v>45204</c:v>
                </c:pt>
                <c:pt idx="78">
                  <c:v>45205</c:v>
                </c:pt>
                <c:pt idx="79">
                  <c:v>45206</c:v>
                </c:pt>
                <c:pt idx="80">
                  <c:v>45207</c:v>
                </c:pt>
                <c:pt idx="81">
                  <c:v>45208</c:v>
                </c:pt>
                <c:pt idx="82">
                  <c:v>45209</c:v>
                </c:pt>
                <c:pt idx="83">
                  <c:v>45210</c:v>
                </c:pt>
                <c:pt idx="84">
                  <c:v>45211</c:v>
                </c:pt>
                <c:pt idx="85">
                  <c:v>45212</c:v>
                </c:pt>
                <c:pt idx="86">
                  <c:v>45213</c:v>
                </c:pt>
                <c:pt idx="87">
                  <c:v>45214</c:v>
                </c:pt>
                <c:pt idx="88">
                  <c:v>45215</c:v>
                </c:pt>
                <c:pt idx="89">
                  <c:v>45216</c:v>
                </c:pt>
                <c:pt idx="90">
                  <c:v>45219</c:v>
                </c:pt>
                <c:pt idx="91">
                  <c:v>45220</c:v>
                </c:pt>
                <c:pt idx="92">
                  <c:v>45221</c:v>
                </c:pt>
                <c:pt idx="93">
                  <c:v>45222</c:v>
                </c:pt>
                <c:pt idx="94">
                  <c:v>45223</c:v>
                </c:pt>
                <c:pt idx="95">
                  <c:v>45224</c:v>
                </c:pt>
                <c:pt idx="96">
                  <c:v>45226</c:v>
                </c:pt>
                <c:pt idx="97">
                  <c:v>45227</c:v>
                </c:pt>
                <c:pt idx="98">
                  <c:v>45228</c:v>
                </c:pt>
                <c:pt idx="99">
                  <c:v>45229</c:v>
                </c:pt>
                <c:pt idx="100">
                  <c:v>45230</c:v>
                </c:pt>
                <c:pt idx="101">
                  <c:v>45231</c:v>
                </c:pt>
                <c:pt idx="102">
                  <c:v>45232</c:v>
                </c:pt>
                <c:pt idx="103">
                  <c:v>45233</c:v>
                </c:pt>
                <c:pt idx="104">
                  <c:v>45234</c:v>
                </c:pt>
                <c:pt idx="105">
                  <c:v>45235</c:v>
                </c:pt>
                <c:pt idx="106">
                  <c:v>45241</c:v>
                </c:pt>
                <c:pt idx="107">
                  <c:v>45242</c:v>
                </c:pt>
                <c:pt idx="108">
                  <c:v>45243</c:v>
                </c:pt>
                <c:pt idx="109">
                  <c:v>45244</c:v>
                </c:pt>
                <c:pt idx="110">
                  <c:v>45245</c:v>
                </c:pt>
                <c:pt idx="111">
                  <c:v>45246</c:v>
                </c:pt>
                <c:pt idx="112">
                  <c:v>45248</c:v>
                </c:pt>
                <c:pt idx="113">
                  <c:v>45249</c:v>
                </c:pt>
                <c:pt idx="114">
                  <c:v>45250</c:v>
                </c:pt>
                <c:pt idx="115">
                  <c:v>45251</c:v>
                </c:pt>
                <c:pt idx="116">
                  <c:v>45252</c:v>
                </c:pt>
                <c:pt idx="117">
                  <c:v>45253</c:v>
                </c:pt>
                <c:pt idx="118">
                  <c:v>45254</c:v>
                </c:pt>
                <c:pt idx="119">
                  <c:v>45255</c:v>
                </c:pt>
                <c:pt idx="120">
                  <c:v>45256</c:v>
                </c:pt>
                <c:pt idx="121">
                  <c:v>45257</c:v>
                </c:pt>
                <c:pt idx="122">
                  <c:v>45258</c:v>
                </c:pt>
                <c:pt idx="123">
                  <c:v>45259</c:v>
                </c:pt>
                <c:pt idx="124">
                  <c:v>45260</c:v>
                </c:pt>
                <c:pt idx="125">
                  <c:v>45261</c:v>
                </c:pt>
                <c:pt idx="126">
                  <c:v>45262</c:v>
                </c:pt>
                <c:pt idx="127">
                  <c:v>45263</c:v>
                </c:pt>
                <c:pt idx="128">
                  <c:v>45264</c:v>
                </c:pt>
                <c:pt idx="129">
                  <c:v>45265</c:v>
                </c:pt>
                <c:pt idx="130">
                  <c:v>45266</c:v>
                </c:pt>
                <c:pt idx="131">
                  <c:v>45267</c:v>
                </c:pt>
                <c:pt idx="132">
                  <c:v>45268</c:v>
                </c:pt>
                <c:pt idx="133">
                  <c:v>45269</c:v>
                </c:pt>
                <c:pt idx="134">
                  <c:v>45270</c:v>
                </c:pt>
                <c:pt idx="135">
                  <c:v>45271</c:v>
                </c:pt>
                <c:pt idx="136">
                  <c:v>45272</c:v>
                </c:pt>
                <c:pt idx="137">
                  <c:v>45273</c:v>
                </c:pt>
                <c:pt idx="138">
                  <c:v>45274</c:v>
                </c:pt>
                <c:pt idx="139">
                  <c:v>45275</c:v>
                </c:pt>
                <c:pt idx="140">
                  <c:v>45276</c:v>
                </c:pt>
                <c:pt idx="141">
                  <c:v>45277</c:v>
                </c:pt>
                <c:pt idx="142">
                  <c:v>45278</c:v>
                </c:pt>
                <c:pt idx="143">
                  <c:v>45279</c:v>
                </c:pt>
                <c:pt idx="144">
                  <c:v>45280</c:v>
                </c:pt>
                <c:pt idx="145">
                  <c:v>45281</c:v>
                </c:pt>
                <c:pt idx="146">
                  <c:v>45282</c:v>
                </c:pt>
                <c:pt idx="147">
                  <c:v>45283</c:v>
                </c:pt>
                <c:pt idx="148">
                  <c:v>45284</c:v>
                </c:pt>
                <c:pt idx="149">
                  <c:v>45285</c:v>
                </c:pt>
                <c:pt idx="150">
                  <c:v>45286</c:v>
                </c:pt>
                <c:pt idx="151">
                  <c:v>45291</c:v>
                </c:pt>
                <c:pt idx="152">
                  <c:v>45292</c:v>
                </c:pt>
                <c:pt idx="153">
                  <c:v>45293</c:v>
                </c:pt>
                <c:pt idx="154">
                  <c:v>45294</c:v>
                </c:pt>
                <c:pt idx="155">
                  <c:v>45295</c:v>
                </c:pt>
                <c:pt idx="156">
                  <c:v>45296</c:v>
                </c:pt>
                <c:pt idx="157">
                  <c:v>45297</c:v>
                </c:pt>
                <c:pt idx="158">
                  <c:v>45298</c:v>
                </c:pt>
                <c:pt idx="159">
                  <c:v>45299</c:v>
                </c:pt>
                <c:pt idx="160">
                  <c:v>45300</c:v>
                </c:pt>
                <c:pt idx="161">
                  <c:v>45301</c:v>
                </c:pt>
                <c:pt idx="162">
                  <c:v>45302</c:v>
                </c:pt>
                <c:pt idx="163">
                  <c:v>45303</c:v>
                </c:pt>
                <c:pt idx="164">
                  <c:v>45304</c:v>
                </c:pt>
                <c:pt idx="165">
                  <c:v>45305</c:v>
                </c:pt>
                <c:pt idx="166">
                  <c:v>45306</c:v>
                </c:pt>
                <c:pt idx="167">
                  <c:v>45307</c:v>
                </c:pt>
                <c:pt idx="168">
                  <c:v>45308</c:v>
                </c:pt>
                <c:pt idx="169">
                  <c:v>45309</c:v>
                </c:pt>
                <c:pt idx="170">
                  <c:v>45310</c:v>
                </c:pt>
                <c:pt idx="171">
                  <c:v>45312</c:v>
                </c:pt>
                <c:pt idx="172">
                  <c:v>45313</c:v>
                </c:pt>
                <c:pt idx="173">
                  <c:v>45314</c:v>
                </c:pt>
                <c:pt idx="174">
                  <c:v>45315</c:v>
                </c:pt>
                <c:pt idx="175">
                  <c:v>45316</c:v>
                </c:pt>
                <c:pt idx="176">
                  <c:v>45317</c:v>
                </c:pt>
                <c:pt idx="177">
                  <c:v>45318</c:v>
                </c:pt>
                <c:pt idx="178">
                  <c:v>45319</c:v>
                </c:pt>
                <c:pt idx="179">
                  <c:v>45320</c:v>
                </c:pt>
                <c:pt idx="180">
                  <c:v>45321</c:v>
                </c:pt>
                <c:pt idx="181">
                  <c:v>45322</c:v>
                </c:pt>
                <c:pt idx="182">
                  <c:v>45323</c:v>
                </c:pt>
                <c:pt idx="183">
                  <c:v>45324</c:v>
                </c:pt>
                <c:pt idx="184">
                  <c:v>45325</c:v>
                </c:pt>
                <c:pt idx="185">
                  <c:v>45326</c:v>
                </c:pt>
                <c:pt idx="186">
                  <c:v>45327</c:v>
                </c:pt>
                <c:pt idx="187">
                  <c:v>45328</c:v>
                </c:pt>
                <c:pt idx="188">
                  <c:v>45329</c:v>
                </c:pt>
                <c:pt idx="189">
                  <c:v>45330</c:v>
                </c:pt>
                <c:pt idx="190">
                  <c:v>45331</c:v>
                </c:pt>
                <c:pt idx="191">
                  <c:v>45332</c:v>
                </c:pt>
                <c:pt idx="192">
                  <c:v>45333</c:v>
                </c:pt>
                <c:pt idx="193">
                  <c:v>45334</c:v>
                </c:pt>
                <c:pt idx="194">
                  <c:v>45335</c:v>
                </c:pt>
                <c:pt idx="195">
                  <c:v>45336</c:v>
                </c:pt>
                <c:pt idx="196">
                  <c:v>45339</c:v>
                </c:pt>
                <c:pt idx="197">
                  <c:v>45340</c:v>
                </c:pt>
                <c:pt idx="198">
                  <c:v>45341</c:v>
                </c:pt>
                <c:pt idx="199">
                  <c:v>45342</c:v>
                </c:pt>
                <c:pt idx="200">
                  <c:v>45343</c:v>
                </c:pt>
                <c:pt idx="201">
                  <c:v>45344</c:v>
                </c:pt>
                <c:pt idx="202">
                  <c:v>45345</c:v>
                </c:pt>
                <c:pt idx="203">
                  <c:v>45346</c:v>
                </c:pt>
                <c:pt idx="204">
                  <c:v>45347</c:v>
                </c:pt>
                <c:pt idx="205">
                  <c:v>45348</c:v>
                </c:pt>
                <c:pt idx="206">
                  <c:v>45349</c:v>
                </c:pt>
                <c:pt idx="207">
                  <c:v>45350</c:v>
                </c:pt>
                <c:pt idx="208">
                  <c:v>45351</c:v>
                </c:pt>
                <c:pt idx="209">
                  <c:v>45352</c:v>
                </c:pt>
                <c:pt idx="210">
                  <c:v>45353</c:v>
                </c:pt>
                <c:pt idx="211">
                  <c:v>45354</c:v>
                </c:pt>
                <c:pt idx="212">
                  <c:v>45355</c:v>
                </c:pt>
                <c:pt idx="213">
                  <c:v>45356</c:v>
                </c:pt>
                <c:pt idx="214">
                  <c:v>45357</c:v>
                </c:pt>
                <c:pt idx="215">
                  <c:v>45358</c:v>
                </c:pt>
                <c:pt idx="216">
                  <c:v>45359</c:v>
                </c:pt>
                <c:pt idx="217">
                  <c:v>45360</c:v>
                </c:pt>
                <c:pt idx="218">
                  <c:v>45361</c:v>
                </c:pt>
                <c:pt idx="219">
                  <c:v>45362</c:v>
                </c:pt>
                <c:pt idx="220">
                  <c:v>45366</c:v>
                </c:pt>
                <c:pt idx="221">
                  <c:v>45367</c:v>
                </c:pt>
                <c:pt idx="222">
                  <c:v>45368</c:v>
                </c:pt>
                <c:pt idx="223">
                  <c:v>45369</c:v>
                </c:pt>
                <c:pt idx="224">
                  <c:v>45370</c:v>
                </c:pt>
                <c:pt idx="225">
                  <c:v>45371</c:v>
                </c:pt>
                <c:pt idx="226">
                  <c:v>45372</c:v>
                </c:pt>
                <c:pt idx="227">
                  <c:v>45373</c:v>
                </c:pt>
                <c:pt idx="228">
                  <c:v>45374</c:v>
                </c:pt>
                <c:pt idx="229">
                  <c:v>45381</c:v>
                </c:pt>
                <c:pt idx="230">
                  <c:v>45383</c:v>
                </c:pt>
                <c:pt idx="231">
                  <c:v>45384</c:v>
                </c:pt>
                <c:pt idx="232">
                  <c:v>45385</c:v>
                </c:pt>
                <c:pt idx="233">
                  <c:v>45386</c:v>
                </c:pt>
                <c:pt idx="234">
                  <c:v>45387</c:v>
                </c:pt>
                <c:pt idx="235">
                  <c:v>45388</c:v>
                </c:pt>
                <c:pt idx="236">
                  <c:v>45389</c:v>
                </c:pt>
                <c:pt idx="237">
                  <c:v>45392</c:v>
                </c:pt>
                <c:pt idx="238">
                  <c:v>45393</c:v>
                </c:pt>
                <c:pt idx="239">
                  <c:v>45394</c:v>
                </c:pt>
                <c:pt idx="240">
                  <c:v>45395</c:v>
                </c:pt>
                <c:pt idx="241">
                  <c:v>45396</c:v>
                </c:pt>
                <c:pt idx="242">
                  <c:v>45397</c:v>
                </c:pt>
                <c:pt idx="243">
                  <c:v>45398</c:v>
                </c:pt>
                <c:pt idx="244">
                  <c:v>45399</c:v>
                </c:pt>
                <c:pt idx="245">
                  <c:v>45400</c:v>
                </c:pt>
                <c:pt idx="246">
                  <c:v>45401</c:v>
                </c:pt>
                <c:pt idx="247">
                  <c:v>45402</c:v>
                </c:pt>
                <c:pt idx="248">
                  <c:v>45404</c:v>
                </c:pt>
                <c:pt idx="249">
                  <c:v>45405</c:v>
                </c:pt>
                <c:pt idx="250">
                  <c:v>45406</c:v>
                </c:pt>
                <c:pt idx="251">
                  <c:v>45407</c:v>
                </c:pt>
                <c:pt idx="252">
                  <c:v>45408</c:v>
                </c:pt>
                <c:pt idx="253">
                  <c:v>45409</c:v>
                </c:pt>
                <c:pt idx="254">
                  <c:v>45410</c:v>
                </c:pt>
                <c:pt idx="255">
                  <c:v>45411</c:v>
                </c:pt>
                <c:pt idx="256">
                  <c:v>45412</c:v>
                </c:pt>
                <c:pt idx="257">
                  <c:v>45413</c:v>
                </c:pt>
                <c:pt idx="258">
                  <c:v>45414</c:v>
                </c:pt>
                <c:pt idx="259">
                  <c:v>45415</c:v>
                </c:pt>
                <c:pt idx="260">
                  <c:v>45416</c:v>
                </c:pt>
                <c:pt idx="261">
                  <c:v>45417</c:v>
                </c:pt>
                <c:pt idx="262">
                  <c:v>45418</c:v>
                </c:pt>
                <c:pt idx="263">
                  <c:v>45419</c:v>
                </c:pt>
                <c:pt idx="264">
                  <c:v>45420</c:v>
                </c:pt>
                <c:pt idx="265">
                  <c:v>45421</c:v>
                </c:pt>
                <c:pt idx="266">
                  <c:v>45422</c:v>
                </c:pt>
                <c:pt idx="267">
                  <c:v>45423</c:v>
                </c:pt>
                <c:pt idx="268">
                  <c:v>45424</c:v>
                </c:pt>
                <c:pt idx="269">
                  <c:v>45425</c:v>
                </c:pt>
                <c:pt idx="270">
                  <c:v>45426</c:v>
                </c:pt>
                <c:pt idx="271">
                  <c:v>45427</c:v>
                </c:pt>
                <c:pt idx="272">
                  <c:v>45428</c:v>
                </c:pt>
                <c:pt idx="273">
                  <c:v>45429</c:v>
                </c:pt>
                <c:pt idx="274">
                  <c:v>45431</c:v>
                </c:pt>
                <c:pt idx="275">
                  <c:v>45432</c:v>
                </c:pt>
                <c:pt idx="276">
                  <c:v>45433</c:v>
                </c:pt>
                <c:pt idx="277">
                  <c:v>45434</c:v>
                </c:pt>
                <c:pt idx="278">
                  <c:v>45437</c:v>
                </c:pt>
                <c:pt idx="279">
                  <c:v>45438</c:v>
                </c:pt>
                <c:pt idx="280">
                  <c:v>45439</c:v>
                </c:pt>
                <c:pt idx="281">
                  <c:v>45440</c:v>
                </c:pt>
                <c:pt idx="282">
                  <c:v>45441</c:v>
                </c:pt>
                <c:pt idx="283">
                  <c:v>45442</c:v>
                </c:pt>
                <c:pt idx="284">
                  <c:v>45443</c:v>
                </c:pt>
                <c:pt idx="285">
                  <c:v>45444</c:v>
                </c:pt>
                <c:pt idx="286">
                  <c:v>45445</c:v>
                </c:pt>
                <c:pt idx="287">
                  <c:v>45446</c:v>
                </c:pt>
                <c:pt idx="288">
                  <c:v>45447</c:v>
                </c:pt>
                <c:pt idx="289">
                  <c:v>45448</c:v>
                </c:pt>
                <c:pt idx="290">
                  <c:v>45449</c:v>
                </c:pt>
                <c:pt idx="291">
                  <c:v>45450</c:v>
                </c:pt>
                <c:pt idx="292">
                  <c:v>45451</c:v>
                </c:pt>
                <c:pt idx="293">
                  <c:v>45452</c:v>
                </c:pt>
                <c:pt idx="294">
                  <c:v>45453</c:v>
                </c:pt>
                <c:pt idx="295">
                  <c:v>45454</c:v>
                </c:pt>
                <c:pt idx="296">
                  <c:v>45455</c:v>
                </c:pt>
                <c:pt idx="297">
                  <c:v>45456</c:v>
                </c:pt>
                <c:pt idx="298">
                  <c:v>45457</c:v>
                </c:pt>
                <c:pt idx="299">
                  <c:v>45458</c:v>
                </c:pt>
                <c:pt idx="300">
                  <c:v>45459</c:v>
                </c:pt>
                <c:pt idx="301">
                  <c:v>45460</c:v>
                </c:pt>
                <c:pt idx="302">
                  <c:v>45461</c:v>
                </c:pt>
                <c:pt idx="303">
                  <c:v>45462</c:v>
                </c:pt>
                <c:pt idx="304">
                  <c:v>45463</c:v>
                </c:pt>
                <c:pt idx="305">
                  <c:v>45464</c:v>
                </c:pt>
                <c:pt idx="306">
                  <c:v>45469</c:v>
                </c:pt>
                <c:pt idx="307">
                  <c:v>45470</c:v>
                </c:pt>
                <c:pt idx="308">
                  <c:v>45471</c:v>
                </c:pt>
                <c:pt idx="309">
                  <c:v>45472</c:v>
                </c:pt>
                <c:pt idx="310">
                  <c:v>45473</c:v>
                </c:pt>
                <c:pt idx="311">
                  <c:v>45474</c:v>
                </c:pt>
                <c:pt idx="312">
                  <c:v>45475</c:v>
                </c:pt>
                <c:pt idx="313">
                  <c:v>45478</c:v>
                </c:pt>
                <c:pt idx="314">
                  <c:v>45479</c:v>
                </c:pt>
                <c:pt idx="315">
                  <c:v>45480</c:v>
                </c:pt>
                <c:pt idx="316">
                  <c:v>45481</c:v>
                </c:pt>
                <c:pt idx="317">
                  <c:v>45482</c:v>
                </c:pt>
                <c:pt idx="318">
                  <c:v>45483</c:v>
                </c:pt>
                <c:pt idx="319">
                  <c:v>45487</c:v>
                </c:pt>
                <c:pt idx="320">
                  <c:v>45488</c:v>
                </c:pt>
                <c:pt idx="321">
                  <c:v>45504</c:v>
                </c:pt>
                <c:pt idx="322">
                  <c:v>45505</c:v>
                </c:pt>
                <c:pt idx="323">
                  <c:v>45506</c:v>
                </c:pt>
                <c:pt idx="324">
                  <c:v>45507</c:v>
                </c:pt>
                <c:pt idx="325">
                  <c:v>45508</c:v>
                </c:pt>
                <c:pt idx="326">
                  <c:v>45509</c:v>
                </c:pt>
                <c:pt idx="327">
                  <c:v>45510</c:v>
                </c:pt>
                <c:pt idx="328">
                  <c:v>45511</c:v>
                </c:pt>
                <c:pt idx="329">
                  <c:v>45512</c:v>
                </c:pt>
                <c:pt idx="330">
                  <c:v>45513</c:v>
                </c:pt>
                <c:pt idx="331">
                  <c:v>45514</c:v>
                </c:pt>
                <c:pt idx="332">
                  <c:v>45515</c:v>
                </c:pt>
                <c:pt idx="333">
                  <c:v>45516</c:v>
                </c:pt>
                <c:pt idx="334">
                  <c:v>45517</c:v>
                </c:pt>
                <c:pt idx="335">
                  <c:v>45518</c:v>
                </c:pt>
                <c:pt idx="336">
                  <c:v>45519</c:v>
                </c:pt>
                <c:pt idx="337">
                  <c:v>45524</c:v>
                </c:pt>
                <c:pt idx="338">
                  <c:v>45525</c:v>
                </c:pt>
                <c:pt idx="339">
                  <c:v>45526</c:v>
                </c:pt>
                <c:pt idx="340">
                  <c:v>45527</c:v>
                </c:pt>
                <c:pt idx="341">
                  <c:v>45528</c:v>
                </c:pt>
                <c:pt idx="342">
                  <c:v>45529</c:v>
                </c:pt>
                <c:pt idx="343">
                  <c:v>45536</c:v>
                </c:pt>
                <c:pt idx="344">
                  <c:v>45537</c:v>
                </c:pt>
                <c:pt idx="345">
                  <c:v>45538</c:v>
                </c:pt>
                <c:pt idx="346">
                  <c:v>45539</c:v>
                </c:pt>
                <c:pt idx="347">
                  <c:v>45540</c:v>
                </c:pt>
                <c:pt idx="348">
                  <c:v>45541</c:v>
                </c:pt>
                <c:pt idx="349">
                  <c:v>45542</c:v>
                </c:pt>
                <c:pt idx="350">
                  <c:v>45543</c:v>
                </c:pt>
                <c:pt idx="351">
                  <c:v>45544</c:v>
                </c:pt>
                <c:pt idx="352">
                  <c:v>45545</c:v>
                </c:pt>
                <c:pt idx="353">
                  <c:v>45546</c:v>
                </c:pt>
                <c:pt idx="354">
                  <c:v>45547</c:v>
                </c:pt>
                <c:pt idx="355">
                  <c:v>45548</c:v>
                </c:pt>
                <c:pt idx="356">
                  <c:v>45549</c:v>
                </c:pt>
                <c:pt idx="357">
                  <c:v>45550</c:v>
                </c:pt>
                <c:pt idx="358">
                  <c:v>45553</c:v>
                </c:pt>
                <c:pt idx="359">
                  <c:v>45554</c:v>
                </c:pt>
                <c:pt idx="360">
                  <c:v>45557</c:v>
                </c:pt>
                <c:pt idx="361">
                  <c:v>45558</c:v>
                </c:pt>
                <c:pt idx="362">
                  <c:v>45559</c:v>
                </c:pt>
                <c:pt idx="363">
                  <c:v>45560</c:v>
                </c:pt>
                <c:pt idx="364">
                  <c:v>45561</c:v>
                </c:pt>
                <c:pt idx="365">
                  <c:v>45562</c:v>
                </c:pt>
                <c:pt idx="366">
                  <c:v>45563</c:v>
                </c:pt>
                <c:pt idx="367">
                  <c:v>45564</c:v>
                </c:pt>
                <c:pt idx="368">
                  <c:v>45565</c:v>
                </c:pt>
                <c:pt idx="369">
                  <c:v>45566</c:v>
                </c:pt>
                <c:pt idx="370">
                  <c:v>45567</c:v>
                </c:pt>
                <c:pt idx="371">
                  <c:v>45568</c:v>
                </c:pt>
                <c:pt idx="372">
                  <c:v>45569</c:v>
                </c:pt>
                <c:pt idx="373">
                  <c:v>45570</c:v>
                </c:pt>
                <c:pt idx="374">
                  <c:v>45571</c:v>
                </c:pt>
                <c:pt idx="375">
                  <c:v>45572</c:v>
                </c:pt>
                <c:pt idx="376">
                  <c:v>45573</c:v>
                </c:pt>
                <c:pt idx="377">
                  <c:v>45574</c:v>
                </c:pt>
                <c:pt idx="378">
                  <c:v>45575</c:v>
                </c:pt>
                <c:pt idx="379">
                  <c:v>45576</c:v>
                </c:pt>
                <c:pt idx="380">
                  <c:v>45579</c:v>
                </c:pt>
                <c:pt idx="381">
                  <c:v>45580</c:v>
                </c:pt>
                <c:pt idx="382">
                  <c:v>45581</c:v>
                </c:pt>
                <c:pt idx="383">
                  <c:v>45582</c:v>
                </c:pt>
                <c:pt idx="384">
                  <c:v>45583</c:v>
                </c:pt>
                <c:pt idx="385">
                  <c:v>45584</c:v>
                </c:pt>
                <c:pt idx="386">
                  <c:v>45585</c:v>
                </c:pt>
                <c:pt idx="387">
                  <c:v>45591</c:v>
                </c:pt>
                <c:pt idx="388">
                  <c:v>45592</c:v>
                </c:pt>
                <c:pt idx="389">
                  <c:v>45593</c:v>
                </c:pt>
                <c:pt idx="390">
                  <c:v>45594</c:v>
                </c:pt>
                <c:pt idx="391">
                  <c:v>45595</c:v>
                </c:pt>
                <c:pt idx="392">
                  <c:v>45596</c:v>
                </c:pt>
                <c:pt idx="393">
                  <c:v>45597</c:v>
                </c:pt>
                <c:pt idx="394">
                  <c:v>45598</c:v>
                </c:pt>
                <c:pt idx="395">
                  <c:v>45599</c:v>
                </c:pt>
                <c:pt idx="396">
                  <c:v>45600</c:v>
                </c:pt>
                <c:pt idx="397">
                  <c:v>45601</c:v>
                </c:pt>
                <c:pt idx="398">
                  <c:v>45602</c:v>
                </c:pt>
                <c:pt idx="399">
                  <c:v>45604</c:v>
                </c:pt>
                <c:pt idx="400">
                  <c:v>45605</c:v>
                </c:pt>
                <c:pt idx="401">
                  <c:v>45606</c:v>
                </c:pt>
                <c:pt idx="402">
                  <c:v>45607</c:v>
                </c:pt>
                <c:pt idx="403">
                  <c:v>45608</c:v>
                </c:pt>
                <c:pt idx="404">
                  <c:v>45609</c:v>
                </c:pt>
                <c:pt idx="405">
                  <c:v>45610</c:v>
                </c:pt>
                <c:pt idx="406">
                  <c:v>45611</c:v>
                </c:pt>
                <c:pt idx="407">
                  <c:v>45612</c:v>
                </c:pt>
                <c:pt idx="408">
                  <c:v>45618</c:v>
                </c:pt>
                <c:pt idx="409">
                  <c:v>45619</c:v>
                </c:pt>
                <c:pt idx="410">
                  <c:v>45620</c:v>
                </c:pt>
                <c:pt idx="411">
                  <c:v>45626</c:v>
                </c:pt>
                <c:pt idx="412">
                  <c:v>45627</c:v>
                </c:pt>
                <c:pt idx="413">
                  <c:v>45628</c:v>
                </c:pt>
                <c:pt idx="414">
                  <c:v>45629</c:v>
                </c:pt>
                <c:pt idx="415">
                  <c:v>45630</c:v>
                </c:pt>
                <c:pt idx="416">
                  <c:v>45635</c:v>
                </c:pt>
                <c:pt idx="417">
                  <c:v>45639</c:v>
                </c:pt>
                <c:pt idx="418">
                  <c:v>45640</c:v>
                </c:pt>
                <c:pt idx="419">
                  <c:v>45641</c:v>
                </c:pt>
                <c:pt idx="420">
                  <c:v>45642</c:v>
                </c:pt>
                <c:pt idx="421">
                  <c:v>45643</c:v>
                </c:pt>
                <c:pt idx="422">
                  <c:v>45644</c:v>
                </c:pt>
                <c:pt idx="423">
                  <c:v>45645</c:v>
                </c:pt>
                <c:pt idx="424">
                  <c:v>45646</c:v>
                </c:pt>
                <c:pt idx="425">
                  <c:v>45647</c:v>
                </c:pt>
                <c:pt idx="426">
                  <c:v>45648</c:v>
                </c:pt>
                <c:pt idx="427">
                  <c:v>45649</c:v>
                </c:pt>
                <c:pt idx="428">
                  <c:v>45650</c:v>
                </c:pt>
                <c:pt idx="429">
                  <c:v>45651</c:v>
                </c:pt>
                <c:pt idx="430">
                  <c:v>45657</c:v>
                </c:pt>
                <c:pt idx="431">
                  <c:v>45658</c:v>
                </c:pt>
                <c:pt idx="432">
                  <c:v>45659</c:v>
                </c:pt>
                <c:pt idx="433">
                  <c:v>45660</c:v>
                </c:pt>
                <c:pt idx="434">
                  <c:v>45661</c:v>
                </c:pt>
                <c:pt idx="435">
                  <c:v>45662</c:v>
                </c:pt>
                <c:pt idx="436">
                  <c:v>45664</c:v>
                </c:pt>
                <c:pt idx="437">
                  <c:v>45665</c:v>
                </c:pt>
                <c:pt idx="438">
                  <c:v>45666</c:v>
                </c:pt>
                <c:pt idx="439">
                  <c:v>45667</c:v>
                </c:pt>
                <c:pt idx="440">
                  <c:v>45668</c:v>
                </c:pt>
                <c:pt idx="441">
                  <c:v>45669</c:v>
                </c:pt>
                <c:pt idx="442">
                  <c:v>45670</c:v>
                </c:pt>
                <c:pt idx="443">
                  <c:v>45671</c:v>
                </c:pt>
                <c:pt idx="444">
                  <c:v>45672</c:v>
                </c:pt>
                <c:pt idx="445">
                  <c:v>45673</c:v>
                </c:pt>
                <c:pt idx="446">
                  <c:v>45674</c:v>
                </c:pt>
                <c:pt idx="447">
                  <c:v>45675</c:v>
                </c:pt>
                <c:pt idx="448">
                  <c:v>45676</c:v>
                </c:pt>
                <c:pt idx="449">
                  <c:v>45677</c:v>
                </c:pt>
                <c:pt idx="450">
                  <c:v>45678</c:v>
                </c:pt>
                <c:pt idx="451">
                  <c:v>45679</c:v>
                </c:pt>
                <c:pt idx="452">
                  <c:v>45680</c:v>
                </c:pt>
                <c:pt idx="453">
                  <c:v>45681</c:v>
                </c:pt>
                <c:pt idx="454">
                  <c:v>45682</c:v>
                </c:pt>
                <c:pt idx="455">
                  <c:v>45683</c:v>
                </c:pt>
                <c:pt idx="456">
                  <c:v>45684</c:v>
                </c:pt>
                <c:pt idx="457">
                  <c:v>45685</c:v>
                </c:pt>
                <c:pt idx="458">
                  <c:v>45686</c:v>
                </c:pt>
                <c:pt idx="459">
                  <c:v>45687</c:v>
                </c:pt>
                <c:pt idx="460">
                  <c:v>45688</c:v>
                </c:pt>
                <c:pt idx="461">
                  <c:v>45689</c:v>
                </c:pt>
                <c:pt idx="462">
                  <c:v>45690</c:v>
                </c:pt>
                <c:pt idx="463">
                  <c:v>45691</c:v>
                </c:pt>
                <c:pt idx="464">
                  <c:v>45696</c:v>
                </c:pt>
                <c:pt idx="465">
                  <c:v>45697</c:v>
                </c:pt>
                <c:pt idx="466">
                  <c:v>45698</c:v>
                </c:pt>
                <c:pt idx="467">
                  <c:v>45699</c:v>
                </c:pt>
                <c:pt idx="468">
                  <c:v>45700</c:v>
                </c:pt>
                <c:pt idx="469">
                  <c:v>45701</c:v>
                </c:pt>
                <c:pt idx="470">
                  <c:v>45702</c:v>
                </c:pt>
                <c:pt idx="471">
                  <c:v>45703</c:v>
                </c:pt>
                <c:pt idx="472">
                  <c:v>45704</c:v>
                </c:pt>
                <c:pt idx="473">
                  <c:v>45705</c:v>
                </c:pt>
                <c:pt idx="474">
                  <c:v>45706</c:v>
                </c:pt>
                <c:pt idx="475">
                  <c:v>45707</c:v>
                </c:pt>
                <c:pt idx="476">
                  <c:v>45715</c:v>
                </c:pt>
                <c:pt idx="477">
                  <c:v>45716</c:v>
                </c:pt>
                <c:pt idx="478">
                  <c:v>45717</c:v>
                </c:pt>
                <c:pt idx="479">
                  <c:v>45718</c:v>
                </c:pt>
                <c:pt idx="480">
                  <c:v>45719</c:v>
                </c:pt>
                <c:pt idx="481">
                  <c:v>45720</c:v>
                </c:pt>
                <c:pt idx="482">
                  <c:v>45723</c:v>
                </c:pt>
                <c:pt idx="483">
                  <c:v>45724</c:v>
                </c:pt>
                <c:pt idx="484">
                  <c:v>45725</c:v>
                </c:pt>
                <c:pt idx="485">
                  <c:v>45726</c:v>
                </c:pt>
                <c:pt idx="486">
                  <c:v>45727</c:v>
                </c:pt>
                <c:pt idx="487">
                  <c:v>45729</c:v>
                </c:pt>
                <c:pt idx="488">
                  <c:v>45730</c:v>
                </c:pt>
                <c:pt idx="489">
                  <c:v>45731</c:v>
                </c:pt>
                <c:pt idx="490">
                  <c:v>45732</c:v>
                </c:pt>
                <c:pt idx="491">
                  <c:v>45733</c:v>
                </c:pt>
                <c:pt idx="492">
                  <c:v>45734</c:v>
                </c:pt>
                <c:pt idx="493">
                  <c:v>45735</c:v>
                </c:pt>
                <c:pt idx="494">
                  <c:v>45738</c:v>
                </c:pt>
                <c:pt idx="495">
                  <c:v>45739</c:v>
                </c:pt>
                <c:pt idx="496">
                  <c:v>45740</c:v>
                </c:pt>
                <c:pt idx="497">
                  <c:v>45741</c:v>
                </c:pt>
                <c:pt idx="498">
                  <c:v>45742</c:v>
                </c:pt>
                <c:pt idx="499">
                  <c:v>45743</c:v>
                </c:pt>
                <c:pt idx="500">
                  <c:v>45744</c:v>
                </c:pt>
                <c:pt idx="501">
                  <c:v>45745</c:v>
                </c:pt>
                <c:pt idx="502">
                  <c:v>45746</c:v>
                </c:pt>
                <c:pt idx="503">
                  <c:v>45747</c:v>
                </c:pt>
                <c:pt idx="504">
                  <c:v>45748</c:v>
                </c:pt>
                <c:pt idx="505">
                  <c:v>45749</c:v>
                </c:pt>
                <c:pt idx="506">
                  <c:v>45750</c:v>
                </c:pt>
                <c:pt idx="507">
                  <c:v>45751</c:v>
                </c:pt>
                <c:pt idx="508">
                  <c:v>45752</c:v>
                </c:pt>
                <c:pt idx="509">
                  <c:v>45753</c:v>
                </c:pt>
                <c:pt idx="510">
                  <c:v>45754</c:v>
                </c:pt>
                <c:pt idx="511">
                  <c:v>45755</c:v>
                </c:pt>
                <c:pt idx="512">
                  <c:v>45758</c:v>
                </c:pt>
                <c:pt idx="513">
                  <c:v>45759</c:v>
                </c:pt>
                <c:pt idx="514">
                  <c:v>45767</c:v>
                </c:pt>
                <c:pt idx="515">
                  <c:v>45768</c:v>
                </c:pt>
                <c:pt idx="516">
                  <c:v>45769</c:v>
                </c:pt>
                <c:pt idx="517">
                  <c:v>45770</c:v>
                </c:pt>
                <c:pt idx="518">
                  <c:v>45771</c:v>
                </c:pt>
                <c:pt idx="519">
                  <c:v>45772</c:v>
                </c:pt>
                <c:pt idx="520">
                  <c:v>45773</c:v>
                </c:pt>
                <c:pt idx="521">
                  <c:v>45774</c:v>
                </c:pt>
                <c:pt idx="522">
                  <c:v>45775</c:v>
                </c:pt>
                <c:pt idx="523">
                  <c:v>45778</c:v>
                </c:pt>
                <c:pt idx="524">
                  <c:v>45779</c:v>
                </c:pt>
                <c:pt idx="525">
                  <c:v>45782</c:v>
                </c:pt>
                <c:pt idx="526">
                  <c:v>45788</c:v>
                </c:pt>
                <c:pt idx="527">
                  <c:v>45789</c:v>
                </c:pt>
                <c:pt idx="528">
                  <c:v>45790</c:v>
                </c:pt>
                <c:pt idx="529">
                  <c:v>45791</c:v>
                </c:pt>
                <c:pt idx="530">
                  <c:v>45792</c:v>
                </c:pt>
                <c:pt idx="531">
                  <c:v>45793</c:v>
                </c:pt>
                <c:pt idx="532">
                  <c:v>45794</c:v>
                </c:pt>
                <c:pt idx="533">
                  <c:v>45798</c:v>
                </c:pt>
                <c:pt idx="534">
                  <c:v>45799</c:v>
                </c:pt>
                <c:pt idx="535">
                  <c:v>45800</c:v>
                </c:pt>
                <c:pt idx="536">
                  <c:v>45801</c:v>
                </c:pt>
                <c:pt idx="537">
                  <c:v>45802</c:v>
                </c:pt>
                <c:pt idx="538">
                  <c:v>45803</c:v>
                </c:pt>
                <c:pt idx="539">
                  <c:v>45809</c:v>
                </c:pt>
                <c:pt idx="540">
                  <c:v>45810</c:v>
                </c:pt>
                <c:pt idx="541">
                  <c:v>45811</c:v>
                </c:pt>
                <c:pt idx="542">
                  <c:v>45812</c:v>
                </c:pt>
                <c:pt idx="543">
                  <c:v>45813</c:v>
                </c:pt>
                <c:pt idx="544">
                  <c:v>45814</c:v>
                </c:pt>
                <c:pt idx="545">
                  <c:v>45815</c:v>
                </c:pt>
                <c:pt idx="546">
                  <c:v>45816</c:v>
                </c:pt>
                <c:pt idx="547">
                  <c:v>45821</c:v>
                </c:pt>
                <c:pt idx="548">
                  <c:v>45822</c:v>
                </c:pt>
                <c:pt idx="549">
                  <c:v>45823</c:v>
                </c:pt>
                <c:pt idx="550">
                  <c:v>45824</c:v>
                </c:pt>
                <c:pt idx="551">
                  <c:v>45825</c:v>
                </c:pt>
                <c:pt idx="552">
                  <c:v>45826</c:v>
                </c:pt>
                <c:pt idx="553">
                  <c:v>45827</c:v>
                </c:pt>
                <c:pt idx="554">
                  <c:v>45828</c:v>
                </c:pt>
                <c:pt idx="555">
                  <c:v>45829</c:v>
                </c:pt>
                <c:pt idx="556">
                  <c:v>45830</c:v>
                </c:pt>
                <c:pt idx="557">
                  <c:v>45831</c:v>
                </c:pt>
                <c:pt idx="558">
                  <c:v>45832</c:v>
                </c:pt>
                <c:pt idx="559">
                  <c:v>45833</c:v>
                </c:pt>
                <c:pt idx="560">
                  <c:v>45834</c:v>
                </c:pt>
                <c:pt idx="561">
                  <c:v>45835</c:v>
                </c:pt>
                <c:pt idx="562">
                  <c:v>45836</c:v>
                </c:pt>
                <c:pt idx="563">
                  <c:v>45837</c:v>
                </c:pt>
                <c:pt idx="564">
                  <c:v>45838</c:v>
                </c:pt>
                <c:pt idx="565">
                  <c:v>45839</c:v>
                </c:pt>
                <c:pt idx="566">
                  <c:v>45840</c:v>
                </c:pt>
                <c:pt idx="567">
                  <c:v>45841</c:v>
                </c:pt>
                <c:pt idx="568">
                  <c:v>45842</c:v>
                </c:pt>
                <c:pt idx="569">
                  <c:v>45843</c:v>
                </c:pt>
                <c:pt idx="570">
                  <c:v>45844</c:v>
                </c:pt>
                <c:pt idx="571">
                  <c:v>45845</c:v>
                </c:pt>
                <c:pt idx="572">
                  <c:v>45846</c:v>
                </c:pt>
                <c:pt idx="573">
                  <c:v>45847</c:v>
                </c:pt>
                <c:pt idx="574">
                  <c:v>45848</c:v>
                </c:pt>
                <c:pt idx="575">
                  <c:v>45849</c:v>
                </c:pt>
                <c:pt idx="576">
                  <c:v>45850</c:v>
                </c:pt>
                <c:pt idx="577">
                  <c:v>45851</c:v>
                </c:pt>
                <c:pt idx="578">
                  <c:v>45852</c:v>
                </c:pt>
                <c:pt idx="579">
                  <c:v>45854</c:v>
                </c:pt>
                <c:pt idx="580">
                  <c:v>45855</c:v>
                </c:pt>
                <c:pt idx="581">
                  <c:v>45856</c:v>
                </c:pt>
                <c:pt idx="582">
                  <c:v>45857</c:v>
                </c:pt>
                <c:pt idx="583">
                  <c:v>45858</c:v>
                </c:pt>
                <c:pt idx="584">
                  <c:v>45862</c:v>
                </c:pt>
                <c:pt idx="585">
                  <c:v>45863</c:v>
                </c:pt>
                <c:pt idx="586">
                  <c:v>45864</c:v>
                </c:pt>
                <c:pt idx="587">
                  <c:v>45871</c:v>
                </c:pt>
                <c:pt idx="588">
                  <c:v>45872</c:v>
                </c:pt>
                <c:pt idx="589">
                  <c:v>45873</c:v>
                </c:pt>
                <c:pt idx="590">
                  <c:v>45880</c:v>
                </c:pt>
                <c:pt idx="591">
                  <c:v>45881</c:v>
                </c:pt>
                <c:pt idx="592">
                  <c:v>45882</c:v>
                </c:pt>
                <c:pt idx="593">
                  <c:v>45886</c:v>
                </c:pt>
                <c:pt idx="594">
                  <c:v>45887</c:v>
                </c:pt>
                <c:pt idx="595">
                  <c:v>45888</c:v>
                </c:pt>
                <c:pt idx="596">
                  <c:v>45889</c:v>
                </c:pt>
                <c:pt idx="597">
                  <c:v>45890</c:v>
                </c:pt>
                <c:pt idx="598">
                  <c:v>45891</c:v>
                </c:pt>
                <c:pt idx="599">
                  <c:v>45894</c:v>
                </c:pt>
                <c:pt idx="600">
                  <c:v>45895</c:v>
                </c:pt>
                <c:pt idx="601">
                  <c:v>45896</c:v>
                </c:pt>
                <c:pt idx="602">
                  <c:v>45897</c:v>
                </c:pt>
                <c:pt idx="603">
                  <c:v>45898</c:v>
                </c:pt>
                <c:pt idx="604">
                  <c:v>45899</c:v>
                </c:pt>
                <c:pt idx="605">
                  <c:v>45900</c:v>
                </c:pt>
                <c:pt idx="606">
                  <c:v>45901</c:v>
                </c:pt>
                <c:pt idx="607">
                  <c:v>45902</c:v>
                </c:pt>
                <c:pt idx="608">
                  <c:v>45903</c:v>
                </c:pt>
                <c:pt idx="609">
                  <c:v>45904</c:v>
                </c:pt>
                <c:pt idx="610">
                  <c:v>45905</c:v>
                </c:pt>
                <c:pt idx="611">
                  <c:v>45906</c:v>
                </c:pt>
                <c:pt idx="612">
                  <c:v>45907</c:v>
                </c:pt>
                <c:pt idx="613">
                  <c:v>45908</c:v>
                </c:pt>
                <c:pt idx="614">
                  <c:v>45909</c:v>
                </c:pt>
                <c:pt idx="615">
                  <c:v>45911</c:v>
                </c:pt>
                <c:pt idx="616">
                  <c:v>45912</c:v>
                </c:pt>
                <c:pt idx="617">
                  <c:v>45913</c:v>
                </c:pt>
                <c:pt idx="618">
                  <c:v>45914</c:v>
                </c:pt>
                <c:pt idx="619">
                  <c:v>45917</c:v>
                </c:pt>
                <c:pt idx="620">
                  <c:v>45919</c:v>
                </c:pt>
                <c:pt idx="621">
                  <c:v>45920</c:v>
                </c:pt>
                <c:pt idx="622">
                  <c:v>45921</c:v>
                </c:pt>
                <c:pt idx="623">
                  <c:v>45922</c:v>
                </c:pt>
                <c:pt idx="624">
                  <c:v>45923</c:v>
                </c:pt>
                <c:pt idx="625">
                  <c:v>45924</c:v>
                </c:pt>
                <c:pt idx="626">
                  <c:v>45925</c:v>
                </c:pt>
                <c:pt idx="627">
                  <c:v>45926</c:v>
                </c:pt>
                <c:pt idx="628">
                  <c:v>45927</c:v>
                </c:pt>
                <c:pt idx="629">
                  <c:v>45928</c:v>
                </c:pt>
                <c:pt idx="630">
                  <c:v>45929</c:v>
                </c:pt>
                <c:pt idx="631">
                  <c:v>45930</c:v>
                </c:pt>
                <c:pt idx="632">
                  <c:v>45931</c:v>
                </c:pt>
                <c:pt idx="633">
                  <c:v>45932</c:v>
                </c:pt>
                <c:pt idx="634">
                  <c:v>45933</c:v>
                </c:pt>
                <c:pt idx="635">
                  <c:v>45934</c:v>
                </c:pt>
                <c:pt idx="636">
                  <c:v>45935</c:v>
                </c:pt>
                <c:pt idx="637">
                  <c:v>45936</c:v>
                </c:pt>
                <c:pt idx="638">
                  <c:v>45937</c:v>
                </c:pt>
                <c:pt idx="639">
                  <c:v>45938</c:v>
                </c:pt>
                <c:pt idx="640">
                  <c:v>45939</c:v>
                </c:pt>
                <c:pt idx="641">
                  <c:v>45940</c:v>
                </c:pt>
                <c:pt idx="642">
                  <c:v>45941</c:v>
                </c:pt>
                <c:pt idx="643">
                  <c:v>45942</c:v>
                </c:pt>
                <c:pt idx="644">
                  <c:v>45943</c:v>
                </c:pt>
                <c:pt idx="645">
                  <c:v>45944</c:v>
                </c:pt>
                <c:pt idx="646">
                  <c:v>45945</c:v>
                </c:pt>
                <c:pt idx="647">
                  <c:v>45946</c:v>
                </c:pt>
                <c:pt idx="648">
                  <c:v>45947</c:v>
                </c:pt>
                <c:pt idx="649">
                  <c:v>45948</c:v>
                </c:pt>
                <c:pt idx="650">
                  <c:v>45949</c:v>
                </c:pt>
                <c:pt idx="651">
                  <c:v>45950</c:v>
                </c:pt>
                <c:pt idx="652">
                  <c:v>45951</c:v>
                </c:pt>
                <c:pt idx="653">
                  <c:v>45952</c:v>
                </c:pt>
                <c:pt idx="654">
                  <c:v>45953</c:v>
                </c:pt>
                <c:pt idx="655">
                  <c:v>45954</c:v>
                </c:pt>
                <c:pt idx="656">
                  <c:v>45955</c:v>
                </c:pt>
                <c:pt idx="657">
                  <c:v>45956</c:v>
                </c:pt>
                <c:pt idx="658">
                  <c:v>45957</c:v>
                </c:pt>
                <c:pt idx="659">
                  <c:v>45958</c:v>
                </c:pt>
                <c:pt idx="660">
                  <c:v>45959</c:v>
                </c:pt>
                <c:pt idx="661">
                  <c:v>45960</c:v>
                </c:pt>
                <c:pt idx="662">
                  <c:v>45961</c:v>
                </c:pt>
                <c:pt idx="663">
                  <c:v>45962</c:v>
                </c:pt>
                <c:pt idx="664">
                  <c:v>45963</c:v>
                </c:pt>
                <c:pt idx="665">
                  <c:v>45964</c:v>
                </c:pt>
                <c:pt idx="666">
                  <c:v>45965</c:v>
                </c:pt>
                <c:pt idx="667">
                  <c:v>45966</c:v>
                </c:pt>
                <c:pt idx="668">
                  <c:v>45967</c:v>
                </c:pt>
                <c:pt idx="669">
                  <c:v>45968</c:v>
                </c:pt>
                <c:pt idx="670">
                  <c:v>45969</c:v>
                </c:pt>
                <c:pt idx="671">
                  <c:v>45971</c:v>
                </c:pt>
                <c:pt idx="672">
                  <c:v>45972</c:v>
                </c:pt>
                <c:pt idx="673">
                  <c:v>45973</c:v>
                </c:pt>
                <c:pt idx="674">
                  <c:v>45974</c:v>
                </c:pt>
                <c:pt idx="675">
                  <c:v>45975</c:v>
                </c:pt>
                <c:pt idx="676">
                  <c:v>45976</c:v>
                </c:pt>
                <c:pt idx="677">
                  <c:v>45977</c:v>
                </c:pt>
                <c:pt idx="678">
                  <c:v>45978</c:v>
                </c:pt>
                <c:pt idx="679">
                  <c:v>45983</c:v>
                </c:pt>
                <c:pt idx="680">
                  <c:v>45984</c:v>
                </c:pt>
                <c:pt idx="681">
                  <c:v>45985</c:v>
                </c:pt>
                <c:pt idx="682">
                  <c:v>45986</c:v>
                </c:pt>
                <c:pt idx="683">
                  <c:v>45987</c:v>
                </c:pt>
                <c:pt idx="684">
                  <c:v>45988</c:v>
                </c:pt>
                <c:pt idx="685">
                  <c:v>45989</c:v>
                </c:pt>
                <c:pt idx="686">
                  <c:v>45990</c:v>
                </c:pt>
                <c:pt idx="687">
                  <c:v>45991</c:v>
                </c:pt>
                <c:pt idx="688">
                  <c:v>45992</c:v>
                </c:pt>
                <c:pt idx="689">
                  <c:v>45993</c:v>
                </c:pt>
                <c:pt idx="690">
                  <c:v>45994</c:v>
                </c:pt>
                <c:pt idx="691">
                  <c:v>45995</c:v>
                </c:pt>
                <c:pt idx="692">
                  <c:v>45996</c:v>
                </c:pt>
                <c:pt idx="693">
                  <c:v>45997</c:v>
                </c:pt>
                <c:pt idx="694">
                  <c:v>45998</c:v>
                </c:pt>
                <c:pt idx="695">
                  <c:v>45999</c:v>
                </c:pt>
                <c:pt idx="696">
                  <c:v>46000</c:v>
                </c:pt>
                <c:pt idx="697">
                  <c:v>46001</c:v>
                </c:pt>
                <c:pt idx="698">
                  <c:v>46002</c:v>
                </c:pt>
                <c:pt idx="699">
                  <c:v>46003</c:v>
                </c:pt>
                <c:pt idx="700">
                  <c:v>46004</c:v>
                </c:pt>
                <c:pt idx="701">
                  <c:v>46006</c:v>
                </c:pt>
                <c:pt idx="702">
                  <c:v>46007</c:v>
                </c:pt>
                <c:pt idx="703">
                  <c:v>46008</c:v>
                </c:pt>
                <c:pt idx="704">
                  <c:v>46009</c:v>
                </c:pt>
                <c:pt idx="705">
                  <c:v>46010</c:v>
                </c:pt>
                <c:pt idx="706">
                  <c:v>46011</c:v>
                </c:pt>
                <c:pt idx="707">
                  <c:v>46012</c:v>
                </c:pt>
                <c:pt idx="708">
                  <c:v>46013</c:v>
                </c:pt>
                <c:pt idx="709">
                  <c:v>46014</c:v>
                </c:pt>
                <c:pt idx="710">
                  <c:v>46015</c:v>
                </c:pt>
                <c:pt idx="711">
                  <c:v>46016</c:v>
                </c:pt>
                <c:pt idx="712">
                  <c:v>46022</c:v>
                </c:pt>
                <c:pt idx="713">
                  <c:v>46024</c:v>
                </c:pt>
                <c:pt idx="714">
                  <c:v>46025</c:v>
                </c:pt>
                <c:pt idx="715">
                  <c:v>46026</c:v>
                </c:pt>
                <c:pt idx="716">
                  <c:v>46027</c:v>
                </c:pt>
                <c:pt idx="717">
                  <c:v>46029</c:v>
                </c:pt>
                <c:pt idx="718">
                  <c:v>46030</c:v>
                </c:pt>
                <c:pt idx="719">
                  <c:v>46031</c:v>
                </c:pt>
                <c:pt idx="720">
                  <c:v>46032</c:v>
                </c:pt>
                <c:pt idx="721">
                  <c:v>46033</c:v>
                </c:pt>
                <c:pt idx="722">
                  <c:v>46034</c:v>
                </c:pt>
                <c:pt idx="723">
                  <c:v>46039</c:v>
                </c:pt>
                <c:pt idx="724">
                  <c:v>46040</c:v>
                </c:pt>
                <c:pt idx="725">
                  <c:v>46041</c:v>
                </c:pt>
                <c:pt idx="726">
                  <c:v>46042</c:v>
                </c:pt>
                <c:pt idx="727">
                  <c:v>46044</c:v>
                </c:pt>
                <c:pt idx="728">
                  <c:v>46045</c:v>
                </c:pt>
                <c:pt idx="729">
                  <c:v>46046</c:v>
                </c:pt>
                <c:pt idx="730">
                  <c:v>46047</c:v>
                </c:pt>
                <c:pt idx="731">
                  <c:v>46054</c:v>
                </c:pt>
                <c:pt idx="732">
                  <c:v>46055</c:v>
                </c:pt>
                <c:pt idx="733">
                  <c:v>46056</c:v>
                </c:pt>
                <c:pt idx="734">
                  <c:v>46057</c:v>
                </c:pt>
                <c:pt idx="735">
                  <c:v>46058</c:v>
                </c:pt>
                <c:pt idx="736">
                  <c:v>46059</c:v>
                </c:pt>
                <c:pt idx="737">
                  <c:v>46060</c:v>
                </c:pt>
                <c:pt idx="738">
                  <c:v>46061</c:v>
                </c:pt>
                <c:pt idx="739">
                  <c:v>46062</c:v>
                </c:pt>
                <c:pt idx="740">
                  <c:v>46063</c:v>
                </c:pt>
                <c:pt idx="741">
                  <c:v>46066</c:v>
                </c:pt>
                <c:pt idx="742">
                  <c:v>46067</c:v>
                </c:pt>
                <c:pt idx="743">
                  <c:v>46068</c:v>
                </c:pt>
                <c:pt idx="744">
                  <c:v>46069</c:v>
                </c:pt>
                <c:pt idx="745">
                  <c:v>46070</c:v>
                </c:pt>
                <c:pt idx="746">
                  <c:v>46071</c:v>
                </c:pt>
                <c:pt idx="747">
                  <c:v>46072</c:v>
                </c:pt>
                <c:pt idx="748">
                  <c:v>46073</c:v>
                </c:pt>
                <c:pt idx="749">
                  <c:v>46074</c:v>
                </c:pt>
                <c:pt idx="750">
                  <c:v>46075</c:v>
                </c:pt>
                <c:pt idx="751">
                  <c:v>46076</c:v>
                </c:pt>
                <c:pt idx="752">
                  <c:v>46079</c:v>
                </c:pt>
                <c:pt idx="753">
                  <c:v>46080</c:v>
                </c:pt>
                <c:pt idx="754">
                  <c:v>46081</c:v>
                </c:pt>
                <c:pt idx="755">
                  <c:v>46082</c:v>
                </c:pt>
                <c:pt idx="756">
                  <c:v>46083</c:v>
                </c:pt>
                <c:pt idx="757">
                  <c:v>46084</c:v>
                </c:pt>
                <c:pt idx="758">
                  <c:v>46088</c:v>
                </c:pt>
                <c:pt idx="759">
                  <c:v>46089</c:v>
                </c:pt>
                <c:pt idx="760">
                  <c:v>46090</c:v>
                </c:pt>
                <c:pt idx="761">
                  <c:v>46091</c:v>
                </c:pt>
                <c:pt idx="762">
                  <c:v>46092</c:v>
                </c:pt>
                <c:pt idx="763">
                  <c:v>46093</c:v>
                </c:pt>
                <c:pt idx="764">
                  <c:v>46094</c:v>
                </c:pt>
                <c:pt idx="765">
                  <c:v>46096</c:v>
                </c:pt>
                <c:pt idx="766">
                  <c:v>46097</c:v>
                </c:pt>
                <c:pt idx="767">
                  <c:v>46101</c:v>
                </c:pt>
                <c:pt idx="768">
                  <c:v>46102</c:v>
                </c:pt>
                <c:pt idx="769">
                  <c:v>46103</c:v>
                </c:pt>
                <c:pt idx="770">
                  <c:v>46104</c:v>
                </c:pt>
                <c:pt idx="771">
                  <c:v>46116</c:v>
                </c:pt>
                <c:pt idx="772">
                  <c:v>46117</c:v>
                </c:pt>
                <c:pt idx="773">
                  <c:v>46118</c:v>
                </c:pt>
                <c:pt idx="774">
                  <c:v>46119</c:v>
                </c:pt>
                <c:pt idx="775">
                  <c:v>46120</c:v>
                </c:pt>
                <c:pt idx="776">
                  <c:v>46121</c:v>
                </c:pt>
                <c:pt idx="777">
                  <c:v>46122</c:v>
                </c:pt>
                <c:pt idx="778">
                  <c:v>46123</c:v>
                </c:pt>
                <c:pt idx="779">
                  <c:v>46124</c:v>
                </c:pt>
                <c:pt idx="780">
                  <c:v>46125</c:v>
                </c:pt>
                <c:pt idx="781">
                  <c:v>46126</c:v>
                </c:pt>
                <c:pt idx="782">
                  <c:v>46127</c:v>
                </c:pt>
                <c:pt idx="783">
                  <c:v>46128</c:v>
                </c:pt>
                <c:pt idx="784">
                  <c:v>46129</c:v>
                </c:pt>
                <c:pt idx="785">
                  <c:v>46135</c:v>
                </c:pt>
                <c:pt idx="786">
                  <c:v>46136</c:v>
                </c:pt>
                <c:pt idx="787">
                  <c:v>46137</c:v>
                </c:pt>
                <c:pt idx="788">
                  <c:v>46138</c:v>
                </c:pt>
                <c:pt idx="789">
                  <c:v>46139</c:v>
                </c:pt>
                <c:pt idx="790">
                  <c:v>46140</c:v>
                </c:pt>
                <c:pt idx="791">
                  <c:v>46141</c:v>
                </c:pt>
                <c:pt idx="792">
                  <c:v>46142</c:v>
                </c:pt>
                <c:pt idx="793">
                  <c:v>46143</c:v>
                </c:pt>
                <c:pt idx="794">
                  <c:v>46144</c:v>
                </c:pt>
                <c:pt idx="795">
                  <c:v>46147</c:v>
                </c:pt>
                <c:pt idx="796">
                  <c:v>46148</c:v>
                </c:pt>
              </c:numCache>
            </c:numRef>
          </c:cat>
          <c:val>
            <c:numRef>
              <c:f>Pesos_R!$Y$2:$Y$798</c:f>
              <c:numCache>
                <c:formatCode>_(* #,##0.00_);_(* \(#,##0.00\);_(* "-"??_);_(@_)</c:formatCode>
                <c:ptCount val="797"/>
                <c:pt idx="0">
                  <c:v>45.471800000000002</c:v>
                </c:pt>
                <c:pt idx="1">
                  <c:v>45.495999999999995</c:v>
                </c:pt>
                <c:pt idx="2">
                  <c:v>45.330300000000008</c:v>
                </c:pt>
                <c:pt idx="3">
                  <c:v>45.574800000000003</c:v>
                </c:pt>
                <c:pt idx="4">
                  <c:v>45.036199999999994</c:v>
                </c:pt>
                <c:pt idx="5">
                  <c:v>45.136350000000007</c:v>
                </c:pt>
                <c:pt idx="6">
                  <c:v>45.5625</c:v>
                </c:pt>
                <c:pt idx="7">
                  <c:v>45.141850000000005</c:v>
                </c:pt>
                <c:pt idx="8">
                  <c:v>45.676799999999993</c:v>
                </c:pt>
                <c:pt idx="9">
                  <c:v>45.60755000000001</c:v>
                </c:pt>
                <c:pt idx="10">
                  <c:v>46.420199999999994</c:v>
                </c:pt>
                <c:pt idx="11">
                  <c:v>45.544400000000003</c:v>
                </c:pt>
                <c:pt idx="12">
                  <c:v>45.875400000000006</c:v>
                </c:pt>
                <c:pt idx="13">
                  <c:v>45.157200000000003</c:v>
                </c:pt>
                <c:pt idx="14">
                  <c:v>45.46875</c:v>
                </c:pt>
                <c:pt idx="15">
                  <c:v>45.416699999999992</c:v>
                </c:pt>
                <c:pt idx="16">
                  <c:v>45.375</c:v>
                </c:pt>
                <c:pt idx="17">
                  <c:v>45.308000000000007</c:v>
                </c:pt>
                <c:pt idx="18">
                  <c:v>45.495999999999995</c:v>
                </c:pt>
                <c:pt idx="19">
                  <c:v>45.717000000000013</c:v>
                </c:pt>
                <c:pt idx="20">
                  <c:v>44.894850000000005</c:v>
                </c:pt>
                <c:pt idx="21">
                  <c:v>44.9465</c:v>
                </c:pt>
                <c:pt idx="22">
                  <c:v>45.051500000000004</c:v>
                </c:pt>
                <c:pt idx="23">
                  <c:v>44.8292</c:v>
                </c:pt>
                <c:pt idx="24">
                  <c:v>45.274749999999997</c:v>
                </c:pt>
                <c:pt idx="25">
                  <c:v>45.024000000000001</c:v>
                </c:pt>
                <c:pt idx="26">
                  <c:v>45.108800000000002</c:v>
                </c:pt>
                <c:pt idx="27">
                  <c:v>44.959500000000006</c:v>
                </c:pt>
                <c:pt idx="28">
                  <c:v>44.575649999999996</c:v>
                </c:pt>
                <c:pt idx="29">
                  <c:v>45.049949999999995</c:v>
                </c:pt>
                <c:pt idx="30">
                  <c:v>45.356200000000001</c:v>
                </c:pt>
                <c:pt idx="31">
                  <c:v>45.329549999999998</c:v>
                </c:pt>
                <c:pt idx="32">
                  <c:v>45.257100000000008</c:v>
                </c:pt>
                <c:pt idx="33">
                  <c:v>45.132999999999996</c:v>
                </c:pt>
                <c:pt idx="34">
                  <c:v>45.09620000000001</c:v>
                </c:pt>
                <c:pt idx="35">
                  <c:v>44.1892</c:v>
                </c:pt>
                <c:pt idx="36">
                  <c:v>44.63355</c:v>
                </c:pt>
                <c:pt idx="37">
                  <c:v>44.203900000000012</c:v>
                </c:pt>
                <c:pt idx="38">
                  <c:v>44.095500000000001</c:v>
                </c:pt>
                <c:pt idx="39">
                  <c:v>44.741250000000008</c:v>
                </c:pt>
                <c:pt idx="40">
                  <c:v>44.556750000000008</c:v>
                </c:pt>
                <c:pt idx="41">
                  <c:v>44.416300000000007</c:v>
                </c:pt>
                <c:pt idx="42">
                  <c:v>44.444700000000005</c:v>
                </c:pt>
                <c:pt idx="43">
                  <c:v>43.69885</c:v>
                </c:pt>
                <c:pt idx="44">
                  <c:v>43.764749999999999</c:v>
                </c:pt>
                <c:pt idx="45">
                  <c:v>43.708750000000002</c:v>
                </c:pt>
                <c:pt idx="46">
                  <c:v>44.092400000000005</c:v>
                </c:pt>
                <c:pt idx="47">
                  <c:v>43.771000000000001</c:v>
                </c:pt>
                <c:pt idx="48">
                  <c:v>43.320000000000007</c:v>
                </c:pt>
                <c:pt idx="49">
                  <c:v>43.450200000000009</c:v>
                </c:pt>
                <c:pt idx="50">
                  <c:v>43.411199999999994</c:v>
                </c:pt>
                <c:pt idx="51">
                  <c:v>43.6892</c:v>
                </c:pt>
                <c:pt idx="52">
                  <c:v>43.474100000000007</c:v>
                </c:pt>
                <c:pt idx="53">
                  <c:v>43.736999999999995</c:v>
                </c:pt>
                <c:pt idx="54">
                  <c:v>43.736999999999995</c:v>
                </c:pt>
                <c:pt idx="55">
                  <c:v>43.597800000000007</c:v>
                </c:pt>
                <c:pt idx="56">
                  <c:v>43.299900000000001</c:v>
                </c:pt>
                <c:pt idx="57">
                  <c:v>43.465800000000002</c:v>
                </c:pt>
                <c:pt idx="58">
                  <c:v>43.69885</c:v>
                </c:pt>
                <c:pt idx="59">
                  <c:v>43.569700000000005</c:v>
                </c:pt>
                <c:pt idx="60">
                  <c:v>43.744400000000006</c:v>
                </c:pt>
                <c:pt idx="61">
                  <c:v>43.411200000000008</c:v>
                </c:pt>
                <c:pt idx="62">
                  <c:v>43.411200000000008</c:v>
                </c:pt>
                <c:pt idx="63">
                  <c:v>42.904800000000009</c:v>
                </c:pt>
                <c:pt idx="64">
                  <c:v>43.947199999999995</c:v>
                </c:pt>
                <c:pt idx="65">
                  <c:v>43.554550000000006</c:v>
                </c:pt>
                <c:pt idx="66">
                  <c:v>42.962400000000002</c:v>
                </c:pt>
                <c:pt idx="67">
                  <c:v>43.415000000000006</c:v>
                </c:pt>
                <c:pt idx="68">
                  <c:v>43.72290000000001</c:v>
                </c:pt>
                <c:pt idx="69">
                  <c:v>43.729400000000005</c:v>
                </c:pt>
                <c:pt idx="70">
                  <c:v>43.607999999999997</c:v>
                </c:pt>
                <c:pt idx="71">
                  <c:v>43.3675</c:v>
                </c:pt>
                <c:pt idx="72">
                  <c:v>43.173200000000001</c:v>
                </c:pt>
                <c:pt idx="73">
                  <c:v>43.407000000000004</c:v>
                </c:pt>
                <c:pt idx="74">
                  <c:v>43.137600000000006</c:v>
                </c:pt>
                <c:pt idx="75">
                  <c:v>43.106250000000003</c:v>
                </c:pt>
                <c:pt idx="76">
                  <c:v>42.892500000000005</c:v>
                </c:pt>
                <c:pt idx="77">
                  <c:v>43.115600000000008</c:v>
                </c:pt>
                <c:pt idx="78">
                  <c:v>43.096949999999993</c:v>
                </c:pt>
                <c:pt idx="79">
                  <c:v>42.920699999999997</c:v>
                </c:pt>
                <c:pt idx="80">
                  <c:v>43.125600000000006</c:v>
                </c:pt>
                <c:pt idx="81">
                  <c:v>43.196999999999989</c:v>
                </c:pt>
                <c:pt idx="82">
                  <c:v>43.101799999999997</c:v>
                </c:pt>
                <c:pt idx="83">
                  <c:v>43.378500000000003</c:v>
                </c:pt>
                <c:pt idx="84">
                  <c:v>43.311599999999999</c:v>
                </c:pt>
                <c:pt idx="85">
                  <c:v>43.861999999999995</c:v>
                </c:pt>
                <c:pt idx="86">
                  <c:v>43.578599999999994</c:v>
                </c:pt>
                <c:pt idx="87">
                  <c:v>43.416000000000004</c:v>
                </c:pt>
                <c:pt idx="88">
                  <c:v>43.073100000000004</c:v>
                </c:pt>
                <c:pt idx="89">
                  <c:v>43.216200000000001</c:v>
                </c:pt>
                <c:pt idx="90">
                  <c:v>42.688250000000011</c:v>
                </c:pt>
                <c:pt idx="91">
                  <c:v>43.032000000000011</c:v>
                </c:pt>
                <c:pt idx="92">
                  <c:v>42.709300000000006</c:v>
                </c:pt>
                <c:pt idx="93">
                  <c:v>42.447600000000001</c:v>
                </c:pt>
                <c:pt idx="94">
                  <c:v>42.834000000000003</c:v>
                </c:pt>
                <c:pt idx="95">
                  <c:v>42.802200000000013</c:v>
                </c:pt>
                <c:pt idx="96">
                  <c:v>42.283799999999992</c:v>
                </c:pt>
                <c:pt idx="97">
                  <c:v>43.229750000000003</c:v>
                </c:pt>
                <c:pt idx="98">
                  <c:v>42.846550000000008</c:v>
                </c:pt>
                <c:pt idx="99">
                  <c:v>43.139499999999998</c:v>
                </c:pt>
                <c:pt idx="100">
                  <c:v>42.813900000000004</c:v>
                </c:pt>
                <c:pt idx="101">
                  <c:v>42.884550000000004</c:v>
                </c:pt>
                <c:pt idx="102">
                  <c:v>43.030400000000007</c:v>
                </c:pt>
                <c:pt idx="103">
                  <c:v>43.049500000000009</c:v>
                </c:pt>
                <c:pt idx="104">
                  <c:v>43.062100000000001</c:v>
                </c:pt>
                <c:pt idx="105">
                  <c:v>42.351900000000001</c:v>
                </c:pt>
                <c:pt idx="106">
                  <c:v>42.953850000000003</c:v>
                </c:pt>
                <c:pt idx="107">
                  <c:v>43.039199999999994</c:v>
                </c:pt>
                <c:pt idx="108">
                  <c:v>43.406999999999996</c:v>
                </c:pt>
                <c:pt idx="109">
                  <c:v>43.620999999999995</c:v>
                </c:pt>
                <c:pt idx="110">
                  <c:v>43.247999999999998</c:v>
                </c:pt>
                <c:pt idx="111">
                  <c:v>43.819749999999999</c:v>
                </c:pt>
                <c:pt idx="112">
                  <c:v>42.920700000000011</c:v>
                </c:pt>
                <c:pt idx="113">
                  <c:v>42.664600000000007</c:v>
                </c:pt>
                <c:pt idx="114">
                  <c:v>42.6173</c:v>
                </c:pt>
                <c:pt idx="115">
                  <c:v>42.664600000000007</c:v>
                </c:pt>
                <c:pt idx="116">
                  <c:v>43.006599999999999</c:v>
                </c:pt>
                <c:pt idx="117">
                  <c:v>43.09695</c:v>
                </c:pt>
                <c:pt idx="118">
                  <c:v>42.692399999999999</c:v>
                </c:pt>
                <c:pt idx="119">
                  <c:v>42.853799999999993</c:v>
                </c:pt>
                <c:pt idx="120">
                  <c:v>43.011250000000004</c:v>
                </c:pt>
                <c:pt idx="121">
                  <c:v>43.197000000000003</c:v>
                </c:pt>
                <c:pt idx="122">
                  <c:v>42.972200000000001</c:v>
                </c:pt>
                <c:pt idx="123">
                  <c:v>42.834599999999995</c:v>
                </c:pt>
                <c:pt idx="124">
                  <c:v>42.621600000000001</c:v>
                </c:pt>
                <c:pt idx="125">
                  <c:v>42.385599999999997</c:v>
                </c:pt>
                <c:pt idx="126">
                  <c:v>42.409200000000006</c:v>
                </c:pt>
                <c:pt idx="127">
                  <c:v>42.904800000000009</c:v>
                </c:pt>
                <c:pt idx="128">
                  <c:v>42.849600000000009</c:v>
                </c:pt>
                <c:pt idx="129">
                  <c:v>42.574400000000004</c:v>
                </c:pt>
                <c:pt idx="130">
                  <c:v>42.387799999999999</c:v>
                </c:pt>
                <c:pt idx="131">
                  <c:v>42.393749999999997</c:v>
                </c:pt>
                <c:pt idx="132">
                  <c:v>42.201599999999992</c:v>
                </c:pt>
                <c:pt idx="133">
                  <c:v>42.213600000000007</c:v>
                </c:pt>
                <c:pt idx="134">
                  <c:v>41.886000000000003</c:v>
                </c:pt>
                <c:pt idx="135">
                  <c:v>42.041500000000013</c:v>
                </c:pt>
                <c:pt idx="136">
                  <c:v>42.167950000000005</c:v>
                </c:pt>
                <c:pt idx="137">
                  <c:v>42.123400000000011</c:v>
                </c:pt>
                <c:pt idx="138">
                  <c:v>42.280349999999999</c:v>
                </c:pt>
                <c:pt idx="139">
                  <c:v>42.3</c:v>
                </c:pt>
                <c:pt idx="140">
                  <c:v>42.173199999999994</c:v>
                </c:pt>
                <c:pt idx="141">
                  <c:v>42.096999999999994</c:v>
                </c:pt>
                <c:pt idx="142">
                  <c:v>41.753599999999999</c:v>
                </c:pt>
                <c:pt idx="143">
                  <c:v>41.866550000000018</c:v>
                </c:pt>
                <c:pt idx="144">
                  <c:v>41.956200000000003</c:v>
                </c:pt>
                <c:pt idx="145">
                  <c:v>42.201599999999992</c:v>
                </c:pt>
                <c:pt idx="146">
                  <c:v>41.919750000000008</c:v>
                </c:pt>
                <c:pt idx="147">
                  <c:v>42.038399999999996</c:v>
                </c:pt>
                <c:pt idx="148">
                  <c:v>42.143399999999993</c:v>
                </c:pt>
                <c:pt idx="149">
                  <c:v>41.560999999999993</c:v>
                </c:pt>
                <c:pt idx="150">
                  <c:v>41.972700000000003</c:v>
                </c:pt>
                <c:pt idx="151">
                  <c:v>42.810400000000008</c:v>
                </c:pt>
                <c:pt idx="152">
                  <c:v>42.763199999999998</c:v>
                </c:pt>
                <c:pt idx="153">
                  <c:v>43.220800000000011</c:v>
                </c:pt>
                <c:pt idx="154">
                  <c:v>43.296000000000006</c:v>
                </c:pt>
                <c:pt idx="155">
                  <c:v>42.607500000000009</c:v>
                </c:pt>
                <c:pt idx="156">
                  <c:v>42.66</c:v>
                </c:pt>
                <c:pt idx="157">
                  <c:v>42.6173</c:v>
                </c:pt>
                <c:pt idx="158">
                  <c:v>42.303799999999995</c:v>
                </c:pt>
                <c:pt idx="159">
                  <c:v>42.467949999999995</c:v>
                </c:pt>
                <c:pt idx="160">
                  <c:v>42.55080000000001</c:v>
                </c:pt>
                <c:pt idx="161">
                  <c:v>42.096999999999994</c:v>
                </c:pt>
                <c:pt idx="162">
                  <c:v>41.947500000000005</c:v>
                </c:pt>
                <c:pt idx="163">
                  <c:v>42.256899999999987</c:v>
                </c:pt>
                <c:pt idx="164">
                  <c:v>42.385599999999997</c:v>
                </c:pt>
                <c:pt idx="165">
                  <c:v>41.461650000000006</c:v>
                </c:pt>
                <c:pt idx="166">
                  <c:v>41.717550000000003</c:v>
                </c:pt>
                <c:pt idx="167">
                  <c:v>41.853499999999997</c:v>
                </c:pt>
                <c:pt idx="168">
                  <c:v>41.877000000000002</c:v>
                </c:pt>
                <c:pt idx="169">
                  <c:v>42.060300000000005</c:v>
                </c:pt>
                <c:pt idx="170">
                  <c:v>42.144300000000001</c:v>
                </c:pt>
                <c:pt idx="171">
                  <c:v>42.280350000000006</c:v>
                </c:pt>
                <c:pt idx="172">
                  <c:v>42.003</c:v>
                </c:pt>
                <c:pt idx="173">
                  <c:v>42.138599999999997</c:v>
                </c:pt>
                <c:pt idx="174">
                  <c:v>42.071399999999997</c:v>
                </c:pt>
                <c:pt idx="175">
                  <c:v>41.724800000000002</c:v>
                </c:pt>
                <c:pt idx="176">
                  <c:v>41.764449999999997</c:v>
                </c:pt>
                <c:pt idx="177">
                  <c:v>41.703100000000013</c:v>
                </c:pt>
                <c:pt idx="178">
                  <c:v>41.687249999999999</c:v>
                </c:pt>
                <c:pt idx="179">
                  <c:v>41.846800000000002</c:v>
                </c:pt>
                <c:pt idx="180">
                  <c:v>41.664000000000001</c:v>
                </c:pt>
                <c:pt idx="181">
                  <c:v>41.641999999999996</c:v>
                </c:pt>
                <c:pt idx="182">
                  <c:v>41.473999999999997</c:v>
                </c:pt>
                <c:pt idx="183">
                  <c:v>41.834800000000001</c:v>
                </c:pt>
                <c:pt idx="184">
                  <c:v>41.7879</c:v>
                </c:pt>
                <c:pt idx="185">
                  <c:v>41.736000000000004</c:v>
                </c:pt>
                <c:pt idx="186">
                  <c:v>42.078800000000008</c:v>
                </c:pt>
                <c:pt idx="187">
                  <c:v>41.586349999999996</c:v>
                </c:pt>
                <c:pt idx="188">
                  <c:v>41.796500000000009</c:v>
                </c:pt>
                <c:pt idx="189">
                  <c:v>41.590499999999999</c:v>
                </c:pt>
                <c:pt idx="190">
                  <c:v>41.9253</c:v>
                </c:pt>
                <c:pt idx="191">
                  <c:v>41.647650000000006</c:v>
                </c:pt>
                <c:pt idx="192">
                  <c:v>41.283150000000006</c:v>
                </c:pt>
                <c:pt idx="193">
                  <c:v>41.406999999999989</c:v>
                </c:pt>
                <c:pt idx="194">
                  <c:v>41.142700000000005</c:v>
                </c:pt>
                <c:pt idx="195">
                  <c:v>40.906049999999986</c:v>
                </c:pt>
                <c:pt idx="196">
                  <c:v>41.594249999999995</c:v>
                </c:pt>
                <c:pt idx="197">
                  <c:v>41.501000000000005</c:v>
                </c:pt>
                <c:pt idx="198">
                  <c:v>41.659950000000009</c:v>
                </c:pt>
                <c:pt idx="199">
                  <c:v>41.201650000000001</c:v>
                </c:pt>
                <c:pt idx="200">
                  <c:v>40.952349999999996</c:v>
                </c:pt>
                <c:pt idx="201">
                  <c:v>41.291999999999994</c:v>
                </c:pt>
                <c:pt idx="202">
                  <c:v>41.376200000000004</c:v>
                </c:pt>
                <c:pt idx="203">
                  <c:v>40.967149999999997</c:v>
                </c:pt>
                <c:pt idx="204">
                  <c:v>40.990599999999993</c:v>
                </c:pt>
                <c:pt idx="205">
                  <c:v>40.803750000000008</c:v>
                </c:pt>
                <c:pt idx="206">
                  <c:v>40.460799999999999</c:v>
                </c:pt>
                <c:pt idx="207">
                  <c:v>40.548000000000009</c:v>
                </c:pt>
                <c:pt idx="208">
                  <c:v>40.929200000000002</c:v>
                </c:pt>
                <c:pt idx="209">
                  <c:v>40.92</c:v>
                </c:pt>
                <c:pt idx="210">
                  <c:v>40.850250000000003</c:v>
                </c:pt>
                <c:pt idx="211">
                  <c:v>40.850249999999996</c:v>
                </c:pt>
                <c:pt idx="212">
                  <c:v>41.404099999999993</c:v>
                </c:pt>
                <c:pt idx="213">
                  <c:v>41.336500000000008</c:v>
                </c:pt>
                <c:pt idx="214">
                  <c:v>41.2455</c:v>
                </c:pt>
                <c:pt idx="215">
                  <c:v>41.319199999999995</c:v>
                </c:pt>
                <c:pt idx="216">
                  <c:v>41.430500000000009</c:v>
                </c:pt>
                <c:pt idx="217">
                  <c:v>41.553049999999999</c:v>
                </c:pt>
                <c:pt idx="218">
                  <c:v>41.178200000000004</c:v>
                </c:pt>
                <c:pt idx="219">
                  <c:v>40.901600000000002</c:v>
                </c:pt>
                <c:pt idx="220">
                  <c:v>40.660200000000003</c:v>
                </c:pt>
                <c:pt idx="221">
                  <c:v>40.948</c:v>
                </c:pt>
                <c:pt idx="222">
                  <c:v>41.072650000000017</c:v>
                </c:pt>
                <c:pt idx="223">
                  <c:v>41.520599999999995</c:v>
                </c:pt>
                <c:pt idx="224">
                  <c:v>41.131299999999996</c:v>
                </c:pt>
                <c:pt idx="225">
                  <c:v>41.084399999999995</c:v>
                </c:pt>
                <c:pt idx="226">
                  <c:v>41.147800000000004</c:v>
                </c:pt>
                <c:pt idx="227">
                  <c:v>41.641999999999996</c:v>
                </c:pt>
                <c:pt idx="228">
                  <c:v>40.790299999999995</c:v>
                </c:pt>
                <c:pt idx="229">
                  <c:v>40.764400000000009</c:v>
                </c:pt>
                <c:pt idx="230">
                  <c:v>41.352850000000004</c:v>
                </c:pt>
                <c:pt idx="231">
                  <c:v>41.5124</c:v>
                </c:pt>
                <c:pt idx="232">
                  <c:v>41.265999999999998</c:v>
                </c:pt>
                <c:pt idx="233">
                  <c:v>41.160600000000002</c:v>
                </c:pt>
                <c:pt idx="234">
                  <c:v>41.268750000000004</c:v>
                </c:pt>
                <c:pt idx="235">
                  <c:v>41.679750000000006</c:v>
                </c:pt>
                <c:pt idx="236">
                  <c:v>41.570999999999998</c:v>
                </c:pt>
                <c:pt idx="237">
                  <c:v>41.230150000000002</c:v>
                </c:pt>
                <c:pt idx="238">
                  <c:v>41.633050000000019</c:v>
                </c:pt>
                <c:pt idx="239">
                  <c:v>41.553399999999996</c:v>
                </c:pt>
                <c:pt idx="240">
                  <c:v>41.83</c:v>
                </c:pt>
                <c:pt idx="241">
                  <c:v>41.365600000000008</c:v>
                </c:pt>
                <c:pt idx="242">
                  <c:v>41.464799999999997</c:v>
                </c:pt>
                <c:pt idx="243">
                  <c:v>41.453999999999994</c:v>
                </c:pt>
                <c:pt idx="244">
                  <c:v>41.129249999999999</c:v>
                </c:pt>
                <c:pt idx="245">
                  <c:v>41.09490000000001</c:v>
                </c:pt>
                <c:pt idx="246">
                  <c:v>40.764400000000016</c:v>
                </c:pt>
                <c:pt idx="247">
                  <c:v>40.919999999999995</c:v>
                </c:pt>
                <c:pt idx="248">
                  <c:v>41.282550000000001</c:v>
                </c:pt>
                <c:pt idx="249">
                  <c:v>41.947500000000005</c:v>
                </c:pt>
                <c:pt idx="250">
                  <c:v>41.506499999999996</c:v>
                </c:pt>
                <c:pt idx="251">
                  <c:v>41.553049999999999</c:v>
                </c:pt>
                <c:pt idx="252">
                  <c:v>41.201649999999987</c:v>
                </c:pt>
                <c:pt idx="253">
                  <c:v>41.576699999999995</c:v>
                </c:pt>
                <c:pt idx="254">
                  <c:v>40.831999999999994</c:v>
                </c:pt>
                <c:pt idx="255">
                  <c:v>41.021799999999992</c:v>
                </c:pt>
                <c:pt idx="256">
                  <c:v>41.04495</c:v>
                </c:pt>
                <c:pt idx="257">
                  <c:v>41.049300000000009</c:v>
                </c:pt>
                <c:pt idx="258">
                  <c:v>40.932550000000013</c:v>
                </c:pt>
                <c:pt idx="259">
                  <c:v>40.651399999999995</c:v>
                </c:pt>
                <c:pt idx="260">
                  <c:v>41.287599999999998</c:v>
                </c:pt>
                <c:pt idx="261">
                  <c:v>41.236100000000008</c:v>
                </c:pt>
                <c:pt idx="262">
                  <c:v>41.203199999999995</c:v>
                </c:pt>
                <c:pt idx="263">
                  <c:v>41.565750000000001</c:v>
                </c:pt>
                <c:pt idx="264">
                  <c:v>41.576850000000007</c:v>
                </c:pt>
                <c:pt idx="265">
                  <c:v>41.534999999999997</c:v>
                </c:pt>
                <c:pt idx="266">
                  <c:v>41.436150000000012</c:v>
                </c:pt>
                <c:pt idx="267">
                  <c:v>41.990000000000009</c:v>
                </c:pt>
                <c:pt idx="268">
                  <c:v>40.774999999999991</c:v>
                </c:pt>
                <c:pt idx="269">
                  <c:v>40.850250000000003</c:v>
                </c:pt>
                <c:pt idx="270">
                  <c:v>41.044950000000007</c:v>
                </c:pt>
                <c:pt idx="271">
                  <c:v>41.2074</c:v>
                </c:pt>
                <c:pt idx="272">
                  <c:v>41.021799999999992</c:v>
                </c:pt>
                <c:pt idx="273">
                  <c:v>41.044950000000007</c:v>
                </c:pt>
                <c:pt idx="274">
                  <c:v>41.600300000000004</c:v>
                </c:pt>
                <c:pt idx="275">
                  <c:v>41.147800000000004</c:v>
                </c:pt>
                <c:pt idx="276">
                  <c:v>41.184000000000005</c:v>
                </c:pt>
                <c:pt idx="277">
                  <c:v>40.826999999999998</c:v>
                </c:pt>
                <c:pt idx="278">
                  <c:v>41.36</c:v>
                </c:pt>
                <c:pt idx="279">
                  <c:v>41.18</c:v>
                </c:pt>
                <c:pt idx="280">
                  <c:v>41.435199999999988</c:v>
                </c:pt>
                <c:pt idx="281">
                  <c:v>41.259450000000001</c:v>
                </c:pt>
                <c:pt idx="282">
                  <c:v>41.306699999999992</c:v>
                </c:pt>
                <c:pt idx="283">
                  <c:v>41.407000000000011</c:v>
                </c:pt>
                <c:pt idx="284">
                  <c:v>40.803750000000008</c:v>
                </c:pt>
                <c:pt idx="285">
                  <c:v>41.236049999999999</c:v>
                </c:pt>
                <c:pt idx="286">
                  <c:v>40.8735</c:v>
                </c:pt>
                <c:pt idx="287">
                  <c:v>40.878399999999992</c:v>
                </c:pt>
                <c:pt idx="288">
                  <c:v>40.686999999999998</c:v>
                </c:pt>
                <c:pt idx="289">
                  <c:v>41.106000000000002</c:v>
                </c:pt>
                <c:pt idx="290">
                  <c:v>40.989750000000001</c:v>
                </c:pt>
                <c:pt idx="291">
                  <c:v>41.106000000000002</c:v>
                </c:pt>
                <c:pt idx="292">
                  <c:v>41.319199999999995</c:v>
                </c:pt>
                <c:pt idx="293">
                  <c:v>41.254199999999997</c:v>
                </c:pt>
                <c:pt idx="294">
                  <c:v>41.129249999999999</c:v>
                </c:pt>
                <c:pt idx="295">
                  <c:v>40.92</c:v>
                </c:pt>
                <c:pt idx="296">
                  <c:v>40.96139999999999</c:v>
                </c:pt>
                <c:pt idx="297">
                  <c:v>40.617999999999995</c:v>
                </c:pt>
                <c:pt idx="298">
                  <c:v>40.702200000000005</c:v>
                </c:pt>
                <c:pt idx="299">
                  <c:v>40.563600000000001</c:v>
                </c:pt>
                <c:pt idx="300">
                  <c:v>40.628250000000001</c:v>
                </c:pt>
                <c:pt idx="301">
                  <c:v>40.632899999999999</c:v>
                </c:pt>
                <c:pt idx="302">
                  <c:v>40.189500000000002</c:v>
                </c:pt>
                <c:pt idx="303">
                  <c:v>39.824999999999989</c:v>
                </c:pt>
                <c:pt idx="304">
                  <c:v>40.090500000000006</c:v>
                </c:pt>
                <c:pt idx="305">
                  <c:v>40.617999999999995</c:v>
                </c:pt>
                <c:pt idx="306">
                  <c:v>40.621499999999997</c:v>
                </c:pt>
                <c:pt idx="307">
                  <c:v>40.535650000000004</c:v>
                </c:pt>
                <c:pt idx="308">
                  <c:v>40.9148</c:v>
                </c:pt>
                <c:pt idx="309">
                  <c:v>41.101199999999992</c:v>
                </c:pt>
                <c:pt idx="310">
                  <c:v>41.633049999999997</c:v>
                </c:pt>
                <c:pt idx="311">
                  <c:v>41.141099999999994</c:v>
                </c:pt>
                <c:pt idx="312">
                  <c:v>41.129249999999999</c:v>
                </c:pt>
                <c:pt idx="313">
                  <c:v>40.637149999999998</c:v>
                </c:pt>
                <c:pt idx="314">
                  <c:v>40.350450000000009</c:v>
                </c:pt>
                <c:pt idx="315">
                  <c:v>40.725300000000004</c:v>
                </c:pt>
                <c:pt idx="316">
                  <c:v>41.129249999999999</c:v>
                </c:pt>
                <c:pt idx="317">
                  <c:v>41.241000000000007</c:v>
                </c:pt>
                <c:pt idx="318">
                  <c:v>40.844599999999993</c:v>
                </c:pt>
                <c:pt idx="319">
                  <c:v>41.489999999999995</c:v>
                </c:pt>
                <c:pt idx="320">
                  <c:v>41.33850000000001</c:v>
                </c:pt>
                <c:pt idx="321">
                  <c:v>41.345899999999993</c:v>
                </c:pt>
                <c:pt idx="322">
                  <c:v>41.647199999999998</c:v>
                </c:pt>
                <c:pt idx="323">
                  <c:v>41.511600000000001</c:v>
                </c:pt>
                <c:pt idx="324">
                  <c:v>41.618499999999997</c:v>
                </c:pt>
                <c:pt idx="325">
                  <c:v>41.430500000000009</c:v>
                </c:pt>
                <c:pt idx="326">
                  <c:v>41.217699999999994</c:v>
                </c:pt>
                <c:pt idx="327">
                  <c:v>41.347799999999999</c:v>
                </c:pt>
                <c:pt idx="328">
                  <c:v>41.600299999999997</c:v>
                </c:pt>
                <c:pt idx="329">
                  <c:v>41.641999999999996</c:v>
                </c:pt>
                <c:pt idx="330">
                  <c:v>41.884149999999991</c:v>
                </c:pt>
                <c:pt idx="331">
                  <c:v>41.872799999999991</c:v>
                </c:pt>
                <c:pt idx="332">
                  <c:v>41.411149999999999</c:v>
                </c:pt>
                <c:pt idx="333">
                  <c:v>41.054599999999994</c:v>
                </c:pt>
                <c:pt idx="334">
                  <c:v>40.90605</c:v>
                </c:pt>
                <c:pt idx="335">
                  <c:v>41.287599999999998</c:v>
                </c:pt>
                <c:pt idx="336">
                  <c:v>41.412699999999994</c:v>
                </c:pt>
                <c:pt idx="337">
                  <c:v>41.741000000000007</c:v>
                </c:pt>
                <c:pt idx="338">
                  <c:v>41.534999999999989</c:v>
                </c:pt>
                <c:pt idx="339">
                  <c:v>41.4315</c:v>
                </c:pt>
                <c:pt idx="340">
                  <c:v>41.535000000000011</c:v>
                </c:pt>
                <c:pt idx="341">
                  <c:v>41.37735</c:v>
                </c:pt>
                <c:pt idx="342">
                  <c:v>41.084399999999995</c:v>
                </c:pt>
                <c:pt idx="343">
                  <c:v>41.871900000000004</c:v>
                </c:pt>
                <c:pt idx="344">
                  <c:v>41.292000000000002</c:v>
                </c:pt>
                <c:pt idx="345">
                  <c:v>41.201649999999987</c:v>
                </c:pt>
                <c:pt idx="346">
                  <c:v>40.751700000000007</c:v>
                </c:pt>
                <c:pt idx="347">
                  <c:v>41.030999999999999</c:v>
                </c:pt>
                <c:pt idx="348">
                  <c:v>40.361999999999995</c:v>
                </c:pt>
                <c:pt idx="349">
                  <c:v>40.709200000000003</c:v>
                </c:pt>
                <c:pt idx="350">
                  <c:v>40.859249999999996</c:v>
                </c:pt>
                <c:pt idx="351">
                  <c:v>39.853449999999995</c:v>
                </c:pt>
                <c:pt idx="352">
                  <c:v>39.726449999999993</c:v>
                </c:pt>
                <c:pt idx="353">
                  <c:v>39.731499999999997</c:v>
                </c:pt>
                <c:pt idx="354">
                  <c:v>39.818249999999999</c:v>
                </c:pt>
                <c:pt idx="355">
                  <c:v>40.199249999999999</c:v>
                </c:pt>
                <c:pt idx="356">
                  <c:v>40.006099999999996</c:v>
                </c:pt>
                <c:pt idx="357">
                  <c:v>39.79529999999999</c:v>
                </c:pt>
                <c:pt idx="358">
                  <c:v>39.67499999999999</c:v>
                </c:pt>
                <c:pt idx="359">
                  <c:v>40.474699999999999</c:v>
                </c:pt>
                <c:pt idx="360">
                  <c:v>39.516749999999995</c:v>
                </c:pt>
                <c:pt idx="361">
                  <c:v>39.736149999999995</c:v>
                </c:pt>
                <c:pt idx="362">
                  <c:v>40.049499999999995</c:v>
                </c:pt>
                <c:pt idx="363">
                  <c:v>40.250000000000007</c:v>
                </c:pt>
                <c:pt idx="364">
                  <c:v>40.542000000000002</c:v>
                </c:pt>
                <c:pt idx="365">
                  <c:v>40.5685</c:v>
                </c:pt>
                <c:pt idx="366">
                  <c:v>40.912199999999991</c:v>
                </c:pt>
                <c:pt idx="367">
                  <c:v>40.2624</c:v>
                </c:pt>
                <c:pt idx="368">
                  <c:v>40.049499999999995</c:v>
                </c:pt>
                <c:pt idx="369">
                  <c:v>39.715149999999994</c:v>
                </c:pt>
                <c:pt idx="370">
                  <c:v>39.834399999999995</c:v>
                </c:pt>
                <c:pt idx="371">
                  <c:v>40.068599999999996</c:v>
                </c:pt>
                <c:pt idx="372">
                  <c:v>39.616499999999988</c:v>
                </c:pt>
                <c:pt idx="373">
                  <c:v>39.375999999999991</c:v>
                </c:pt>
                <c:pt idx="374">
                  <c:v>39.260999999999996</c:v>
                </c:pt>
                <c:pt idx="375">
                  <c:v>39.33</c:v>
                </c:pt>
                <c:pt idx="376">
                  <c:v>38.753599999999999</c:v>
                </c:pt>
                <c:pt idx="377">
                  <c:v>38.595599999999997</c:v>
                </c:pt>
                <c:pt idx="378">
                  <c:v>39.096349999999994</c:v>
                </c:pt>
                <c:pt idx="379">
                  <c:v>38.907100000000007</c:v>
                </c:pt>
                <c:pt idx="380">
                  <c:v>39.398400000000002</c:v>
                </c:pt>
                <c:pt idx="381">
                  <c:v>38.930500000000002</c:v>
                </c:pt>
                <c:pt idx="382">
                  <c:v>39.161950000000004</c:v>
                </c:pt>
                <c:pt idx="383">
                  <c:v>38.984999999999992</c:v>
                </c:pt>
                <c:pt idx="384">
                  <c:v>38.93</c:v>
                </c:pt>
                <c:pt idx="385">
                  <c:v>39.400299999999987</c:v>
                </c:pt>
                <c:pt idx="386">
                  <c:v>38.680799999999998</c:v>
                </c:pt>
                <c:pt idx="387">
                  <c:v>39.410999999999987</c:v>
                </c:pt>
                <c:pt idx="388">
                  <c:v>39.576199999999993</c:v>
                </c:pt>
                <c:pt idx="389">
                  <c:v>39.329999999999991</c:v>
                </c:pt>
                <c:pt idx="390">
                  <c:v>39.233449999999984</c:v>
                </c:pt>
                <c:pt idx="391">
                  <c:v>38.975899999999989</c:v>
                </c:pt>
                <c:pt idx="392">
                  <c:v>39.562249999999999</c:v>
                </c:pt>
                <c:pt idx="393">
                  <c:v>39.266500000000001</c:v>
                </c:pt>
                <c:pt idx="394">
                  <c:v>38.763449999999992</c:v>
                </c:pt>
                <c:pt idx="395">
                  <c:v>38.441999999999993</c:v>
                </c:pt>
                <c:pt idx="396">
                  <c:v>38.572799999999994</c:v>
                </c:pt>
                <c:pt idx="397">
                  <c:v>38.804199999999994</c:v>
                </c:pt>
                <c:pt idx="398">
                  <c:v>38.925249999999998</c:v>
                </c:pt>
                <c:pt idx="399">
                  <c:v>38.759</c:v>
                </c:pt>
                <c:pt idx="400">
                  <c:v>38.646000000000001</c:v>
                </c:pt>
                <c:pt idx="401">
                  <c:v>38.069749999999985</c:v>
                </c:pt>
                <c:pt idx="402">
                  <c:v>38.214399999999998</c:v>
                </c:pt>
                <c:pt idx="403">
                  <c:v>38.873999999999988</c:v>
                </c:pt>
                <c:pt idx="404">
                  <c:v>38.919599999999988</c:v>
                </c:pt>
                <c:pt idx="405">
                  <c:v>38.828399999999995</c:v>
                </c:pt>
                <c:pt idx="406">
                  <c:v>38.730749999999993</c:v>
                </c:pt>
                <c:pt idx="407">
                  <c:v>38.652249999999995</c:v>
                </c:pt>
                <c:pt idx="408">
                  <c:v>38.857499999999995</c:v>
                </c:pt>
                <c:pt idx="409">
                  <c:v>38.885099999999994</c:v>
                </c:pt>
                <c:pt idx="410">
                  <c:v>38.765999999999998</c:v>
                </c:pt>
                <c:pt idx="411">
                  <c:v>39.877199999999995</c:v>
                </c:pt>
                <c:pt idx="412">
                  <c:v>39.644749999999995</c:v>
                </c:pt>
                <c:pt idx="413">
                  <c:v>39.685800000000008</c:v>
                </c:pt>
                <c:pt idx="414">
                  <c:v>39.136099999999992</c:v>
                </c:pt>
                <c:pt idx="415">
                  <c:v>39.233449999999991</c:v>
                </c:pt>
                <c:pt idx="416">
                  <c:v>39.191900000000004</c:v>
                </c:pt>
                <c:pt idx="417">
                  <c:v>39.388349999999996</c:v>
                </c:pt>
                <c:pt idx="418">
                  <c:v>39.256300000000003</c:v>
                </c:pt>
                <c:pt idx="419">
                  <c:v>39.290399999999984</c:v>
                </c:pt>
                <c:pt idx="420">
                  <c:v>39.210599999999992</c:v>
                </c:pt>
                <c:pt idx="421">
                  <c:v>39.016250000000007</c:v>
                </c:pt>
                <c:pt idx="422">
                  <c:v>39.038999999999994</c:v>
                </c:pt>
                <c:pt idx="423">
                  <c:v>39.082499999999989</c:v>
                </c:pt>
                <c:pt idx="424">
                  <c:v>38.839700000000001</c:v>
                </c:pt>
                <c:pt idx="425">
                  <c:v>39.680550000000004</c:v>
                </c:pt>
                <c:pt idx="426">
                  <c:v>38.917200000000001</c:v>
                </c:pt>
                <c:pt idx="427">
                  <c:v>38.654999999999994</c:v>
                </c:pt>
                <c:pt idx="428">
                  <c:v>38.834250000000004</c:v>
                </c:pt>
                <c:pt idx="429">
                  <c:v>38.587499999999999</c:v>
                </c:pt>
                <c:pt idx="430">
                  <c:v>39.773399999999995</c:v>
                </c:pt>
                <c:pt idx="431">
                  <c:v>39.79529999999999</c:v>
                </c:pt>
                <c:pt idx="432">
                  <c:v>39.507649999999998</c:v>
                </c:pt>
                <c:pt idx="433">
                  <c:v>39.479599999999991</c:v>
                </c:pt>
                <c:pt idx="434">
                  <c:v>39.296399999999991</c:v>
                </c:pt>
                <c:pt idx="435">
                  <c:v>39.052799999999991</c:v>
                </c:pt>
                <c:pt idx="436">
                  <c:v>39.034049999999993</c:v>
                </c:pt>
                <c:pt idx="437">
                  <c:v>39.33475</c:v>
                </c:pt>
                <c:pt idx="438">
                  <c:v>39.342199999999998</c:v>
                </c:pt>
                <c:pt idx="439">
                  <c:v>39.180199999999985</c:v>
                </c:pt>
                <c:pt idx="440">
                  <c:v>39.084499999999998</c:v>
                </c:pt>
                <c:pt idx="441">
                  <c:v>39.261599999999994</c:v>
                </c:pt>
                <c:pt idx="442">
                  <c:v>39.0486</c:v>
                </c:pt>
                <c:pt idx="443">
                  <c:v>39.025950000000002</c:v>
                </c:pt>
                <c:pt idx="444">
                  <c:v>39.056399999999989</c:v>
                </c:pt>
                <c:pt idx="445">
                  <c:v>38.748899999999985</c:v>
                </c:pt>
                <c:pt idx="446">
                  <c:v>38.720499999999994</c:v>
                </c:pt>
                <c:pt idx="447">
                  <c:v>39.198599999999999</c:v>
                </c:pt>
                <c:pt idx="448">
                  <c:v>38.703799999999994</c:v>
                </c:pt>
                <c:pt idx="449">
                  <c:v>38.748899999999985</c:v>
                </c:pt>
                <c:pt idx="450">
                  <c:v>38.782799999999995</c:v>
                </c:pt>
                <c:pt idx="451">
                  <c:v>38.805599999999991</c:v>
                </c:pt>
                <c:pt idx="452">
                  <c:v>38.606749999999991</c:v>
                </c:pt>
                <c:pt idx="453">
                  <c:v>38.646000000000001</c:v>
                </c:pt>
                <c:pt idx="454">
                  <c:v>38.424749999999989</c:v>
                </c:pt>
                <c:pt idx="455">
                  <c:v>38.35649999999999</c:v>
                </c:pt>
                <c:pt idx="456">
                  <c:v>38.317499999999995</c:v>
                </c:pt>
                <c:pt idx="457">
                  <c:v>38.380099999999992</c:v>
                </c:pt>
                <c:pt idx="458">
                  <c:v>38.380099999999985</c:v>
                </c:pt>
                <c:pt idx="459">
                  <c:v>38.892999999999994</c:v>
                </c:pt>
                <c:pt idx="460">
                  <c:v>38.824000000000005</c:v>
                </c:pt>
                <c:pt idx="461">
                  <c:v>38.923199999999987</c:v>
                </c:pt>
                <c:pt idx="462">
                  <c:v>38.538499999999992</c:v>
                </c:pt>
                <c:pt idx="463">
                  <c:v>38.431100000000001</c:v>
                </c:pt>
                <c:pt idx="464">
                  <c:v>37.856000000000002</c:v>
                </c:pt>
                <c:pt idx="465">
                  <c:v>38.204999999999991</c:v>
                </c:pt>
                <c:pt idx="466">
                  <c:v>38.317499999999995</c:v>
                </c:pt>
                <c:pt idx="467">
                  <c:v>38.492849999999997</c:v>
                </c:pt>
                <c:pt idx="468">
                  <c:v>38.249499999999998</c:v>
                </c:pt>
                <c:pt idx="469">
                  <c:v>38.675000000000004</c:v>
                </c:pt>
                <c:pt idx="470">
                  <c:v>38.623199999999997</c:v>
                </c:pt>
                <c:pt idx="471">
                  <c:v>38.340299999999999</c:v>
                </c:pt>
                <c:pt idx="472">
                  <c:v>37.748699999999999</c:v>
                </c:pt>
                <c:pt idx="473">
                  <c:v>37.957499999999996</c:v>
                </c:pt>
                <c:pt idx="474">
                  <c:v>37.795499999999997</c:v>
                </c:pt>
                <c:pt idx="475">
                  <c:v>38.078600000000002</c:v>
                </c:pt>
                <c:pt idx="476">
                  <c:v>36.563399999999994</c:v>
                </c:pt>
                <c:pt idx="477">
                  <c:v>37.029600000000002</c:v>
                </c:pt>
                <c:pt idx="478">
                  <c:v>36.884200000000007</c:v>
                </c:pt>
                <c:pt idx="479">
                  <c:v>36.896850000000001</c:v>
                </c:pt>
                <c:pt idx="480">
                  <c:v>36.66879999999999</c:v>
                </c:pt>
                <c:pt idx="481">
                  <c:v>36.801599999999993</c:v>
                </c:pt>
                <c:pt idx="482">
                  <c:v>37.458599999999997</c:v>
                </c:pt>
                <c:pt idx="483">
                  <c:v>37.79549999999999</c:v>
                </c:pt>
                <c:pt idx="484">
                  <c:v>37.29610000000001</c:v>
                </c:pt>
                <c:pt idx="485">
                  <c:v>37.275150000000004</c:v>
                </c:pt>
                <c:pt idx="486">
                  <c:v>37.282499999999985</c:v>
                </c:pt>
                <c:pt idx="487">
                  <c:v>37.374799999999986</c:v>
                </c:pt>
                <c:pt idx="488">
                  <c:v>37.424149999999983</c:v>
                </c:pt>
                <c:pt idx="489">
                  <c:v>37.945400000000006</c:v>
                </c:pt>
                <c:pt idx="490">
                  <c:v>37.606400000000001</c:v>
                </c:pt>
                <c:pt idx="491">
                  <c:v>37.4482</c:v>
                </c:pt>
                <c:pt idx="492">
                  <c:v>37.147499999999987</c:v>
                </c:pt>
                <c:pt idx="493">
                  <c:v>37.5075</c:v>
                </c:pt>
                <c:pt idx="494">
                  <c:v>37.1616</c:v>
                </c:pt>
                <c:pt idx="495">
                  <c:v>37.087399999999988</c:v>
                </c:pt>
                <c:pt idx="496">
                  <c:v>36.906499999999994</c:v>
                </c:pt>
                <c:pt idx="497">
                  <c:v>37.297699999999992</c:v>
                </c:pt>
                <c:pt idx="498">
                  <c:v>37.094749999999991</c:v>
                </c:pt>
                <c:pt idx="499">
                  <c:v>37.318399999999997</c:v>
                </c:pt>
                <c:pt idx="500">
                  <c:v>37.240999999999993</c:v>
                </c:pt>
                <c:pt idx="501">
                  <c:v>37.260000000000005</c:v>
                </c:pt>
                <c:pt idx="502">
                  <c:v>37.049599999999998</c:v>
                </c:pt>
                <c:pt idx="503">
                  <c:v>36.398699999999998</c:v>
                </c:pt>
                <c:pt idx="504">
                  <c:v>37.116799999999991</c:v>
                </c:pt>
                <c:pt idx="505">
                  <c:v>37.027200000000008</c:v>
                </c:pt>
                <c:pt idx="506">
                  <c:v>37.056299999999993</c:v>
                </c:pt>
                <c:pt idx="507">
                  <c:v>36.951099999999997</c:v>
                </c:pt>
                <c:pt idx="508">
                  <c:v>37.346849999999996</c:v>
                </c:pt>
                <c:pt idx="509">
                  <c:v>37.135249999999992</c:v>
                </c:pt>
                <c:pt idx="510">
                  <c:v>37.218699999999991</c:v>
                </c:pt>
                <c:pt idx="511">
                  <c:v>37.222099999999998</c:v>
                </c:pt>
                <c:pt idx="512">
                  <c:v>37.246000000000002</c:v>
                </c:pt>
                <c:pt idx="513">
                  <c:v>37.330199999999998</c:v>
                </c:pt>
                <c:pt idx="514">
                  <c:v>38.9529</c:v>
                </c:pt>
                <c:pt idx="515">
                  <c:v>39.16194999999999</c:v>
                </c:pt>
                <c:pt idx="516">
                  <c:v>39.120699999999992</c:v>
                </c:pt>
                <c:pt idx="517">
                  <c:v>38.776250000000005</c:v>
                </c:pt>
                <c:pt idx="518">
                  <c:v>38.151749999999993</c:v>
                </c:pt>
                <c:pt idx="519">
                  <c:v>38.372399999999992</c:v>
                </c:pt>
                <c:pt idx="520">
                  <c:v>38.106250000000003</c:v>
                </c:pt>
                <c:pt idx="521">
                  <c:v>37.893449999999994</c:v>
                </c:pt>
                <c:pt idx="522">
                  <c:v>37.430399999999992</c:v>
                </c:pt>
                <c:pt idx="523">
                  <c:v>38.115419999999986</c:v>
                </c:pt>
                <c:pt idx="524">
                  <c:v>38.197249999999997</c:v>
                </c:pt>
                <c:pt idx="525">
                  <c:v>38.572949999999999</c:v>
                </c:pt>
                <c:pt idx="526">
                  <c:v>37.893450000000001</c:v>
                </c:pt>
                <c:pt idx="527">
                  <c:v>38.174500000000009</c:v>
                </c:pt>
                <c:pt idx="528">
                  <c:v>37.961399999999998</c:v>
                </c:pt>
                <c:pt idx="529">
                  <c:v>37.934999999999988</c:v>
                </c:pt>
                <c:pt idx="530">
                  <c:v>37.985399999999984</c:v>
                </c:pt>
                <c:pt idx="531">
                  <c:v>38.563600000000001</c:v>
                </c:pt>
                <c:pt idx="532">
                  <c:v>38.487149999999993</c:v>
                </c:pt>
                <c:pt idx="533">
                  <c:v>38.499199999999995</c:v>
                </c:pt>
                <c:pt idx="534">
                  <c:v>39.330399999999997</c:v>
                </c:pt>
                <c:pt idx="535">
                  <c:v>38.738699999999994</c:v>
                </c:pt>
                <c:pt idx="536">
                  <c:v>38.892000000000003</c:v>
                </c:pt>
                <c:pt idx="537">
                  <c:v>38.387999999999991</c:v>
                </c:pt>
                <c:pt idx="538">
                  <c:v>38.182349999999992</c:v>
                </c:pt>
                <c:pt idx="539">
                  <c:v>38.326799999999999</c:v>
                </c:pt>
                <c:pt idx="540">
                  <c:v>38.113299999999988</c:v>
                </c:pt>
                <c:pt idx="541">
                  <c:v>38.098799999999997</c:v>
                </c:pt>
                <c:pt idx="542">
                  <c:v>38.144399999999997</c:v>
                </c:pt>
                <c:pt idx="543">
                  <c:v>37.984049999999996</c:v>
                </c:pt>
                <c:pt idx="544">
                  <c:v>37.861450000000005</c:v>
                </c:pt>
                <c:pt idx="545">
                  <c:v>38.524999999999991</c:v>
                </c:pt>
                <c:pt idx="546">
                  <c:v>37.793849999999992</c:v>
                </c:pt>
                <c:pt idx="547">
                  <c:v>39.370400000000004</c:v>
                </c:pt>
                <c:pt idx="548">
                  <c:v>39.478500000000004</c:v>
                </c:pt>
                <c:pt idx="549">
                  <c:v>38.931450000000005</c:v>
                </c:pt>
                <c:pt idx="550">
                  <c:v>38.7697</c:v>
                </c:pt>
                <c:pt idx="551">
                  <c:v>38.395200000000003</c:v>
                </c:pt>
                <c:pt idx="552">
                  <c:v>38.449100000000008</c:v>
                </c:pt>
                <c:pt idx="553">
                  <c:v>38.5092</c:v>
                </c:pt>
                <c:pt idx="554">
                  <c:v>38.431100000000001</c:v>
                </c:pt>
                <c:pt idx="555">
                  <c:v>37.985399999999991</c:v>
                </c:pt>
                <c:pt idx="556">
                  <c:v>37.755000000000003</c:v>
                </c:pt>
                <c:pt idx="557">
                  <c:v>37.811199999999999</c:v>
                </c:pt>
                <c:pt idx="558">
                  <c:v>37.990600000000001</c:v>
                </c:pt>
                <c:pt idx="559">
                  <c:v>37.795499999999997</c:v>
                </c:pt>
                <c:pt idx="560">
                  <c:v>37.974200000000003</c:v>
                </c:pt>
                <c:pt idx="561">
                  <c:v>37.410449999999997</c:v>
                </c:pt>
                <c:pt idx="562">
                  <c:v>38.105599999999995</c:v>
                </c:pt>
                <c:pt idx="563">
                  <c:v>37.726149999999997</c:v>
                </c:pt>
                <c:pt idx="564">
                  <c:v>37.755000000000003</c:v>
                </c:pt>
                <c:pt idx="565">
                  <c:v>37.140599999999999</c:v>
                </c:pt>
                <c:pt idx="566">
                  <c:v>37.478099999999998</c:v>
                </c:pt>
                <c:pt idx="567">
                  <c:v>37.267399999999995</c:v>
                </c:pt>
                <c:pt idx="568">
                  <c:v>37.056299999999993</c:v>
                </c:pt>
                <c:pt idx="569">
                  <c:v>36.597599999999986</c:v>
                </c:pt>
                <c:pt idx="570">
                  <c:v>36.607999999999997</c:v>
                </c:pt>
                <c:pt idx="571">
                  <c:v>36.899849999999986</c:v>
                </c:pt>
                <c:pt idx="572">
                  <c:v>36.855149999999995</c:v>
                </c:pt>
                <c:pt idx="573">
                  <c:v>36.929099999999991</c:v>
                </c:pt>
                <c:pt idx="574">
                  <c:v>37.189849999999993</c:v>
                </c:pt>
                <c:pt idx="575">
                  <c:v>37.007399999999983</c:v>
                </c:pt>
                <c:pt idx="576">
                  <c:v>36.857599999999991</c:v>
                </c:pt>
                <c:pt idx="577">
                  <c:v>36.872</c:v>
                </c:pt>
                <c:pt idx="578">
                  <c:v>36.663899999999998</c:v>
                </c:pt>
                <c:pt idx="579">
                  <c:v>37.235099999999996</c:v>
                </c:pt>
                <c:pt idx="580">
                  <c:v>37.157499999999999</c:v>
                </c:pt>
                <c:pt idx="581">
                  <c:v>37.362600000000008</c:v>
                </c:pt>
                <c:pt idx="582">
                  <c:v>36.901899999999991</c:v>
                </c:pt>
                <c:pt idx="583">
                  <c:v>37.413899999999998</c:v>
                </c:pt>
                <c:pt idx="584">
                  <c:v>37.095500000000001</c:v>
                </c:pt>
                <c:pt idx="585">
                  <c:v>38.013199999999991</c:v>
                </c:pt>
                <c:pt idx="586">
                  <c:v>37.951649999999994</c:v>
                </c:pt>
                <c:pt idx="587">
                  <c:v>37.557999999999993</c:v>
                </c:pt>
                <c:pt idx="588">
                  <c:v>37.664999999999999</c:v>
                </c:pt>
                <c:pt idx="589">
                  <c:v>37.484999999999985</c:v>
                </c:pt>
                <c:pt idx="590">
                  <c:v>37.473599999999998</c:v>
                </c:pt>
                <c:pt idx="591">
                  <c:v>38.086949999999995</c:v>
                </c:pt>
                <c:pt idx="592">
                  <c:v>38.632299999999994</c:v>
                </c:pt>
                <c:pt idx="593">
                  <c:v>38.329599999999999</c:v>
                </c:pt>
                <c:pt idx="594">
                  <c:v>38.854199999999999</c:v>
                </c:pt>
                <c:pt idx="595">
                  <c:v>39.013500000000008</c:v>
                </c:pt>
                <c:pt idx="596">
                  <c:v>38.410850000000003</c:v>
                </c:pt>
                <c:pt idx="597">
                  <c:v>38.154599999999995</c:v>
                </c:pt>
                <c:pt idx="598">
                  <c:v>38.333750000000002</c:v>
                </c:pt>
                <c:pt idx="599">
                  <c:v>37.999199999999995</c:v>
                </c:pt>
                <c:pt idx="600">
                  <c:v>38.121599999999994</c:v>
                </c:pt>
                <c:pt idx="601">
                  <c:v>38.174299999999988</c:v>
                </c:pt>
                <c:pt idx="602">
                  <c:v>38.151749999999993</c:v>
                </c:pt>
                <c:pt idx="603">
                  <c:v>37.877600000000001</c:v>
                </c:pt>
                <c:pt idx="604">
                  <c:v>38.136000000000003</c:v>
                </c:pt>
                <c:pt idx="605">
                  <c:v>38.310999999999993</c:v>
                </c:pt>
                <c:pt idx="606">
                  <c:v>37.940499999999993</c:v>
                </c:pt>
                <c:pt idx="607">
                  <c:v>37.401699999999998</c:v>
                </c:pt>
                <c:pt idx="608">
                  <c:v>37.433</c:v>
                </c:pt>
                <c:pt idx="609">
                  <c:v>37.507499999999993</c:v>
                </c:pt>
                <c:pt idx="610">
                  <c:v>37.689599999999992</c:v>
                </c:pt>
                <c:pt idx="611">
                  <c:v>37.878749999999989</c:v>
                </c:pt>
                <c:pt idx="612">
                  <c:v>37.251600000000003</c:v>
                </c:pt>
                <c:pt idx="613">
                  <c:v>37.198349999999991</c:v>
                </c:pt>
                <c:pt idx="614">
                  <c:v>37.42414999999999</c:v>
                </c:pt>
                <c:pt idx="615">
                  <c:v>38.294899999999991</c:v>
                </c:pt>
                <c:pt idx="616">
                  <c:v>38.219999999999992</c:v>
                </c:pt>
                <c:pt idx="617">
                  <c:v>38.197199999999995</c:v>
                </c:pt>
                <c:pt idx="618">
                  <c:v>37.79999999999999</c:v>
                </c:pt>
                <c:pt idx="619">
                  <c:v>37.455649999999991</c:v>
                </c:pt>
                <c:pt idx="620">
                  <c:v>37.665000000000006</c:v>
                </c:pt>
                <c:pt idx="621">
                  <c:v>37.916099999999993</c:v>
                </c:pt>
                <c:pt idx="622">
                  <c:v>37.873149999999995</c:v>
                </c:pt>
                <c:pt idx="623">
                  <c:v>37.754999999999988</c:v>
                </c:pt>
                <c:pt idx="624">
                  <c:v>37.924250000000001</c:v>
                </c:pt>
                <c:pt idx="625">
                  <c:v>37.887700000000002</c:v>
                </c:pt>
                <c:pt idx="626">
                  <c:v>37.918050000000001</c:v>
                </c:pt>
                <c:pt idx="627">
                  <c:v>38.074649999999991</c:v>
                </c:pt>
                <c:pt idx="628">
                  <c:v>38.303549999999994</c:v>
                </c:pt>
                <c:pt idx="629">
                  <c:v>37.352499999999992</c:v>
                </c:pt>
                <c:pt idx="630">
                  <c:v>37.179749999999991</c:v>
                </c:pt>
                <c:pt idx="631">
                  <c:v>37.385599999999997</c:v>
                </c:pt>
                <c:pt idx="632">
                  <c:v>37.628999999999998</c:v>
                </c:pt>
                <c:pt idx="633">
                  <c:v>37.674199999999992</c:v>
                </c:pt>
                <c:pt idx="634">
                  <c:v>36.829799999999992</c:v>
                </c:pt>
                <c:pt idx="635">
                  <c:v>37.349999999999994</c:v>
                </c:pt>
                <c:pt idx="636">
                  <c:v>37.452799999999989</c:v>
                </c:pt>
                <c:pt idx="637">
                  <c:v>37.517999999999994</c:v>
                </c:pt>
                <c:pt idx="638">
                  <c:v>37.637399999999992</c:v>
                </c:pt>
                <c:pt idx="639">
                  <c:v>37.732500000000002</c:v>
                </c:pt>
                <c:pt idx="640">
                  <c:v>37.780200000000001</c:v>
                </c:pt>
                <c:pt idx="641">
                  <c:v>37.689599999999999</c:v>
                </c:pt>
                <c:pt idx="642">
                  <c:v>37.613899999999994</c:v>
                </c:pt>
                <c:pt idx="643">
                  <c:v>37.401699999999991</c:v>
                </c:pt>
                <c:pt idx="644">
                  <c:v>37.374750000000006</c:v>
                </c:pt>
                <c:pt idx="645">
                  <c:v>37.419399999999989</c:v>
                </c:pt>
                <c:pt idx="646">
                  <c:v>37.581299999999999</c:v>
                </c:pt>
                <c:pt idx="647">
                  <c:v>37.446600000000004</c:v>
                </c:pt>
                <c:pt idx="648">
                  <c:v>37.561199999999992</c:v>
                </c:pt>
                <c:pt idx="649">
                  <c:v>37.267000000000003</c:v>
                </c:pt>
                <c:pt idx="650">
                  <c:v>37.417499999999997</c:v>
                </c:pt>
                <c:pt idx="651">
                  <c:v>37.132300000000001</c:v>
                </c:pt>
                <c:pt idx="652">
                  <c:v>37.515999999999998</c:v>
                </c:pt>
                <c:pt idx="653">
                  <c:v>37.29</c:v>
                </c:pt>
                <c:pt idx="654">
                  <c:v>36.690249999999999</c:v>
                </c:pt>
                <c:pt idx="655">
                  <c:v>36.563399999999987</c:v>
                </c:pt>
                <c:pt idx="656">
                  <c:v>37.192499999999995</c:v>
                </c:pt>
                <c:pt idx="657">
                  <c:v>36.392449999999997</c:v>
                </c:pt>
                <c:pt idx="658">
                  <c:v>36.734749999999991</c:v>
                </c:pt>
                <c:pt idx="659">
                  <c:v>37.094749999999998</c:v>
                </c:pt>
                <c:pt idx="660">
                  <c:v>36.922499999999992</c:v>
                </c:pt>
                <c:pt idx="661">
                  <c:v>36.482800000000005</c:v>
                </c:pt>
                <c:pt idx="662">
                  <c:v>36.690249999999999</c:v>
                </c:pt>
                <c:pt idx="663">
                  <c:v>36.877499999999998</c:v>
                </c:pt>
                <c:pt idx="664">
                  <c:v>36.222600000000007</c:v>
                </c:pt>
                <c:pt idx="665">
                  <c:v>36.156899999999986</c:v>
                </c:pt>
                <c:pt idx="666">
                  <c:v>36.613949999999996</c:v>
                </c:pt>
                <c:pt idx="667">
                  <c:v>36.041899999999998</c:v>
                </c:pt>
                <c:pt idx="668">
                  <c:v>36.161999999999999</c:v>
                </c:pt>
                <c:pt idx="669">
                  <c:v>35.981699999999996</c:v>
                </c:pt>
                <c:pt idx="670">
                  <c:v>36.161999999999999</c:v>
                </c:pt>
                <c:pt idx="671">
                  <c:v>36.227500000000013</c:v>
                </c:pt>
                <c:pt idx="672">
                  <c:v>36.261399999999988</c:v>
                </c:pt>
                <c:pt idx="673">
                  <c:v>36.823499999999989</c:v>
                </c:pt>
                <c:pt idx="674">
                  <c:v>36.531299999999995</c:v>
                </c:pt>
                <c:pt idx="675">
                  <c:v>36.558899999999994</c:v>
                </c:pt>
                <c:pt idx="676">
                  <c:v>36.810449999999996</c:v>
                </c:pt>
                <c:pt idx="677">
                  <c:v>36.619700000000002</c:v>
                </c:pt>
                <c:pt idx="678">
                  <c:v>36.498000000000005</c:v>
                </c:pt>
                <c:pt idx="679">
                  <c:v>36.563999999999993</c:v>
                </c:pt>
                <c:pt idx="680">
                  <c:v>36.041899999999991</c:v>
                </c:pt>
                <c:pt idx="681">
                  <c:v>36.166200000000011</c:v>
                </c:pt>
                <c:pt idx="682">
                  <c:v>36.877499999999991</c:v>
                </c:pt>
                <c:pt idx="683">
                  <c:v>36.161999999999999</c:v>
                </c:pt>
                <c:pt idx="684">
                  <c:v>36.360449999999993</c:v>
                </c:pt>
                <c:pt idx="685">
                  <c:v>36.211999999999996</c:v>
                </c:pt>
                <c:pt idx="686">
                  <c:v>35.932149999999993</c:v>
                </c:pt>
                <c:pt idx="687">
                  <c:v>35.374200000000009</c:v>
                </c:pt>
                <c:pt idx="688">
                  <c:v>35.921399999999998</c:v>
                </c:pt>
                <c:pt idx="689">
                  <c:v>35.910199999999996</c:v>
                </c:pt>
                <c:pt idx="690">
                  <c:v>35.934600000000003</c:v>
                </c:pt>
                <c:pt idx="691">
                  <c:v>35.8005</c:v>
                </c:pt>
                <c:pt idx="692">
                  <c:v>35.255800000000001</c:v>
                </c:pt>
                <c:pt idx="693">
                  <c:v>35.4407</c:v>
                </c:pt>
                <c:pt idx="694">
                  <c:v>35.499899999999997</c:v>
                </c:pt>
                <c:pt idx="695">
                  <c:v>35.094649999999994</c:v>
                </c:pt>
                <c:pt idx="696">
                  <c:v>35.327599999999997</c:v>
                </c:pt>
                <c:pt idx="697">
                  <c:v>35.073000000000008</c:v>
                </c:pt>
                <c:pt idx="698">
                  <c:v>34.970400000000005</c:v>
                </c:pt>
                <c:pt idx="699">
                  <c:v>35.445600000000013</c:v>
                </c:pt>
                <c:pt idx="700">
                  <c:v>35.648249999999997</c:v>
                </c:pt>
                <c:pt idx="701">
                  <c:v>36.051749999999991</c:v>
                </c:pt>
                <c:pt idx="702">
                  <c:v>35.515099999999997</c:v>
                </c:pt>
                <c:pt idx="703">
                  <c:v>35.403200000000005</c:v>
                </c:pt>
                <c:pt idx="704">
                  <c:v>35.57180000000001</c:v>
                </c:pt>
                <c:pt idx="705">
                  <c:v>35.298899999999996</c:v>
                </c:pt>
                <c:pt idx="706">
                  <c:v>35.631400000000006</c:v>
                </c:pt>
                <c:pt idx="707">
                  <c:v>36.087100000000014</c:v>
                </c:pt>
                <c:pt idx="708">
                  <c:v>35.937899999999992</c:v>
                </c:pt>
                <c:pt idx="709">
                  <c:v>35.779899999999998</c:v>
                </c:pt>
                <c:pt idx="710">
                  <c:v>35.702900000000007</c:v>
                </c:pt>
                <c:pt idx="711">
                  <c:v>35.392700000000012</c:v>
                </c:pt>
                <c:pt idx="712">
                  <c:v>36.436999999999998</c:v>
                </c:pt>
                <c:pt idx="713">
                  <c:v>36.641799999999996</c:v>
                </c:pt>
                <c:pt idx="714">
                  <c:v>36.718799999999987</c:v>
                </c:pt>
                <c:pt idx="715">
                  <c:v>37.004549999999995</c:v>
                </c:pt>
                <c:pt idx="716">
                  <c:v>36.569649999999989</c:v>
                </c:pt>
                <c:pt idx="717">
                  <c:v>36.410000000000004</c:v>
                </c:pt>
                <c:pt idx="718">
                  <c:v>36.683499999999995</c:v>
                </c:pt>
                <c:pt idx="719">
                  <c:v>36.111399999999989</c:v>
                </c:pt>
                <c:pt idx="720">
                  <c:v>36.310300000000005</c:v>
                </c:pt>
                <c:pt idx="721">
                  <c:v>36.07435000000001</c:v>
                </c:pt>
                <c:pt idx="722">
                  <c:v>36.409999999999997</c:v>
                </c:pt>
                <c:pt idx="723">
                  <c:v>36.803199999999997</c:v>
                </c:pt>
                <c:pt idx="724">
                  <c:v>36.505099999999992</c:v>
                </c:pt>
                <c:pt idx="725">
                  <c:v>36.652200000000001</c:v>
                </c:pt>
                <c:pt idx="726">
                  <c:v>36.107749999999989</c:v>
                </c:pt>
                <c:pt idx="727">
                  <c:v>35.514400000000009</c:v>
                </c:pt>
                <c:pt idx="728">
                  <c:v>36.000300000000003</c:v>
                </c:pt>
                <c:pt idx="729">
                  <c:v>36.393099999999997</c:v>
                </c:pt>
                <c:pt idx="730">
                  <c:v>36.36045</c:v>
                </c:pt>
                <c:pt idx="731">
                  <c:v>37.805800000000005</c:v>
                </c:pt>
                <c:pt idx="732">
                  <c:v>37.922800000000009</c:v>
                </c:pt>
                <c:pt idx="733">
                  <c:v>37.809800000000003</c:v>
                </c:pt>
                <c:pt idx="734">
                  <c:v>37.72679999999999</c:v>
                </c:pt>
                <c:pt idx="735">
                  <c:v>37.263299999999987</c:v>
                </c:pt>
                <c:pt idx="736">
                  <c:v>37.42414999999999</c:v>
                </c:pt>
                <c:pt idx="737">
                  <c:v>37.109850000000002</c:v>
                </c:pt>
                <c:pt idx="738">
                  <c:v>37.387899999999995</c:v>
                </c:pt>
                <c:pt idx="739">
                  <c:v>37.129499999999986</c:v>
                </c:pt>
                <c:pt idx="740">
                  <c:v>37.162799999999997</c:v>
                </c:pt>
                <c:pt idx="741">
                  <c:v>37.150099999999995</c:v>
                </c:pt>
                <c:pt idx="742">
                  <c:v>36.829799999999992</c:v>
                </c:pt>
                <c:pt idx="743">
                  <c:v>37.072000000000003</c:v>
                </c:pt>
                <c:pt idx="744">
                  <c:v>37.228799999999993</c:v>
                </c:pt>
                <c:pt idx="745">
                  <c:v>36.879599999999996</c:v>
                </c:pt>
                <c:pt idx="746">
                  <c:v>37.285599999999995</c:v>
                </c:pt>
                <c:pt idx="747">
                  <c:v>37.704449999999994</c:v>
                </c:pt>
                <c:pt idx="748">
                  <c:v>37.424149999999983</c:v>
                </c:pt>
                <c:pt idx="749">
                  <c:v>37.742250000000006</c:v>
                </c:pt>
                <c:pt idx="750">
                  <c:v>36.989249999999991</c:v>
                </c:pt>
                <c:pt idx="751">
                  <c:v>36.563999999999986</c:v>
                </c:pt>
                <c:pt idx="752">
                  <c:v>37.256299999999996</c:v>
                </c:pt>
                <c:pt idx="753">
                  <c:v>37.787199999999991</c:v>
                </c:pt>
                <c:pt idx="754">
                  <c:v>37.924249999999994</c:v>
                </c:pt>
                <c:pt idx="755">
                  <c:v>37.084900000000005</c:v>
                </c:pt>
                <c:pt idx="756">
                  <c:v>37.135249999999999</c:v>
                </c:pt>
                <c:pt idx="757">
                  <c:v>37.480949999999986</c:v>
                </c:pt>
                <c:pt idx="758">
                  <c:v>38.334999999999994</c:v>
                </c:pt>
                <c:pt idx="759">
                  <c:v>37.44</c:v>
                </c:pt>
                <c:pt idx="760">
                  <c:v>37.772800000000004</c:v>
                </c:pt>
                <c:pt idx="761">
                  <c:v>37.497600000000006</c:v>
                </c:pt>
                <c:pt idx="762">
                  <c:v>37.732499999999995</c:v>
                </c:pt>
                <c:pt idx="763">
                  <c:v>37.626199999999997</c:v>
                </c:pt>
                <c:pt idx="764">
                  <c:v>37.503299999999989</c:v>
                </c:pt>
                <c:pt idx="765">
                  <c:v>37.613399999999999</c:v>
                </c:pt>
                <c:pt idx="766">
                  <c:v>37.105899999999998</c:v>
                </c:pt>
                <c:pt idx="767">
                  <c:v>37.176300000000005</c:v>
                </c:pt>
                <c:pt idx="768">
                  <c:v>37.558849999999993</c:v>
                </c:pt>
                <c:pt idx="769">
                  <c:v>37.374799999999993</c:v>
                </c:pt>
                <c:pt idx="770">
                  <c:v>37.441700000000004</c:v>
                </c:pt>
                <c:pt idx="771">
                  <c:v>38.617599999999996</c:v>
                </c:pt>
                <c:pt idx="772">
                  <c:v>38.650699999999993</c:v>
                </c:pt>
                <c:pt idx="773">
                  <c:v>38.707899999999995</c:v>
                </c:pt>
                <c:pt idx="774">
                  <c:v>38.916000000000004</c:v>
                </c:pt>
                <c:pt idx="775">
                  <c:v>38.707900000000002</c:v>
                </c:pt>
                <c:pt idx="776">
                  <c:v>38.815499999999993</c:v>
                </c:pt>
                <c:pt idx="777">
                  <c:v>38.854199999999999</c:v>
                </c:pt>
                <c:pt idx="778">
                  <c:v>38.700950000000006</c:v>
                </c:pt>
                <c:pt idx="779">
                  <c:v>38.854199999999999</c:v>
                </c:pt>
                <c:pt idx="780">
                  <c:v>38.437049999999999</c:v>
                </c:pt>
                <c:pt idx="781">
                  <c:v>38.652249999999995</c:v>
                </c:pt>
                <c:pt idx="782">
                  <c:v>38.456550000000007</c:v>
                </c:pt>
                <c:pt idx="783">
                  <c:v>38.426199999999994</c:v>
                </c:pt>
                <c:pt idx="784">
                  <c:v>38.777999999999999</c:v>
                </c:pt>
                <c:pt idx="785">
                  <c:v>38.340299999999992</c:v>
                </c:pt>
                <c:pt idx="786">
                  <c:v>39.231199999999987</c:v>
                </c:pt>
                <c:pt idx="787">
                  <c:v>39.726499999999987</c:v>
                </c:pt>
                <c:pt idx="788">
                  <c:v>39.524999999999999</c:v>
                </c:pt>
                <c:pt idx="789">
                  <c:v>39.216099999999997</c:v>
                </c:pt>
                <c:pt idx="790">
                  <c:v>38.753599999999999</c:v>
                </c:pt>
                <c:pt idx="791">
                  <c:v>38.969699999999989</c:v>
                </c:pt>
                <c:pt idx="792">
                  <c:v>38.770099999999992</c:v>
                </c:pt>
                <c:pt idx="793">
                  <c:v>38.943749999999994</c:v>
                </c:pt>
                <c:pt idx="794">
                  <c:v>38.409999999999989</c:v>
                </c:pt>
                <c:pt idx="795">
                  <c:v>38.879749999999994</c:v>
                </c:pt>
                <c:pt idx="796">
                  <c:v>38.6325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1-F7BD-4501-9F04-9A6CA209F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872703"/>
        <c:axId val="166719727"/>
        <c:extLst/>
      </c:lineChart>
      <c:scatterChart>
        <c:scatterStyle val="lineMarker"/>
        <c:varyColors val="0"/>
        <c:ser>
          <c:idx val="0"/>
          <c:order val="0"/>
          <c:tx>
            <c:strRef>
              <c:f>Pesos_R!$E$1</c:f>
              <c:strCache>
                <c:ptCount val="1"/>
                <c:pt idx="0">
                  <c:v> Peso (Kg)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Pesos_R!$D$2:$D$798</c:f>
              <c:numCache>
                <c:formatCode>m/d/yyyy</c:formatCode>
                <c:ptCount val="797"/>
                <c:pt idx="0">
                  <c:v>45110</c:v>
                </c:pt>
                <c:pt idx="1">
                  <c:v>45111</c:v>
                </c:pt>
                <c:pt idx="2">
                  <c:v>45112</c:v>
                </c:pt>
                <c:pt idx="3">
                  <c:v>45113</c:v>
                </c:pt>
                <c:pt idx="4">
                  <c:v>45114</c:v>
                </c:pt>
                <c:pt idx="5">
                  <c:v>45115</c:v>
                </c:pt>
                <c:pt idx="6">
                  <c:v>45116</c:v>
                </c:pt>
                <c:pt idx="7">
                  <c:v>45117</c:v>
                </c:pt>
                <c:pt idx="8">
                  <c:v>45118</c:v>
                </c:pt>
                <c:pt idx="9">
                  <c:v>45119</c:v>
                </c:pt>
                <c:pt idx="10">
                  <c:v>45120</c:v>
                </c:pt>
                <c:pt idx="11">
                  <c:v>45121</c:v>
                </c:pt>
                <c:pt idx="12">
                  <c:v>45122</c:v>
                </c:pt>
                <c:pt idx="13">
                  <c:v>45123</c:v>
                </c:pt>
                <c:pt idx="14">
                  <c:v>45124</c:v>
                </c:pt>
                <c:pt idx="15">
                  <c:v>45125</c:v>
                </c:pt>
                <c:pt idx="16">
                  <c:v>45126</c:v>
                </c:pt>
                <c:pt idx="17">
                  <c:v>45134</c:v>
                </c:pt>
                <c:pt idx="18">
                  <c:v>45135</c:v>
                </c:pt>
                <c:pt idx="19">
                  <c:v>45136</c:v>
                </c:pt>
                <c:pt idx="20">
                  <c:v>45137</c:v>
                </c:pt>
                <c:pt idx="21">
                  <c:v>45138</c:v>
                </c:pt>
                <c:pt idx="22">
                  <c:v>45139</c:v>
                </c:pt>
                <c:pt idx="23">
                  <c:v>45140</c:v>
                </c:pt>
                <c:pt idx="24">
                  <c:v>45141</c:v>
                </c:pt>
                <c:pt idx="25">
                  <c:v>45142</c:v>
                </c:pt>
                <c:pt idx="26">
                  <c:v>45143</c:v>
                </c:pt>
                <c:pt idx="27">
                  <c:v>45144</c:v>
                </c:pt>
                <c:pt idx="28">
                  <c:v>45145</c:v>
                </c:pt>
                <c:pt idx="29">
                  <c:v>45153</c:v>
                </c:pt>
                <c:pt idx="30">
                  <c:v>45154</c:v>
                </c:pt>
                <c:pt idx="31">
                  <c:v>45155</c:v>
                </c:pt>
                <c:pt idx="32">
                  <c:v>45156</c:v>
                </c:pt>
                <c:pt idx="33">
                  <c:v>45157</c:v>
                </c:pt>
                <c:pt idx="34">
                  <c:v>45158</c:v>
                </c:pt>
                <c:pt idx="35">
                  <c:v>45159</c:v>
                </c:pt>
                <c:pt idx="36">
                  <c:v>45160</c:v>
                </c:pt>
                <c:pt idx="37">
                  <c:v>45161</c:v>
                </c:pt>
                <c:pt idx="38">
                  <c:v>45163</c:v>
                </c:pt>
                <c:pt idx="39">
                  <c:v>45164</c:v>
                </c:pt>
                <c:pt idx="40">
                  <c:v>45165</c:v>
                </c:pt>
                <c:pt idx="41">
                  <c:v>45166</c:v>
                </c:pt>
                <c:pt idx="42">
                  <c:v>45167</c:v>
                </c:pt>
                <c:pt idx="43">
                  <c:v>45168</c:v>
                </c:pt>
                <c:pt idx="44">
                  <c:v>45169</c:v>
                </c:pt>
                <c:pt idx="45">
                  <c:v>45170</c:v>
                </c:pt>
                <c:pt idx="46">
                  <c:v>45171</c:v>
                </c:pt>
                <c:pt idx="47">
                  <c:v>45172</c:v>
                </c:pt>
                <c:pt idx="48">
                  <c:v>45173</c:v>
                </c:pt>
                <c:pt idx="49">
                  <c:v>45174</c:v>
                </c:pt>
                <c:pt idx="50">
                  <c:v>45175</c:v>
                </c:pt>
                <c:pt idx="51">
                  <c:v>45176</c:v>
                </c:pt>
                <c:pt idx="52">
                  <c:v>45177</c:v>
                </c:pt>
                <c:pt idx="53">
                  <c:v>45178</c:v>
                </c:pt>
                <c:pt idx="54">
                  <c:v>45179</c:v>
                </c:pt>
                <c:pt idx="55">
                  <c:v>45180</c:v>
                </c:pt>
                <c:pt idx="56">
                  <c:v>45181</c:v>
                </c:pt>
                <c:pt idx="57">
                  <c:v>45182</c:v>
                </c:pt>
                <c:pt idx="58">
                  <c:v>45183</c:v>
                </c:pt>
                <c:pt idx="59">
                  <c:v>45184</c:v>
                </c:pt>
                <c:pt idx="60">
                  <c:v>45185</c:v>
                </c:pt>
                <c:pt idx="61">
                  <c:v>45186</c:v>
                </c:pt>
                <c:pt idx="62">
                  <c:v>45187</c:v>
                </c:pt>
                <c:pt idx="63">
                  <c:v>45188</c:v>
                </c:pt>
                <c:pt idx="64">
                  <c:v>45189</c:v>
                </c:pt>
                <c:pt idx="65">
                  <c:v>45190</c:v>
                </c:pt>
                <c:pt idx="66">
                  <c:v>45193</c:v>
                </c:pt>
                <c:pt idx="67">
                  <c:v>45194</c:v>
                </c:pt>
                <c:pt idx="68">
                  <c:v>45195</c:v>
                </c:pt>
                <c:pt idx="69">
                  <c:v>45196</c:v>
                </c:pt>
                <c:pt idx="70">
                  <c:v>45197</c:v>
                </c:pt>
                <c:pt idx="71">
                  <c:v>45198</c:v>
                </c:pt>
                <c:pt idx="72">
                  <c:v>45199</c:v>
                </c:pt>
                <c:pt idx="73">
                  <c:v>45200</c:v>
                </c:pt>
                <c:pt idx="74">
                  <c:v>45201</c:v>
                </c:pt>
                <c:pt idx="75">
                  <c:v>45202</c:v>
                </c:pt>
                <c:pt idx="76">
                  <c:v>45203</c:v>
                </c:pt>
                <c:pt idx="77">
                  <c:v>45204</c:v>
                </c:pt>
                <c:pt idx="78">
                  <c:v>45205</c:v>
                </c:pt>
                <c:pt idx="79">
                  <c:v>45206</c:v>
                </c:pt>
                <c:pt idx="80">
                  <c:v>45207</c:v>
                </c:pt>
                <c:pt idx="81">
                  <c:v>45208</c:v>
                </c:pt>
                <c:pt idx="82">
                  <c:v>45209</c:v>
                </c:pt>
                <c:pt idx="83">
                  <c:v>45210</c:v>
                </c:pt>
                <c:pt idx="84">
                  <c:v>45211</c:v>
                </c:pt>
                <c:pt idx="85">
                  <c:v>45212</c:v>
                </c:pt>
                <c:pt idx="86">
                  <c:v>45213</c:v>
                </c:pt>
                <c:pt idx="87">
                  <c:v>45214</c:v>
                </c:pt>
                <c:pt idx="88">
                  <c:v>45215</c:v>
                </c:pt>
                <c:pt idx="89">
                  <c:v>45216</c:v>
                </c:pt>
                <c:pt idx="90">
                  <c:v>45219</c:v>
                </c:pt>
                <c:pt idx="91">
                  <c:v>45220</c:v>
                </c:pt>
                <c:pt idx="92">
                  <c:v>45221</c:v>
                </c:pt>
                <c:pt idx="93">
                  <c:v>45222</c:v>
                </c:pt>
                <c:pt idx="94">
                  <c:v>45223</c:v>
                </c:pt>
                <c:pt idx="95">
                  <c:v>45224</c:v>
                </c:pt>
                <c:pt idx="96">
                  <c:v>45226</c:v>
                </c:pt>
                <c:pt idx="97">
                  <c:v>45227</c:v>
                </c:pt>
                <c:pt idx="98">
                  <c:v>45228</c:v>
                </c:pt>
                <c:pt idx="99">
                  <c:v>45229</c:v>
                </c:pt>
                <c:pt idx="100">
                  <c:v>45230</c:v>
                </c:pt>
                <c:pt idx="101">
                  <c:v>45231</c:v>
                </c:pt>
                <c:pt idx="102">
                  <c:v>45232</c:v>
                </c:pt>
                <c:pt idx="103">
                  <c:v>45233</c:v>
                </c:pt>
                <c:pt idx="104">
                  <c:v>45234</c:v>
                </c:pt>
                <c:pt idx="105">
                  <c:v>45235</c:v>
                </c:pt>
                <c:pt idx="106">
                  <c:v>45241</c:v>
                </c:pt>
                <c:pt idx="107">
                  <c:v>45242</c:v>
                </c:pt>
                <c:pt idx="108">
                  <c:v>45243</c:v>
                </c:pt>
                <c:pt idx="109">
                  <c:v>45244</c:v>
                </c:pt>
                <c:pt idx="110">
                  <c:v>45245</c:v>
                </c:pt>
                <c:pt idx="111">
                  <c:v>45246</c:v>
                </c:pt>
                <c:pt idx="112">
                  <c:v>45248</c:v>
                </c:pt>
                <c:pt idx="113">
                  <c:v>45249</c:v>
                </c:pt>
                <c:pt idx="114">
                  <c:v>45250</c:v>
                </c:pt>
                <c:pt idx="115">
                  <c:v>45251</c:v>
                </c:pt>
                <c:pt idx="116">
                  <c:v>45252</c:v>
                </c:pt>
                <c:pt idx="117">
                  <c:v>45253</c:v>
                </c:pt>
                <c:pt idx="118">
                  <c:v>45254</c:v>
                </c:pt>
                <c:pt idx="119">
                  <c:v>45255</c:v>
                </c:pt>
                <c:pt idx="120">
                  <c:v>45256</c:v>
                </c:pt>
                <c:pt idx="121">
                  <c:v>45257</c:v>
                </c:pt>
                <c:pt idx="122">
                  <c:v>45258</c:v>
                </c:pt>
                <c:pt idx="123">
                  <c:v>45259</c:v>
                </c:pt>
                <c:pt idx="124">
                  <c:v>45260</c:v>
                </c:pt>
                <c:pt idx="125">
                  <c:v>45261</c:v>
                </c:pt>
                <c:pt idx="126">
                  <c:v>45262</c:v>
                </c:pt>
                <c:pt idx="127">
                  <c:v>45263</c:v>
                </c:pt>
                <c:pt idx="128">
                  <c:v>45264</c:v>
                </c:pt>
                <c:pt idx="129">
                  <c:v>45265</c:v>
                </c:pt>
                <c:pt idx="130">
                  <c:v>45266</c:v>
                </c:pt>
                <c:pt idx="131">
                  <c:v>45267</c:v>
                </c:pt>
                <c:pt idx="132">
                  <c:v>45268</c:v>
                </c:pt>
                <c:pt idx="133">
                  <c:v>45269</c:v>
                </c:pt>
                <c:pt idx="134">
                  <c:v>45270</c:v>
                </c:pt>
                <c:pt idx="135">
                  <c:v>45271</c:v>
                </c:pt>
                <c:pt idx="136">
                  <c:v>45272</c:v>
                </c:pt>
                <c:pt idx="137">
                  <c:v>45273</c:v>
                </c:pt>
                <c:pt idx="138">
                  <c:v>45274</c:v>
                </c:pt>
                <c:pt idx="139">
                  <c:v>45275</c:v>
                </c:pt>
                <c:pt idx="140">
                  <c:v>45276</c:v>
                </c:pt>
                <c:pt idx="141">
                  <c:v>45277</c:v>
                </c:pt>
                <c:pt idx="142">
                  <c:v>45278</c:v>
                </c:pt>
                <c:pt idx="143">
                  <c:v>45279</c:v>
                </c:pt>
                <c:pt idx="144">
                  <c:v>45280</c:v>
                </c:pt>
                <c:pt idx="145">
                  <c:v>45281</c:v>
                </c:pt>
                <c:pt idx="146">
                  <c:v>45282</c:v>
                </c:pt>
                <c:pt idx="147">
                  <c:v>45283</c:v>
                </c:pt>
                <c:pt idx="148">
                  <c:v>45284</c:v>
                </c:pt>
                <c:pt idx="149">
                  <c:v>45285</c:v>
                </c:pt>
                <c:pt idx="150">
                  <c:v>45286</c:v>
                </c:pt>
                <c:pt idx="151">
                  <c:v>45291</c:v>
                </c:pt>
                <c:pt idx="152">
                  <c:v>45292</c:v>
                </c:pt>
                <c:pt idx="153">
                  <c:v>45293</c:v>
                </c:pt>
                <c:pt idx="154">
                  <c:v>45294</c:v>
                </c:pt>
                <c:pt idx="155">
                  <c:v>45295</c:v>
                </c:pt>
                <c:pt idx="156">
                  <c:v>45296</c:v>
                </c:pt>
                <c:pt idx="157">
                  <c:v>45297</c:v>
                </c:pt>
                <c:pt idx="158">
                  <c:v>45298</c:v>
                </c:pt>
                <c:pt idx="159">
                  <c:v>45299</c:v>
                </c:pt>
                <c:pt idx="160">
                  <c:v>45300</c:v>
                </c:pt>
                <c:pt idx="161">
                  <c:v>45301</c:v>
                </c:pt>
                <c:pt idx="162">
                  <c:v>45302</c:v>
                </c:pt>
                <c:pt idx="163">
                  <c:v>45303</c:v>
                </c:pt>
                <c:pt idx="164">
                  <c:v>45304</c:v>
                </c:pt>
                <c:pt idx="165">
                  <c:v>45305</c:v>
                </c:pt>
                <c:pt idx="166">
                  <c:v>45306</c:v>
                </c:pt>
                <c:pt idx="167">
                  <c:v>45307</c:v>
                </c:pt>
                <c:pt idx="168">
                  <c:v>45308</c:v>
                </c:pt>
                <c:pt idx="169">
                  <c:v>45309</c:v>
                </c:pt>
                <c:pt idx="170">
                  <c:v>45310</c:v>
                </c:pt>
                <c:pt idx="171">
                  <c:v>45312</c:v>
                </c:pt>
                <c:pt idx="172">
                  <c:v>45313</c:v>
                </c:pt>
                <c:pt idx="173">
                  <c:v>45314</c:v>
                </c:pt>
                <c:pt idx="174">
                  <c:v>45315</c:v>
                </c:pt>
                <c:pt idx="175">
                  <c:v>45316</c:v>
                </c:pt>
                <c:pt idx="176">
                  <c:v>45317</c:v>
                </c:pt>
                <c:pt idx="177">
                  <c:v>45318</c:v>
                </c:pt>
                <c:pt idx="178">
                  <c:v>45319</c:v>
                </c:pt>
                <c:pt idx="179">
                  <c:v>45320</c:v>
                </c:pt>
                <c:pt idx="180">
                  <c:v>45321</c:v>
                </c:pt>
                <c:pt idx="181">
                  <c:v>45322</c:v>
                </c:pt>
                <c:pt idx="182">
                  <c:v>45323</c:v>
                </c:pt>
                <c:pt idx="183">
                  <c:v>45324</c:v>
                </c:pt>
                <c:pt idx="184">
                  <c:v>45325</c:v>
                </c:pt>
                <c:pt idx="185">
                  <c:v>45326</c:v>
                </c:pt>
                <c:pt idx="186">
                  <c:v>45327</c:v>
                </c:pt>
                <c:pt idx="187">
                  <c:v>45328</c:v>
                </c:pt>
                <c:pt idx="188">
                  <c:v>45329</c:v>
                </c:pt>
                <c:pt idx="189">
                  <c:v>45330</c:v>
                </c:pt>
                <c:pt idx="190">
                  <c:v>45331</c:v>
                </c:pt>
                <c:pt idx="191">
                  <c:v>45332</c:v>
                </c:pt>
                <c:pt idx="192">
                  <c:v>45333</c:v>
                </c:pt>
                <c:pt idx="193">
                  <c:v>45334</c:v>
                </c:pt>
                <c:pt idx="194">
                  <c:v>45335</c:v>
                </c:pt>
                <c:pt idx="195">
                  <c:v>45336</c:v>
                </c:pt>
                <c:pt idx="196">
                  <c:v>45339</c:v>
                </c:pt>
                <c:pt idx="197">
                  <c:v>45340</c:v>
                </c:pt>
                <c:pt idx="198">
                  <c:v>45341</c:v>
                </c:pt>
                <c:pt idx="199">
                  <c:v>45342</c:v>
                </c:pt>
                <c:pt idx="200">
                  <c:v>45343</c:v>
                </c:pt>
                <c:pt idx="201">
                  <c:v>45344</c:v>
                </c:pt>
                <c:pt idx="202">
                  <c:v>45345</c:v>
                </c:pt>
                <c:pt idx="203">
                  <c:v>45346</c:v>
                </c:pt>
                <c:pt idx="204">
                  <c:v>45347</c:v>
                </c:pt>
                <c:pt idx="205">
                  <c:v>45348</c:v>
                </c:pt>
                <c:pt idx="206">
                  <c:v>45349</c:v>
                </c:pt>
                <c:pt idx="207">
                  <c:v>45350</c:v>
                </c:pt>
                <c:pt idx="208">
                  <c:v>45351</c:v>
                </c:pt>
                <c:pt idx="209">
                  <c:v>45352</c:v>
                </c:pt>
                <c:pt idx="210">
                  <c:v>45353</c:v>
                </c:pt>
                <c:pt idx="211">
                  <c:v>45354</c:v>
                </c:pt>
                <c:pt idx="212">
                  <c:v>45355</c:v>
                </c:pt>
                <c:pt idx="213">
                  <c:v>45356</c:v>
                </c:pt>
                <c:pt idx="214">
                  <c:v>45357</c:v>
                </c:pt>
                <c:pt idx="215">
                  <c:v>45358</c:v>
                </c:pt>
                <c:pt idx="216">
                  <c:v>45359</c:v>
                </c:pt>
                <c:pt idx="217">
                  <c:v>45360</c:v>
                </c:pt>
                <c:pt idx="218">
                  <c:v>45361</c:v>
                </c:pt>
                <c:pt idx="219">
                  <c:v>45362</c:v>
                </c:pt>
                <c:pt idx="220">
                  <c:v>45366</c:v>
                </c:pt>
                <c:pt idx="221">
                  <c:v>45367</c:v>
                </c:pt>
                <c:pt idx="222">
                  <c:v>45368</c:v>
                </c:pt>
                <c:pt idx="223">
                  <c:v>45369</c:v>
                </c:pt>
                <c:pt idx="224">
                  <c:v>45370</c:v>
                </c:pt>
                <c:pt idx="225">
                  <c:v>45371</c:v>
                </c:pt>
                <c:pt idx="226">
                  <c:v>45372</c:v>
                </c:pt>
                <c:pt idx="227">
                  <c:v>45373</c:v>
                </c:pt>
                <c:pt idx="228">
                  <c:v>45374</c:v>
                </c:pt>
                <c:pt idx="229">
                  <c:v>45381</c:v>
                </c:pt>
                <c:pt idx="230">
                  <c:v>45383</c:v>
                </c:pt>
                <c:pt idx="231">
                  <c:v>45384</c:v>
                </c:pt>
                <c:pt idx="232">
                  <c:v>45385</c:v>
                </c:pt>
                <c:pt idx="233">
                  <c:v>45386</c:v>
                </c:pt>
                <c:pt idx="234">
                  <c:v>45387</c:v>
                </c:pt>
                <c:pt idx="235">
                  <c:v>45388</c:v>
                </c:pt>
                <c:pt idx="236">
                  <c:v>45389</c:v>
                </c:pt>
                <c:pt idx="237">
                  <c:v>45392</c:v>
                </c:pt>
                <c:pt idx="238">
                  <c:v>45393</c:v>
                </c:pt>
                <c:pt idx="239">
                  <c:v>45394</c:v>
                </c:pt>
                <c:pt idx="240">
                  <c:v>45395</c:v>
                </c:pt>
                <c:pt idx="241">
                  <c:v>45396</c:v>
                </c:pt>
                <c:pt idx="242">
                  <c:v>45397</c:v>
                </c:pt>
                <c:pt idx="243">
                  <c:v>45398</c:v>
                </c:pt>
                <c:pt idx="244">
                  <c:v>45399</c:v>
                </c:pt>
                <c:pt idx="245">
                  <c:v>45400</c:v>
                </c:pt>
                <c:pt idx="246">
                  <c:v>45401</c:v>
                </c:pt>
                <c:pt idx="247">
                  <c:v>45402</c:v>
                </c:pt>
                <c:pt idx="248">
                  <c:v>45404</c:v>
                </c:pt>
                <c:pt idx="249">
                  <c:v>45405</c:v>
                </c:pt>
                <c:pt idx="250">
                  <c:v>45406</c:v>
                </c:pt>
                <c:pt idx="251">
                  <c:v>45407</c:v>
                </c:pt>
                <c:pt idx="252">
                  <c:v>45408</c:v>
                </c:pt>
                <c:pt idx="253">
                  <c:v>45409</c:v>
                </c:pt>
                <c:pt idx="254">
                  <c:v>45410</c:v>
                </c:pt>
                <c:pt idx="255">
                  <c:v>45411</c:v>
                </c:pt>
                <c:pt idx="256">
                  <c:v>45412</c:v>
                </c:pt>
                <c:pt idx="257">
                  <c:v>45413</c:v>
                </c:pt>
                <c:pt idx="258">
                  <c:v>45414</c:v>
                </c:pt>
                <c:pt idx="259">
                  <c:v>45415</c:v>
                </c:pt>
                <c:pt idx="260">
                  <c:v>45416</c:v>
                </c:pt>
                <c:pt idx="261">
                  <c:v>45417</c:v>
                </c:pt>
                <c:pt idx="262">
                  <c:v>45418</c:v>
                </c:pt>
                <c:pt idx="263">
                  <c:v>45419</c:v>
                </c:pt>
                <c:pt idx="264">
                  <c:v>45420</c:v>
                </c:pt>
                <c:pt idx="265">
                  <c:v>45421</c:v>
                </c:pt>
                <c:pt idx="266">
                  <c:v>45422</c:v>
                </c:pt>
                <c:pt idx="267">
                  <c:v>45423</c:v>
                </c:pt>
                <c:pt idx="268">
                  <c:v>45424</c:v>
                </c:pt>
                <c:pt idx="269">
                  <c:v>45425</c:v>
                </c:pt>
                <c:pt idx="270">
                  <c:v>45426</c:v>
                </c:pt>
                <c:pt idx="271">
                  <c:v>45427</c:v>
                </c:pt>
                <c:pt idx="272">
                  <c:v>45428</c:v>
                </c:pt>
                <c:pt idx="273">
                  <c:v>45429</c:v>
                </c:pt>
                <c:pt idx="274">
                  <c:v>45431</c:v>
                </c:pt>
                <c:pt idx="275">
                  <c:v>45432</c:v>
                </c:pt>
                <c:pt idx="276">
                  <c:v>45433</c:v>
                </c:pt>
                <c:pt idx="277">
                  <c:v>45434</c:v>
                </c:pt>
                <c:pt idx="278">
                  <c:v>45437</c:v>
                </c:pt>
                <c:pt idx="279">
                  <c:v>45438</c:v>
                </c:pt>
                <c:pt idx="280">
                  <c:v>45439</c:v>
                </c:pt>
                <c:pt idx="281">
                  <c:v>45440</c:v>
                </c:pt>
                <c:pt idx="282">
                  <c:v>45441</c:v>
                </c:pt>
                <c:pt idx="283">
                  <c:v>45442</c:v>
                </c:pt>
                <c:pt idx="284">
                  <c:v>45443</c:v>
                </c:pt>
                <c:pt idx="285">
                  <c:v>45444</c:v>
                </c:pt>
                <c:pt idx="286">
                  <c:v>45445</c:v>
                </c:pt>
                <c:pt idx="287">
                  <c:v>45446</c:v>
                </c:pt>
                <c:pt idx="288">
                  <c:v>45447</c:v>
                </c:pt>
                <c:pt idx="289">
                  <c:v>45448</c:v>
                </c:pt>
                <c:pt idx="290">
                  <c:v>45449</c:v>
                </c:pt>
                <c:pt idx="291">
                  <c:v>45450</c:v>
                </c:pt>
                <c:pt idx="292">
                  <c:v>45451</c:v>
                </c:pt>
                <c:pt idx="293">
                  <c:v>45452</c:v>
                </c:pt>
                <c:pt idx="294">
                  <c:v>45453</c:v>
                </c:pt>
                <c:pt idx="295">
                  <c:v>45454</c:v>
                </c:pt>
                <c:pt idx="296">
                  <c:v>45455</c:v>
                </c:pt>
                <c:pt idx="297">
                  <c:v>45456</c:v>
                </c:pt>
                <c:pt idx="298">
                  <c:v>45457</c:v>
                </c:pt>
                <c:pt idx="299">
                  <c:v>45458</c:v>
                </c:pt>
                <c:pt idx="300">
                  <c:v>45459</c:v>
                </c:pt>
                <c:pt idx="301">
                  <c:v>45460</c:v>
                </c:pt>
                <c:pt idx="302">
                  <c:v>45461</c:v>
                </c:pt>
                <c:pt idx="303">
                  <c:v>45462</c:v>
                </c:pt>
                <c:pt idx="304">
                  <c:v>45463</c:v>
                </c:pt>
                <c:pt idx="305">
                  <c:v>45464</c:v>
                </c:pt>
                <c:pt idx="306">
                  <c:v>45469</c:v>
                </c:pt>
                <c:pt idx="307">
                  <c:v>45470</c:v>
                </c:pt>
                <c:pt idx="308">
                  <c:v>45471</c:v>
                </c:pt>
                <c:pt idx="309">
                  <c:v>45472</c:v>
                </c:pt>
                <c:pt idx="310">
                  <c:v>45473</c:v>
                </c:pt>
                <c:pt idx="311">
                  <c:v>45474</c:v>
                </c:pt>
                <c:pt idx="312">
                  <c:v>45475</c:v>
                </c:pt>
                <c:pt idx="313">
                  <c:v>45478</c:v>
                </c:pt>
                <c:pt idx="314">
                  <c:v>45479</c:v>
                </c:pt>
                <c:pt idx="315">
                  <c:v>45480</c:v>
                </c:pt>
                <c:pt idx="316">
                  <c:v>45481</c:v>
                </c:pt>
                <c:pt idx="317">
                  <c:v>45482</c:v>
                </c:pt>
                <c:pt idx="318">
                  <c:v>45483</c:v>
                </c:pt>
                <c:pt idx="319">
                  <c:v>45487</c:v>
                </c:pt>
                <c:pt idx="320">
                  <c:v>45488</c:v>
                </c:pt>
                <c:pt idx="321">
                  <c:v>45504</c:v>
                </c:pt>
                <c:pt idx="322">
                  <c:v>45505</c:v>
                </c:pt>
                <c:pt idx="323">
                  <c:v>45506</c:v>
                </c:pt>
                <c:pt idx="324">
                  <c:v>45507</c:v>
                </c:pt>
                <c:pt idx="325">
                  <c:v>45508</c:v>
                </c:pt>
                <c:pt idx="326">
                  <c:v>45509</c:v>
                </c:pt>
                <c:pt idx="327">
                  <c:v>45510</c:v>
                </c:pt>
                <c:pt idx="328">
                  <c:v>45511</c:v>
                </c:pt>
                <c:pt idx="329">
                  <c:v>45512</c:v>
                </c:pt>
                <c:pt idx="330">
                  <c:v>45513</c:v>
                </c:pt>
                <c:pt idx="331">
                  <c:v>45514</c:v>
                </c:pt>
                <c:pt idx="332">
                  <c:v>45515</c:v>
                </c:pt>
                <c:pt idx="333">
                  <c:v>45516</c:v>
                </c:pt>
                <c:pt idx="334">
                  <c:v>45517</c:v>
                </c:pt>
                <c:pt idx="335">
                  <c:v>45518</c:v>
                </c:pt>
                <c:pt idx="336">
                  <c:v>45519</c:v>
                </c:pt>
                <c:pt idx="337">
                  <c:v>45524</c:v>
                </c:pt>
                <c:pt idx="338">
                  <c:v>45525</c:v>
                </c:pt>
                <c:pt idx="339">
                  <c:v>45526</c:v>
                </c:pt>
                <c:pt idx="340">
                  <c:v>45527</c:v>
                </c:pt>
                <c:pt idx="341">
                  <c:v>45528</c:v>
                </c:pt>
                <c:pt idx="342">
                  <c:v>45529</c:v>
                </c:pt>
                <c:pt idx="343">
                  <c:v>45536</c:v>
                </c:pt>
                <c:pt idx="344">
                  <c:v>45537</c:v>
                </c:pt>
                <c:pt idx="345">
                  <c:v>45538</c:v>
                </c:pt>
                <c:pt idx="346">
                  <c:v>45539</c:v>
                </c:pt>
                <c:pt idx="347">
                  <c:v>45540</c:v>
                </c:pt>
                <c:pt idx="348">
                  <c:v>45541</c:v>
                </c:pt>
                <c:pt idx="349">
                  <c:v>45542</c:v>
                </c:pt>
                <c:pt idx="350">
                  <c:v>45543</c:v>
                </c:pt>
                <c:pt idx="351">
                  <c:v>45544</c:v>
                </c:pt>
                <c:pt idx="352">
                  <c:v>45545</c:v>
                </c:pt>
                <c:pt idx="353">
                  <c:v>45546</c:v>
                </c:pt>
                <c:pt idx="354">
                  <c:v>45547</c:v>
                </c:pt>
                <c:pt idx="355">
                  <c:v>45548</c:v>
                </c:pt>
                <c:pt idx="356">
                  <c:v>45549</c:v>
                </c:pt>
                <c:pt idx="357">
                  <c:v>45550</c:v>
                </c:pt>
                <c:pt idx="358">
                  <c:v>45553</c:v>
                </c:pt>
                <c:pt idx="359">
                  <c:v>45554</c:v>
                </c:pt>
                <c:pt idx="360">
                  <c:v>45557</c:v>
                </c:pt>
                <c:pt idx="361">
                  <c:v>45558</c:v>
                </c:pt>
                <c:pt idx="362">
                  <c:v>45559</c:v>
                </c:pt>
                <c:pt idx="363">
                  <c:v>45560</c:v>
                </c:pt>
                <c:pt idx="364">
                  <c:v>45561</c:v>
                </c:pt>
                <c:pt idx="365">
                  <c:v>45562</c:v>
                </c:pt>
                <c:pt idx="366">
                  <c:v>45563</c:v>
                </c:pt>
                <c:pt idx="367">
                  <c:v>45564</c:v>
                </c:pt>
                <c:pt idx="368">
                  <c:v>45565</c:v>
                </c:pt>
                <c:pt idx="369">
                  <c:v>45566</c:v>
                </c:pt>
                <c:pt idx="370">
                  <c:v>45567</c:v>
                </c:pt>
                <c:pt idx="371">
                  <c:v>45568</c:v>
                </c:pt>
                <c:pt idx="372">
                  <c:v>45569</c:v>
                </c:pt>
                <c:pt idx="373">
                  <c:v>45570</c:v>
                </c:pt>
                <c:pt idx="374">
                  <c:v>45571</c:v>
                </c:pt>
                <c:pt idx="375">
                  <c:v>45572</c:v>
                </c:pt>
                <c:pt idx="376">
                  <c:v>45573</c:v>
                </c:pt>
                <c:pt idx="377">
                  <c:v>45574</c:v>
                </c:pt>
                <c:pt idx="378">
                  <c:v>45575</c:v>
                </c:pt>
                <c:pt idx="379">
                  <c:v>45576</c:v>
                </c:pt>
                <c:pt idx="380">
                  <c:v>45579</c:v>
                </c:pt>
                <c:pt idx="381">
                  <c:v>45580</c:v>
                </c:pt>
                <c:pt idx="382">
                  <c:v>45581</c:v>
                </c:pt>
                <c:pt idx="383">
                  <c:v>45582</c:v>
                </c:pt>
                <c:pt idx="384">
                  <c:v>45583</c:v>
                </c:pt>
                <c:pt idx="385">
                  <c:v>45584</c:v>
                </c:pt>
                <c:pt idx="386">
                  <c:v>45585</c:v>
                </c:pt>
                <c:pt idx="387">
                  <c:v>45591</c:v>
                </c:pt>
                <c:pt idx="388">
                  <c:v>45592</c:v>
                </c:pt>
                <c:pt idx="389">
                  <c:v>45593</c:v>
                </c:pt>
                <c:pt idx="390">
                  <c:v>45594</c:v>
                </c:pt>
                <c:pt idx="391">
                  <c:v>45595</c:v>
                </c:pt>
                <c:pt idx="392">
                  <c:v>45596</c:v>
                </c:pt>
                <c:pt idx="393">
                  <c:v>45597</c:v>
                </c:pt>
                <c:pt idx="394">
                  <c:v>45598</c:v>
                </c:pt>
                <c:pt idx="395">
                  <c:v>45599</c:v>
                </c:pt>
                <c:pt idx="396">
                  <c:v>45600</c:v>
                </c:pt>
                <c:pt idx="397">
                  <c:v>45601</c:v>
                </c:pt>
                <c:pt idx="398">
                  <c:v>45602</c:v>
                </c:pt>
                <c:pt idx="399">
                  <c:v>45604</c:v>
                </c:pt>
                <c:pt idx="400">
                  <c:v>45605</c:v>
                </c:pt>
                <c:pt idx="401">
                  <c:v>45606</c:v>
                </c:pt>
                <c:pt idx="402">
                  <c:v>45607</c:v>
                </c:pt>
                <c:pt idx="403">
                  <c:v>45608</c:v>
                </c:pt>
                <c:pt idx="404">
                  <c:v>45609</c:v>
                </c:pt>
                <c:pt idx="405">
                  <c:v>45610</c:v>
                </c:pt>
                <c:pt idx="406">
                  <c:v>45611</c:v>
                </c:pt>
                <c:pt idx="407">
                  <c:v>45612</c:v>
                </c:pt>
                <c:pt idx="408">
                  <c:v>45618</c:v>
                </c:pt>
                <c:pt idx="409">
                  <c:v>45619</c:v>
                </c:pt>
                <c:pt idx="410">
                  <c:v>45620</c:v>
                </c:pt>
                <c:pt idx="411">
                  <c:v>45626</c:v>
                </c:pt>
                <c:pt idx="412">
                  <c:v>45627</c:v>
                </c:pt>
                <c:pt idx="413">
                  <c:v>45628</c:v>
                </c:pt>
                <c:pt idx="414">
                  <c:v>45629</c:v>
                </c:pt>
                <c:pt idx="415">
                  <c:v>45630</c:v>
                </c:pt>
                <c:pt idx="416">
                  <c:v>45635</c:v>
                </c:pt>
                <c:pt idx="417">
                  <c:v>45639</c:v>
                </c:pt>
                <c:pt idx="418">
                  <c:v>45640</c:v>
                </c:pt>
                <c:pt idx="419">
                  <c:v>45641</c:v>
                </c:pt>
                <c:pt idx="420">
                  <c:v>45642</c:v>
                </c:pt>
                <c:pt idx="421">
                  <c:v>45643</c:v>
                </c:pt>
                <c:pt idx="422">
                  <c:v>45644</c:v>
                </c:pt>
                <c:pt idx="423">
                  <c:v>45645</c:v>
                </c:pt>
                <c:pt idx="424">
                  <c:v>45646</c:v>
                </c:pt>
                <c:pt idx="425">
                  <c:v>45647</c:v>
                </c:pt>
                <c:pt idx="426">
                  <c:v>45648</c:v>
                </c:pt>
                <c:pt idx="427">
                  <c:v>45649</c:v>
                </c:pt>
                <c:pt idx="428">
                  <c:v>45650</c:v>
                </c:pt>
                <c:pt idx="429">
                  <c:v>45651</c:v>
                </c:pt>
                <c:pt idx="430">
                  <c:v>45657</c:v>
                </c:pt>
                <c:pt idx="431">
                  <c:v>45658</c:v>
                </c:pt>
                <c:pt idx="432">
                  <c:v>45659</c:v>
                </c:pt>
                <c:pt idx="433">
                  <c:v>45660</c:v>
                </c:pt>
                <c:pt idx="434">
                  <c:v>45661</c:v>
                </c:pt>
                <c:pt idx="435">
                  <c:v>45662</c:v>
                </c:pt>
                <c:pt idx="436">
                  <c:v>45664</c:v>
                </c:pt>
                <c:pt idx="437">
                  <c:v>45665</c:v>
                </c:pt>
                <c:pt idx="438">
                  <c:v>45666</c:v>
                </c:pt>
                <c:pt idx="439">
                  <c:v>45667</c:v>
                </c:pt>
                <c:pt idx="440">
                  <c:v>45668</c:v>
                </c:pt>
                <c:pt idx="441">
                  <c:v>45669</c:v>
                </c:pt>
                <c:pt idx="442">
                  <c:v>45670</c:v>
                </c:pt>
                <c:pt idx="443">
                  <c:v>45671</c:v>
                </c:pt>
                <c:pt idx="444">
                  <c:v>45672</c:v>
                </c:pt>
                <c:pt idx="445">
                  <c:v>45673</c:v>
                </c:pt>
                <c:pt idx="446">
                  <c:v>45674</c:v>
                </c:pt>
                <c:pt idx="447">
                  <c:v>45675</c:v>
                </c:pt>
                <c:pt idx="448">
                  <c:v>45676</c:v>
                </c:pt>
                <c:pt idx="449">
                  <c:v>45677</c:v>
                </c:pt>
                <c:pt idx="450">
                  <c:v>45678</c:v>
                </c:pt>
                <c:pt idx="451">
                  <c:v>45679</c:v>
                </c:pt>
                <c:pt idx="452">
                  <c:v>45680</c:v>
                </c:pt>
                <c:pt idx="453">
                  <c:v>45681</c:v>
                </c:pt>
                <c:pt idx="454">
                  <c:v>45682</c:v>
                </c:pt>
                <c:pt idx="455">
                  <c:v>45683</c:v>
                </c:pt>
                <c:pt idx="456">
                  <c:v>45684</c:v>
                </c:pt>
                <c:pt idx="457">
                  <c:v>45685</c:v>
                </c:pt>
                <c:pt idx="458">
                  <c:v>45686</c:v>
                </c:pt>
                <c:pt idx="459">
                  <c:v>45687</c:v>
                </c:pt>
                <c:pt idx="460">
                  <c:v>45688</c:v>
                </c:pt>
                <c:pt idx="461">
                  <c:v>45689</c:v>
                </c:pt>
                <c:pt idx="462">
                  <c:v>45690</c:v>
                </c:pt>
                <c:pt idx="463">
                  <c:v>45691</c:v>
                </c:pt>
                <c:pt idx="464">
                  <c:v>45696</c:v>
                </c:pt>
                <c:pt idx="465">
                  <c:v>45697</c:v>
                </c:pt>
                <c:pt idx="466">
                  <c:v>45698</c:v>
                </c:pt>
                <c:pt idx="467">
                  <c:v>45699</c:v>
                </c:pt>
                <c:pt idx="468">
                  <c:v>45700</c:v>
                </c:pt>
                <c:pt idx="469">
                  <c:v>45701</c:v>
                </c:pt>
                <c:pt idx="470">
                  <c:v>45702</c:v>
                </c:pt>
                <c:pt idx="471">
                  <c:v>45703</c:v>
                </c:pt>
                <c:pt idx="472">
                  <c:v>45704</c:v>
                </c:pt>
                <c:pt idx="473">
                  <c:v>45705</c:v>
                </c:pt>
                <c:pt idx="474">
                  <c:v>45706</c:v>
                </c:pt>
                <c:pt idx="475">
                  <c:v>45707</c:v>
                </c:pt>
                <c:pt idx="476">
                  <c:v>45715</c:v>
                </c:pt>
                <c:pt idx="477">
                  <c:v>45716</c:v>
                </c:pt>
                <c:pt idx="478">
                  <c:v>45717</c:v>
                </c:pt>
                <c:pt idx="479">
                  <c:v>45718</c:v>
                </c:pt>
                <c:pt idx="480">
                  <c:v>45719</c:v>
                </c:pt>
                <c:pt idx="481">
                  <c:v>45720</c:v>
                </c:pt>
                <c:pt idx="482">
                  <c:v>45723</c:v>
                </c:pt>
                <c:pt idx="483">
                  <c:v>45724</c:v>
                </c:pt>
                <c:pt idx="484">
                  <c:v>45725</c:v>
                </c:pt>
                <c:pt idx="485">
                  <c:v>45726</c:v>
                </c:pt>
                <c:pt idx="486">
                  <c:v>45727</c:v>
                </c:pt>
                <c:pt idx="487">
                  <c:v>45729</c:v>
                </c:pt>
                <c:pt idx="488">
                  <c:v>45730</c:v>
                </c:pt>
                <c:pt idx="489">
                  <c:v>45731</c:v>
                </c:pt>
                <c:pt idx="490">
                  <c:v>45732</c:v>
                </c:pt>
                <c:pt idx="491">
                  <c:v>45733</c:v>
                </c:pt>
                <c:pt idx="492">
                  <c:v>45734</c:v>
                </c:pt>
                <c:pt idx="493">
                  <c:v>45735</c:v>
                </c:pt>
                <c:pt idx="494">
                  <c:v>45738</c:v>
                </c:pt>
                <c:pt idx="495">
                  <c:v>45739</c:v>
                </c:pt>
                <c:pt idx="496">
                  <c:v>45740</c:v>
                </c:pt>
                <c:pt idx="497">
                  <c:v>45741</c:v>
                </c:pt>
                <c:pt idx="498">
                  <c:v>45742</c:v>
                </c:pt>
                <c:pt idx="499">
                  <c:v>45743</c:v>
                </c:pt>
                <c:pt idx="500">
                  <c:v>45744</c:v>
                </c:pt>
                <c:pt idx="501">
                  <c:v>45745</c:v>
                </c:pt>
                <c:pt idx="502">
                  <c:v>45746</c:v>
                </c:pt>
                <c:pt idx="503">
                  <c:v>45747</c:v>
                </c:pt>
                <c:pt idx="504">
                  <c:v>45748</c:v>
                </c:pt>
                <c:pt idx="505">
                  <c:v>45749</c:v>
                </c:pt>
                <c:pt idx="506">
                  <c:v>45750</c:v>
                </c:pt>
                <c:pt idx="507">
                  <c:v>45751</c:v>
                </c:pt>
                <c:pt idx="508">
                  <c:v>45752</c:v>
                </c:pt>
                <c:pt idx="509">
                  <c:v>45753</c:v>
                </c:pt>
                <c:pt idx="510">
                  <c:v>45754</c:v>
                </c:pt>
                <c:pt idx="511">
                  <c:v>45755</c:v>
                </c:pt>
                <c:pt idx="512">
                  <c:v>45758</c:v>
                </c:pt>
                <c:pt idx="513">
                  <c:v>45759</c:v>
                </c:pt>
                <c:pt idx="514">
                  <c:v>45767</c:v>
                </c:pt>
                <c:pt idx="515">
                  <c:v>45768</c:v>
                </c:pt>
                <c:pt idx="516">
                  <c:v>45769</c:v>
                </c:pt>
                <c:pt idx="517">
                  <c:v>45770</c:v>
                </c:pt>
                <c:pt idx="518">
                  <c:v>45771</c:v>
                </c:pt>
                <c:pt idx="519">
                  <c:v>45772</c:v>
                </c:pt>
                <c:pt idx="520">
                  <c:v>45773</c:v>
                </c:pt>
                <c:pt idx="521">
                  <c:v>45774</c:v>
                </c:pt>
                <c:pt idx="522">
                  <c:v>45775</c:v>
                </c:pt>
                <c:pt idx="523">
                  <c:v>45778</c:v>
                </c:pt>
                <c:pt idx="524">
                  <c:v>45779</c:v>
                </c:pt>
                <c:pt idx="525">
                  <c:v>45782</c:v>
                </c:pt>
                <c:pt idx="526">
                  <c:v>45788</c:v>
                </c:pt>
                <c:pt idx="527">
                  <c:v>45789</c:v>
                </c:pt>
                <c:pt idx="528">
                  <c:v>45790</c:v>
                </c:pt>
                <c:pt idx="529">
                  <c:v>45791</c:v>
                </c:pt>
                <c:pt idx="530">
                  <c:v>45792</c:v>
                </c:pt>
                <c:pt idx="531">
                  <c:v>45793</c:v>
                </c:pt>
                <c:pt idx="532">
                  <c:v>45794</c:v>
                </c:pt>
                <c:pt idx="533">
                  <c:v>45798</c:v>
                </c:pt>
                <c:pt idx="534">
                  <c:v>45799</c:v>
                </c:pt>
                <c:pt idx="535">
                  <c:v>45800</c:v>
                </c:pt>
                <c:pt idx="536">
                  <c:v>45801</c:v>
                </c:pt>
                <c:pt idx="537">
                  <c:v>45802</c:v>
                </c:pt>
                <c:pt idx="538">
                  <c:v>45803</c:v>
                </c:pt>
                <c:pt idx="539">
                  <c:v>45809</c:v>
                </c:pt>
                <c:pt idx="540">
                  <c:v>45810</c:v>
                </c:pt>
                <c:pt idx="541">
                  <c:v>45811</c:v>
                </c:pt>
                <c:pt idx="542">
                  <c:v>45812</c:v>
                </c:pt>
                <c:pt idx="543">
                  <c:v>45813</c:v>
                </c:pt>
                <c:pt idx="544">
                  <c:v>45814</c:v>
                </c:pt>
                <c:pt idx="545">
                  <c:v>45815</c:v>
                </c:pt>
                <c:pt idx="546">
                  <c:v>45816</c:v>
                </c:pt>
                <c:pt idx="547">
                  <c:v>45821</c:v>
                </c:pt>
                <c:pt idx="548">
                  <c:v>45822</c:v>
                </c:pt>
                <c:pt idx="549">
                  <c:v>45823</c:v>
                </c:pt>
                <c:pt idx="550">
                  <c:v>45824</c:v>
                </c:pt>
                <c:pt idx="551">
                  <c:v>45825</c:v>
                </c:pt>
                <c:pt idx="552">
                  <c:v>45826</c:v>
                </c:pt>
                <c:pt idx="553">
                  <c:v>45827</c:v>
                </c:pt>
                <c:pt idx="554">
                  <c:v>45828</c:v>
                </c:pt>
                <c:pt idx="555">
                  <c:v>45829</c:v>
                </c:pt>
                <c:pt idx="556">
                  <c:v>45830</c:v>
                </c:pt>
                <c:pt idx="557">
                  <c:v>45831</c:v>
                </c:pt>
                <c:pt idx="558">
                  <c:v>45832</c:v>
                </c:pt>
                <c:pt idx="559">
                  <c:v>45833</c:v>
                </c:pt>
                <c:pt idx="560">
                  <c:v>45834</c:v>
                </c:pt>
                <c:pt idx="561">
                  <c:v>45835</c:v>
                </c:pt>
                <c:pt idx="562">
                  <c:v>45836</c:v>
                </c:pt>
                <c:pt idx="563">
                  <c:v>45837</c:v>
                </c:pt>
                <c:pt idx="564">
                  <c:v>45838</c:v>
                </c:pt>
                <c:pt idx="565">
                  <c:v>45839</c:v>
                </c:pt>
                <c:pt idx="566">
                  <c:v>45840</c:v>
                </c:pt>
                <c:pt idx="567">
                  <c:v>45841</c:v>
                </c:pt>
                <c:pt idx="568">
                  <c:v>45842</c:v>
                </c:pt>
                <c:pt idx="569">
                  <c:v>45843</c:v>
                </c:pt>
                <c:pt idx="570">
                  <c:v>45844</c:v>
                </c:pt>
                <c:pt idx="571">
                  <c:v>45845</c:v>
                </c:pt>
                <c:pt idx="572">
                  <c:v>45846</c:v>
                </c:pt>
                <c:pt idx="573">
                  <c:v>45847</c:v>
                </c:pt>
                <c:pt idx="574">
                  <c:v>45848</c:v>
                </c:pt>
                <c:pt idx="575">
                  <c:v>45849</c:v>
                </c:pt>
                <c:pt idx="576">
                  <c:v>45850</c:v>
                </c:pt>
                <c:pt idx="577">
                  <c:v>45851</c:v>
                </c:pt>
                <c:pt idx="578">
                  <c:v>45852</c:v>
                </c:pt>
                <c:pt idx="579">
                  <c:v>45854</c:v>
                </c:pt>
                <c:pt idx="580">
                  <c:v>45855</c:v>
                </c:pt>
                <c:pt idx="581">
                  <c:v>45856</c:v>
                </c:pt>
                <c:pt idx="582">
                  <c:v>45857</c:v>
                </c:pt>
                <c:pt idx="583">
                  <c:v>45858</c:v>
                </c:pt>
                <c:pt idx="584">
                  <c:v>45862</c:v>
                </c:pt>
                <c:pt idx="585">
                  <c:v>45863</c:v>
                </c:pt>
                <c:pt idx="586">
                  <c:v>45864</c:v>
                </c:pt>
                <c:pt idx="587">
                  <c:v>45871</c:v>
                </c:pt>
                <c:pt idx="588">
                  <c:v>45872</c:v>
                </c:pt>
                <c:pt idx="589">
                  <c:v>45873</c:v>
                </c:pt>
                <c:pt idx="590">
                  <c:v>45880</c:v>
                </c:pt>
                <c:pt idx="591">
                  <c:v>45881</c:v>
                </c:pt>
                <c:pt idx="592">
                  <c:v>45882</c:v>
                </c:pt>
                <c:pt idx="593">
                  <c:v>45886</c:v>
                </c:pt>
                <c:pt idx="594">
                  <c:v>45887</c:v>
                </c:pt>
                <c:pt idx="595">
                  <c:v>45888</c:v>
                </c:pt>
                <c:pt idx="596">
                  <c:v>45889</c:v>
                </c:pt>
                <c:pt idx="597">
                  <c:v>45890</c:v>
                </c:pt>
                <c:pt idx="598">
                  <c:v>45891</c:v>
                </c:pt>
                <c:pt idx="599">
                  <c:v>45894</c:v>
                </c:pt>
                <c:pt idx="600">
                  <c:v>45895</c:v>
                </c:pt>
                <c:pt idx="601">
                  <c:v>45896</c:v>
                </c:pt>
                <c:pt idx="602">
                  <c:v>45897</c:v>
                </c:pt>
                <c:pt idx="603">
                  <c:v>45898</c:v>
                </c:pt>
                <c:pt idx="604">
                  <c:v>45899</c:v>
                </c:pt>
                <c:pt idx="605">
                  <c:v>45900</c:v>
                </c:pt>
                <c:pt idx="606">
                  <c:v>45901</c:v>
                </c:pt>
                <c:pt idx="607">
                  <c:v>45902</c:v>
                </c:pt>
                <c:pt idx="608">
                  <c:v>45903</c:v>
                </c:pt>
                <c:pt idx="609">
                  <c:v>45904</c:v>
                </c:pt>
                <c:pt idx="610">
                  <c:v>45905</c:v>
                </c:pt>
                <c:pt idx="611">
                  <c:v>45906</c:v>
                </c:pt>
                <c:pt idx="612">
                  <c:v>45907</c:v>
                </c:pt>
                <c:pt idx="613">
                  <c:v>45908</c:v>
                </c:pt>
                <c:pt idx="614">
                  <c:v>45909</c:v>
                </c:pt>
                <c:pt idx="615">
                  <c:v>45911</c:v>
                </c:pt>
                <c:pt idx="616">
                  <c:v>45912</c:v>
                </c:pt>
                <c:pt idx="617">
                  <c:v>45913</c:v>
                </c:pt>
                <c:pt idx="618">
                  <c:v>45914</c:v>
                </c:pt>
                <c:pt idx="619">
                  <c:v>45917</c:v>
                </c:pt>
                <c:pt idx="620">
                  <c:v>45919</c:v>
                </c:pt>
                <c:pt idx="621">
                  <c:v>45920</c:v>
                </c:pt>
                <c:pt idx="622">
                  <c:v>45921</c:v>
                </c:pt>
                <c:pt idx="623">
                  <c:v>45922</c:v>
                </c:pt>
                <c:pt idx="624">
                  <c:v>45923</c:v>
                </c:pt>
                <c:pt idx="625">
                  <c:v>45924</c:v>
                </c:pt>
                <c:pt idx="626">
                  <c:v>45925</c:v>
                </c:pt>
                <c:pt idx="627">
                  <c:v>45926</c:v>
                </c:pt>
                <c:pt idx="628">
                  <c:v>45927</c:v>
                </c:pt>
                <c:pt idx="629">
                  <c:v>45928</c:v>
                </c:pt>
                <c:pt idx="630">
                  <c:v>45929</c:v>
                </c:pt>
                <c:pt idx="631">
                  <c:v>45930</c:v>
                </c:pt>
                <c:pt idx="632">
                  <c:v>45931</c:v>
                </c:pt>
                <c:pt idx="633">
                  <c:v>45932</c:v>
                </c:pt>
                <c:pt idx="634">
                  <c:v>45933</c:v>
                </c:pt>
                <c:pt idx="635">
                  <c:v>45934</c:v>
                </c:pt>
                <c:pt idx="636">
                  <c:v>45935</c:v>
                </c:pt>
                <c:pt idx="637">
                  <c:v>45936</c:v>
                </c:pt>
                <c:pt idx="638">
                  <c:v>45937</c:v>
                </c:pt>
                <c:pt idx="639">
                  <c:v>45938</c:v>
                </c:pt>
                <c:pt idx="640">
                  <c:v>45939</c:v>
                </c:pt>
                <c:pt idx="641">
                  <c:v>45940</c:v>
                </c:pt>
                <c:pt idx="642">
                  <c:v>45941</c:v>
                </c:pt>
                <c:pt idx="643">
                  <c:v>45942</c:v>
                </c:pt>
                <c:pt idx="644">
                  <c:v>45943</c:v>
                </c:pt>
                <c:pt idx="645">
                  <c:v>45944</c:v>
                </c:pt>
                <c:pt idx="646">
                  <c:v>45945</c:v>
                </c:pt>
                <c:pt idx="647">
                  <c:v>45946</c:v>
                </c:pt>
                <c:pt idx="648">
                  <c:v>45947</c:v>
                </c:pt>
                <c:pt idx="649">
                  <c:v>45948</c:v>
                </c:pt>
                <c:pt idx="650">
                  <c:v>45949</c:v>
                </c:pt>
                <c:pt idx="651">
                  <c:v>45950</c:v>
                </c:pt>
                <c:pt idx="652">
                  <c:v>45951</c:v>
                </c:pt>
                <c:pt idx="653">
                  <c:v>45952</c:v>
                </c:pt>
                <c:pt idx="654">
                  <c:v>45953</c:v>
                </c:pt>
                <c:pt idx="655">
                  <c:v>45954</c:v>
                </c:pt>
                <c:pt idx="656">
                  <c:v>45955</c:v>
                </c:pt>
                <c:pt idx="657">
                  <c:v>45956</c:v>
                </c:pt>
                <c:pt idx="658">
                  <c:v>45957</c:v>
                </c:pt>
                <c:pt idx="659">
                  <c:v>45958</c:v>
                </c:pt>
                <c:pt idx="660">
                  <c:v>45959</c:v>
                </c:pt>
                <c:pt idx="661">
                  <c:v>45960</c:v>
                </c:pt>
                <c:pt idx="662">
                  <c:v>45961</c:v>
                </c:pt>
                <c:pt idx="663">
                  <c:v>45962</c:v>
                </c:pt>
                <c:pt idx="664">
                  <c:v>45963</c:v>
                </c:pt>
                <c:pt idx="665">
                  <c:v>45964</c:v>
                </c:pt>
                <c:pt idx="666">
                  <c:v>45965</c:v>
                </c:pt>
                <c:pt idx="667">
                  <c:v>45966</c:v>
                </c:pt>
                <c:pt idx="668">
                  <c:v>45967</c:v>
                </c:pt>
                <c:pt idx="669">
                  <c:v>45968</c:v>
                </c:pt>
                <c:pt idx="670">
                  <c:v>45969</c:v>
                </c:pt>
                <c:pt idx="671">
                  <c:v>45971</c:v>
                </c:pt>
                <c:pt idx="672">
                  <c:v>45972</c:v>
                </c:pt>
                <c:pt idx="673">
                  <c:v>45973</c:v>
                </c:pt>
                <c:pt idx="674">
                  <c:v>45974</c:v>
                </c:pt>
                <c:pt idx="675">
                  <c:v>45975</c:v>
                </c:pt>
                <c:pt idx="676">
                  <c:v>45976</c:v>
                </c:pt>
                <c:pt idx="677">
                  <c:v>45977</c:v>
                </c:pt>
                <c:pt idx="678">
                  <c:v>45978</c:v>
                </c:pt>
                <c:pt idx="679">
                  <c:v>45983</c:v>
                </c:pt>
                <c:pt idx="680">
                  <c:v>45984</c:v>
                </c:pt>
                <c:pt idx="681">
                  <c:v>45985</c:v>
                </c:pt>
                <c:pt idx="682">
                  <c:v>45986</c:v>
                </c:pt>
                <c:pt idx="683">
                  <c:v>45987</c:v>
                </c:pt>
                <c:pt idx="684">
                  <c:v>45988</c:v>
                </c:pt>
                <c:pt idx="685">
                  <c:v>45989</c:v>
                </c:pt>
                <c:pt idx="686">
                  <c:v>45990</c:v>
                </c:pt>
                <c:pt idx="687">
                  <c:v>45991</c:v>
                </c:pt>
                <c:pt idx="688">
                  <c:v>45992</c:v>
                </c:pt>
                <c:pt idx="689">
                  <c:v>45993</c:v>
                </c:pt>
                <c:pt idx="690">
                  <c:v>45994</c:v>
                </c:pt>
                <c:pt idx="691">
                  <c:v>45995</c:v>
                </c:pt>
                <c:pt idx="692">
                  <c:v>45996</c:v>
                </c:pt>
                <c:pt idx="693">
                  <c:v>45997</c:v>
                </c:pt>
                <c:pt idx="694">
                  <c:v>45998</c:v>
                </c:pt>
                <c:pt idx="695">
                  <c:v>45999</c:v>
                </c:pt>
                <c:pt idx="696">
                  <c:v>46000</c:v>
                </c:pt>
                <c:pt idx="697">
                  <c:v>46001</c:v>
                </c:pt>
                <c:pt idx="698">
                  <c:v>46002</c:v>
                </c:pt>
                <c:pt idx="699">
                  <c:v>46003</c:v>
                </c:pt>
                <c:pt idx="700">
                  <c:v>46004</c:v>
                </c:pt>
                <c:pt idx="701">
                  <c:v>46006</c:v>
                </c:pt>
                <c:pt idx="702">
                  <c:v>46007</c:v>
                </c:pt>
                <c:pt idx="703">
                  <c:v>46008</c:v>
                </c:pt>
                <c:pt idx="704">
                  <c:v>46009</c:v>
                </c:pt>
                <c:pt idx="705">
                  <c:v>46010</c:v>
                </c:pt>
                <c:pt idx="706">
                  <c:v>46011</c:v>
                </c:pt>
                <c:pt idx="707">
                  <c:v>46012</c:v>
                </c:pt>
                <c:pt idx="708">
                  <c:v>46013</c:v>
                </c:pt>
                <c:pt idx="709">
                  <c:v>46014</c:v>
                </c:pt>
                <c:pt idx="710">
                  <c:v>46015</c:v>
                </c:pt>
                <c:pt idx="711">
                  <c:v>46016</c:v>
                </c:pt>
                <c:pt idx="712">
                  <c:v>46022</c:v>
                </c:pt>
                <c:pt idx="713">
                  <c:v>46024</c:v>
                </c:pt>
                <c:pt idx="714">
                  <c:v>46025</c:v>
                </c:pt>
                <c:pt idx="715">
                  <c:v>46026</c:v>
                </c:pt>
                <c:pt idx="716">
                  <c:v>46027</c:v>
                </c:pt>
                <c:pt idx="717">
                  <c:v>46029</c:v>
                </c:pt>
                <c:pt idx="718">
                  <c:v>46030</c:v>
                </c:pt>
                <c:pt idx="719">
                  <c:v>46031</c:v>
                </c:pt>
                <c:pt idx="720">
                  <c:v>46032</c:v>
                </c:pt>
                <c:pt idx="721">
                  <c:v>46033</c:v>
                </c:pt>
                <c:pt idx="722">
                  <c:v>46034</c:v>
                </c:pt>
                <c:pt idx="723">
                  <c:v>46039</c:v>
                </c:pt>
                <c:pt idx="724">
                  <c:v>46040</c:v>
                </c:pt>
                <c:pt idx="725">
                  <c:v>46041</c:v>
                </c:pt>
                <c:pt idx="726">
                  <c:v>46042</c:v>
                </c:pt>
                <c:pt idx="727">
                  <c:v>46044</c:v>
                </c:pt>
                <c:pt idx="728">
                  <c:v>46045</c:v>
                </c:pt>
                <c:pt idx="729">
                  <c:v>46046</c:v>
                </c:pt>
                <c:pt idx="730">
                  <c:v>46047</c:v>
                </c:pt>
                <c:pt idx="731">
                  <c:v>46054</c:v>
                </c:pt>
                <c:pt idx="732">
                  <c:v>46055</c:v>
                </c:pt>
                <c:pt idx="733">
                  <c:v>46056</c:v>
                </c:pt>
                <c:pt idx="734">
                  <c:v>46057</c:v>
                </c:pt>
                <c:pt idx="735">
                  <c:v>46058</c:v>
                </c:pt>
                <c:pt idx="736">
                  <c:v>46059</c:v>
                </c:pt>
                <c:pt idx="737">
                  <c:v>46060</c:v>
                </c:pt>
                <c:pt idx="738">
                  <c:v>46061</c:v>
                </c:pt>
                <c:pt idx="739">
                  <c:v>46062</c:v>
                </c:pt>
                <c:pt idx="740">
                  <c:v>46063</c:v>
                </c:pt>
                <c:pt idx="741">
                  <c:v>46066</c:v>
                </c:pt>
                <c:pt idx="742">
                  <c:v>46067</c:v>
                </c:pt>
                <c:pt idx="743">
                  <c:v>46068</c:v>
                </c:pt>
                <c:pt idx="744">
                  <c:v>46069</c:v>
                </c:pt>
                <c:pt idx="745">
                  <c:v>46070</c:v>
                </c:pt>
                <c:pt idx="746">
                  <c:v>46071</c:v>
                </c:pt>
                <c:pt idx="747">
                  <c:v>46072</c:v>
                </c:pt>
                <c:pt idx="748">
                  <c:v>46073</c:v>
                </c:pt>
                <c:pt idx="749">
                  <c:v>46074</c:v>
                </c:pt>
                <c:pt idx="750">
                  <c:v>46075</c:v>
                </c:pt>
                <c:pt idx="751">
                  <c:v>46076</c:v>
                </c:pt>
                <c:pt idx="752">
                  <c:v>46079</c:v>
                </c:pt>
                <c:pt idx="753">
                  <c:v>46080</c:v>
                </c:pt>
                <c:pt idx="754">
                  <c:v>46081</c:v>
                </c:pt>
                <c:pt idx="755">
                  <c:v>46082</c:v>
                </c:pt>
                <c:pt idx="756">
                  <c:v>46083</c:v>
                </c:pt>
                <c:pt idx="757">
                  <c:v>46084</c:v>
                </c:pt>
                <c:pt idx="758">
                  <c:v>46088</c:v>
                </c:pt>
                <c:pt idx="759">
                  <c:v>46089</c:v>
                </c:pt>
                <c:pt idx="760">
                  <c:v>46090</c:v>
                </c:pt>
                <c:pt idx="761">
                  <c:v>46091</c:v>
                </c:pt>
                <c:pt idx="762">
                  <c:v>46092</c:v>
                </c:pt>
                <c:pt idx="763">
                  <c:v>46093</c:v>
                </c:pt>
                <c:pt idx="764">
                  <c:v>46094</c:v>
                </c:pt>
                <c:pt idx="765">
                  <c:v>46096</c:v>
                </c:pt>
                <c:pt idx="766">
                  <c:v>46097</c:v>
                </c:pt>
                <c:pt idx="767">
                  <c:v>46101</c:v>
                </c:pt>
                <c:pt idx="768">
                  <c:v>46102</c:v>
                </c:pt>
                <c:pt idx="769">
                  <c:v>46103</c:v>
                </c:pt>
                <c:pt idx="770">
                  <c:v>46104</c:v>
                </c:pt>
                <c:pt idx="771">
                  <c:v>46116</c:v>
                </c:pt>
                <c:pt idx="772">
                  <c:v>46117</c:v>
                </c:pt>
                <c:pt idx="773">
                  <c:v>46118</c:v>
                </c:pt>
                <c:pt idx="774">
                  <c:v>46119</c:v>
                </c:pt>
                <c:pt idx="775">
                  <c:v>46120</c:v>
                </c:pt>
                <c:pt idx="776">
                  <c:v>46121</c:v>
                </c:pt>
                <c:pt idx="777">
                  <c:v>46122</c:v>
                </c:pt>
                <c:pt idx="778">
                  <c:v>46123</c:v>
                </c:pt>
                <c:pt idx="779">
                  <c:v>46124</c:v>
                </c:pt>
                <c:pt idx="780">
                  <c:v>46125</c:v>
                </c:pt>
                <c:pt idx="781">
                  <c:v>46126</c:v>
                </c:pt>
                <c:pt idx="782">
                  <c:v>46127</c:v>
                </c:pt>
                <c:pt idx="783">
                  <c:v>46128</c:v>
                </c:pt>
                <c:pt idx="784">
                  <c:v>46129</c:v>
                </c:pt>
                <c:pt idx="785">
                  <c:v>46135</c:v>
                </c:pt>
                <c:pt idx="786">
                  <c:v>46136</c:v>
                </c:pt>
                <c:pt idx="787">
                  <c:v>46137</c:v>
                </c:pt>
                <c:pt idx="788">
                  <c:v>46138</c:v>
                </c:pt>
                <c:pt idx="789">
                  <c:v>46139</c:v>
                </c:pt>
                <c:pt idx="790">
                  <c:v>46140</c:v>
                </c:pt>
                <c:pt idx="791">
                  <c:v>46141</c:v>
                </c:pt>
                <c:pt idx="792">
                  <c:v>46142</c:v>
                </c:pt>
                <c:pt idx="793">
                  <c:v>46143</c:v>
                </c:pt>
                <c:pt idx="794">
                  <c:v>46144</c:v>
                </c:pt>
                <c:pt idx="795">
                  <c:v>46147</c:v>
                </c:pt>
                <c:pt idx="796">
                  <c:v>46148</c:v>
                </c:pt>
              </c:numCache>
            </c:numRef>
          </c:xVal>
          <c:yVal>
            <c:numRef>
              <c:f>Pesos_R!$E$2:$E$798</c:f>
              <c:numCache>
                <c:formatCode>_(* #,##0.00_);_(* \(#,##0.00\);_(* "-"??_);_(@_)</c:formatCode>
                <c:ptCount val="797"/>
                <c:pt idx="0">
                  <c:v>93.95</c:v>
                </c:pt>
                <c:pt idx="1">
                  <c:v>94</c:v>
                </c:pt>
                <c:pt idx="2">
                  <c:v>92.7</c:v>
                </c:pt>
                <c:pt idx="3">
                  <c:v>93.2</c:v>
                </c:pt>
                <c:pt idx="4">
                  <c:v>93.05</c:v>
                </c:pt>
                <c:pt idx="5">
                  <c:v>93.45</c:v>
                </c:pt>
                <c:pt idx="6">
                  <c:v>93.75</c:v>
                </c:pt>
                <c:pt idx="7">
                  <c:v>93.85</c:v>
                </c:pt>
                <c:pt idx="8">
                  <c:v>93.6</c:v>
                </c:pt>
                <c:pt idx="9">
                  <c:v>93.65</c:v>
                </c:pt>
                <c:pt idx="10">
                  <c:v>94.35</c:v>
                </c:pt>
                <c:pt idx="11">
                  <c:v>94.1</c:v>
                </c:pt>
                <c:pt idx="12">
                  <c:v>94.2</c:v>
                </c:pt>
                <c:pt idx="13">
                  <c:v>93.3</c:v>
                </c:pt>
                <c:pt idx="14">
                  <c:v>93.75</c:v>
                </c:pt>
                <c:pt idx="15">
                  <c:v>93.45</c:v>
                </c:pt>
                <c:pt idx="16">
                  <c:v>93.75</c:v>
                </c:pt>
                <c:pt idx="17">
                  <c:v>94</c:v>
                </c:pt>
                <c:pt idx="18">
                  <c:v>94</c:v>
                </c:pt>
                <c:pt idx="19">
                  <c:v>93.3</c:v>
                </c:pt>
                <c:pt idx="20">
                  <c:v>92.95</c:v>
                </c:pt>
                <c:pt idx="21">
                  <c:v>93.25</c:v>
                </c:pt>
                <c:pt idx="22">
                  <c:v>94.25</c:v>
                </c:pt>
                <c:pt idx="23">
                  <c:v>93.2</c:v>
                </c:pt>
                <c:pt idx="24">
                  <c:v>93.35</c:v>
                </c:pt>
                <c:pt idx="25">
                  <c:v>93.8</c:v>
                </c:pt>
                <c:pt idx="26">
                  <c:v>93.2</c:v>
                </c:pt>
                <c:pt idx="27">
                  <c:v>92.7</c:v>
                </c:pt>
                <c:pt idx="28">
                  <c:v>93.45</c:v>
                </c:pt>
                <c:pt idx="29">
                  <c:v>94.05</c:v>
                </c:pt>
                <c:pt idx="30">
                  <c:v>94.1</c:v>
                </c:pt>
                <c:pt idx="31">
                  <c:v>93.85</c:v>
                </c:pt>
                <c:pt idx="32">
                  <c:v>93.7</c:v>
                </c:pt>
                <c:pt idx="33">
                  <c:v>93.25</c:v>
                </c:pt>
                <c:pt idx="34">
                  <c:v>92.6</c:v>
                </c:pt>
                <c:pt idx="35">
                  <c:v>91.3</c:v>
                </c:pt>
                <c:pt idx="36">
                  <c:v>91.65</c:v>
                </c:pt>
                <c:pt idx="37">
                  <c:v>91.9</c:v>
                </c:pt>
                <c:pt idx="38">
                  <c:v>92.25</c:v>
                </c:pt>
                <c:pt idx="39">
                  <c:v>92.25</c:v>
                </c:pt>
                <c:pt idx="40">
                  <c:v>92.25</c:v>
                </c:pt>
                <c:pt idx="41">
                  <c:v>92.15</c:v>
                </c:pt>
                <c:pt idx="42">
                  <c:v>91.45</c:v>
                </c:pt>
                <c:pt idx="43">
                  <c:v>90.85</c:v>
                </c:pt>
                <c:pt idx="44">
                  <c:v>91.75</c:v>
                </c:pt>
                <c:pt idx="45">
                  <c:v>91.25</c:v>
                </c:pt>
                <c:pt idx="46">
                  <c:v>91.1</c:v>
                </c:pt>
                <c:pt idx="47">
                  <c:v>91</c:v>
                </c:pt>
                <c:pt idx="48">
                  <c:v>91.2</c:v>
                </c:pt>
                <c:pt idx="49">
                  <c:v>90.9</c:v>
                </c:pt>
                <c:pt idx="50">
                  <c:v>91.2</c:v>
                </c:pt>
                <c:pt idx="51">
                  <c:v>91.4</c:v>
                </c:pt>
                <c:pt idx="52">
                  <c:v>90.95</c:v>
                </c:pt>
                <c:pt idx="53">
                  <c:v>91.5</c:v>
                </c:pt>
                <c:pt idx="54">
                  <c:v>91.5</c:v>
                </c:pt>
                <c:pt idx="55">
                  <c:v>91.4</c:v>
                </c:pt>
                <c:pt idx="56">
                  <c:v>91.35</c:v>
                </c:pt>
                <c:pt idx="57">
                  <c:v>91.7</c:v>
                </c:pt>
                <c:pt idx="58">
                  <c:v>90.85</c:v>
                </c:pt>
                <c:pt idx="59">
                  <c:v>91.15</c:v>
                </c:pt>
                <c:pt idx="60">
                  <c:v>91.9</c:v>
                </c:pt>
                <c:pt idx="61">
                  <c:v>91.2</c:v>
                </c:pt>
                <c:pt idx="62">
                  <c:v>91.2</c:v>
                </c:pt>
                <c:pt idx="63">
                  <c:v>90.9</c:v>
                </c:pt>
                <c:pt idx="64">
                  <c:v>90.8</c:v>
                </c:pt>
                <c:pt idx="65">
                  <c:v>90.55</c:v>
                </c:pt>
                <c:pt idx="66">
                  <c:v>91.8</c:v>
                </c:pt>
                <c:pt idx="67">
                  <c:v>91.4</c:v>
                </c:pt>
                <c:pt idx="68">
                  <c:v>90.9</c:v>
                </c:pt>
                <c:pt idx="69">
                  <c:v>90.35</c:v>
                </c:pt>
                <c:pt idx="70">
                  <c:v>90.85</c:v>
                </c:pt>
                <c:pt idx="71">
                  <c:v>91.3</c:v>
                </c:pt>
                <c:pt idx="72">
                  <c:v>90.7</c:v>
                </c:pt>
                <c:pt idx="73">
                  <c:v>91</c:v>
                </c:pt>
                <c:pt idx="74">
                  <c:v>91.2</c:v>
                </c:pt>
                <c:pt idx="75">
                  <c:v>90.75</c:v>
                </c:pt>
                <c:pt idx="76">
                  <c:v>90.3</c:v>
                </c:pt>
                <c:pt idx="77">
                  <c:v>90.2</c:v>
                </c:pt>
                <c:pt idx="78">
                  <c:v>90.35</c:v>
                </c:pt>
                <c:pt idx="79">
                  <c:v>90.55</c:v>
                </c:pt>
                <c:pt idx="80">
                  <c:v>90.6</c:v>
                </c:pt>
                <c:pt idx="81">
                  <c:v>90.75</c:v>
                </c:pt>
                <c:pt idx="82">
                  <c:v>90.55</c:v>
                </c:pt>
                <c:pt idx="83">
                  <c:v>90.75</c:v>
                </c:pt>
                <c:pt idx="84">
                  <c:v>90.8</c:v>
                </c:pt>
                <c:pt idx="85">
                  <c:v>91</c:v>
                </c:pt>
                <c:pt idx="86">
                  <c:v>90.6</c:v>
                </c:pt>
                <c:pt idx="87">
                  <c:v>90.45</c:v>
                </c:pt>
                <c:pt idx="88">
                  <c:v>90.3</c:v>
                </c:pt>
                <c:pt idx="89">
                  <c:v>90.6</c:v>
                </c:pt>
                <c:pt idx="90">
                  <c:v>90.25</c:v>
                </c:pt>
                <c:pt idx="91">
                  <c:v>89.65</c:v>
                </c:pt>
                <c:pt idx="92">
                  <c:v>89.35</c:v>
                </c:pt>
                <c:pt idx="93">
                  <c:v>90.7</c:v>
                </c:pt>
                <c:pt idx="94">
                  <c:v>90.75</c:v>
                </c:pt>
                <c:pt idx="95">
                  <c:v>90.3</c:v>
                </c:pt>
                <c:pt idx="96">
                  <c:v>90.35</c:v>
                </c:pt>
                <c:pt idx="97">
                  <c:v>90.25</c:v>
                </c:pt>
                <c:pt idx="98">
                  <c:v>89.45</c:v>
                </c:pt>
                <c:pt idx="99">
                  <c:v>90.25</c:v>
                </c:pt>
                <c:pt idx="100">
                  <c:v>90.9</c:v>
                </c:pt>
                <c:pt idx="101">
                  <c:v>91.05</c:v>
                </c:pt>
                <c:pt idx="102">
                  <c:v>90.4</c:v>
                </c:pt>
                <c:pt idx="103">
                  <c:v>89.5</c:v>
                </c:pt>
                <c:pt idx="104">
                  <c:v>89.9</c:v>
                </c:pt>
                <c:pt idx="105">
                  <c:v>89.35</c:v>
                </c:pt>
                <c:pt idx="106">
                  <c:v>90.05</c:v>
                </c:pt>
                <c:pt idx="107">
                  <c:v>90.8</c:v>
                </c:pt>
                <c:pt idx="108">
                  <c:v>91</c:v>
                </c:pt>
                <c:pt idx="109">
                  <c:v>90.5</c:v>
                </c:pt>
                <c:pt idx="110">
                  <c:v>90.1</c:v>
                </c:pt>
                <c:pt idx="111">
                  <c:v>90.35</c:v>
                </c:pt>
                <c:pt idx="112">
                  <c:v>90.55</c:v>
                </c:pt>
                <c:pt idx="113">
                  <c:v>90.2</c:v>
                </c:pt>
                <c:pt idx="114">
                  <c:v>90.1</c:v>
                </c:pt>
                <c:pt idx="115">
                  <c:v>90.2</c:v>
                </c:pt>
                <c:pt idx="116">
                  <c:v>90.35</c:v>
                </c:pt>
                <c:pt idx="117">
                  <c:v>90.35</c:v>
                </c:pt>
                <c:pt idx="118">
                  <c:v>90.45</c:v>
                </c:pt>
                <c:pt idx="119">
                  <c:v>90.6</c:v>
                </c:pt>
                <c:pt idx="120">
                  <c:v>90.55</c:v>
                </c:pt>
                <c:pt idx="121">
                  <c:v>90.75</c:v>
                </c:pt>
                <c:pt idx="122">
                  <c:v>89.9</c:v>
                </c:pt>
                <c:pt idx="123">
                  <c:v>89.8</c:v>
                </c:pt>
                <c:pt idx="124">
                  <c:v>90.3</c:v>
                </c:pt>
                <c:pt idx="125">
                  <c:v>89.8</c:v>
                </c:pt>
                <c:pt idx="126">
                  <c:v>89.85</c:v>
                </c:pt>
                <c:pt idx="127">
                  <c:v>90.9</c:v>
                </c:pt>
                <c:pt idx="128">
                  <c:v>90.4</c:v>
                </c:pt>
                <c:pt idx="129">
                  <c:v>90.2</c:v>
                </c:pt>
                <c:pt idx="130">
                  <c:v>89.05</c:v>
                </c:pt>
                <c:pt idx="131">
                  <c:v>89.25</c:v>
                </c:pt>
                <c:pt idx="132">
                  <c:v>89.6</c:v>
                </c:pt>
                <c:pt idx="133">
                  <c:v>90.2</c:v>
                </c:pt>
                <c:pt idx="134">
                  <c:v>89.5</c:v>
                </c:pt>
                <c:pt idx="135">
                  <c:v>89.45</c:v>
                </c:pt>
                <c:pt idx="136">
                  <c:v>89.15</c:v>
                </c:pt>
                <c:pt idx="137">
                  <c:v>90.2</c:v>
                </c:pt>
                <c:pt idx="138">
                  <c:v>90.15</c:v>
                </c:pt>
                <c:pt idx="139">
                  <c:v>90</c:v>
                </c:pt>
                <c:pt idx="140">
                  <c:v>89.35</c:v>
                </c:pt>
                <c:pt idx="141">
                  <c:v>89</c:v>
                </c:pt>
                <c:pt idx="142">
                  <c:v>89.6</c:v>
                </c:pt>
                <c:pt idx="143">
                  <c:v>89.65</c:v>
                </c:pt>
                <c:pt idx="144">
                  <c:v>89.65</c:v>
                </c:pt>
                <c:pt idx="145">
                  <c:v>89.6</c:v>
                </c:pt>
                <c:pt idx="146">
                  <c:v>90.15</c:v>
                </c:pt>
                <c:pt idx="147">
                  <c:v>90.6</c:v>
                </c:pt>
                <c:pt idx="148">
                  <c:v>90.05</c:v>
                </c:pt>
                <c:pt idx="149">
                  <c:v>90.35</c:v>
                </c:pt>
                <c:pt idx="150">
                  <c:v>90.85</c:v>
                </c:pt>
                <c:pt idx="151">
                  <c:v>90.7</c:v>
                </c:pt>
                <c:pt idx="152">
                  <c:v>90.6</c:v>
                </c:pt>
                <c:pt idx="153">
                  <c:v>90.8</c:v>
                </c:pt>
                <c:pt idx="154">
                  <c:v>90.2</c:v>
                </c:pt>
                <c:pt idx="155">
                  <c:v>89.7</c:v>
                </c:pt>
                <c:pt idx="156">
                  <c:v>90</c:v>
                </c:pt>
                <c:pt idx="157">
                  <c:v>90.1</c:v>
                </c:pt>
                <c:pt idx="158">
                  <c:v>90.2</c:v>
                </c:pt>
                <c:pt idx="159">
                  <c:v>90.55</c:v>
                </c:pt>
                <c:pt idx="160">
                  <c:v>90.15</c:v>
                </c:pt>
                <c:pt idx="161">
                  <c:v>89</c:v>
                </c:pt>
                <c:pt idx="162">
                  <c:v>89.25</c:v>
                </c:pt>
                <c:pt idx="163">
                  <c:v>90.1</c:v>
                </c:pt>
                <c:pt idx="164">
                  <c:v>89.8</c:v>
                </c:pt>
                <c:pt idx="165">
                  <c:v>89.55</c:v>
                </c:pt>
                <c:pt idx="166">
                  <c:v>88.95</c:v>
                </c:pt>
                <c:pt idx="167">
                  <c:v>89.05</c:v>
                </c:pt>
                <c:pt idx="168">
                  <c:v>89.1</c:v>
                </c:pt>
                <c:pt idx="169">
                  <c:v>89.3</c:v>
                </c:pt>
                <c:pt idx="170">
                  <c:v>89.1</c:v>
                </c:pt>
                <c:pt idx="171">
                  <c:v>90.15</c:v>
                </c:pt>
                <c:pt idx="172">
                  <c:v>89.75</c:v>
                </c:pt>
                <c:pt idx="173">
                  <c:v>88.9</c:v>
                </c:pt>
                <c:pt idx="174">
                  <c:v>88.2</c:v>
                </c:pt>
                <c:pt idx="175">
                  <c:v>88.4</c:v>
                </c:pt>
                <c:pt idx="176">
                  <c:v>89.05</c:v>
                </c:pt>
                <c:pt idx="177">
                  <c:v>89.3</c:v>
                </c:pt>
                <c:pt idx="178">
                  <c:v>89.65</c:v>
                </c:pt>
                <c:pt idx="179">
                  <c:v>89.8</c:v>
                </c:pt>
                <c:pt idx="180">
                  <c:v>89.6</c:v>
                </c:pt>
                <c:pt idx="181">
                  <c:v>88.6</c:v>
                </c:pt>
                <c:pt idx="182">
                  <c:v>89</c:v>
                </c:pt>
                <c:pt idx="183">
                  <c:v>89.2</c:v>
                </c:pt>
                <c:pt idx="184">
                  <c:v>89.1</c:v>
                </c:pt>
                <c:pt idx="185">
                  <c:v>88.8</c:v>
                </c:pt>
                <c:pt idx="186">
                  <c:v>89.15</c:v>
                </c:pt>
                <c:pt idx="187">
                  <c:v>89.05</c:v>
                </c:pt>
                <c:pt idx="188">
                  <c:v>89.5</c:v>
                </c:pt>
                <c:pt idx="189">
                  <c:v>89.25</c:v>
                </c:pt>
                <c:pt idx="190">
                  <c:v>88.45</c:v>
                </c:pt>
                <c:pt idx="191">
                  <c:v>88.05</c:v>
                </c:pt>
                <c:pt idx="192">
                  <c:v>87.65</c:v>
                </c:pt>
                <c:pt idx="193">
                  <c:v>88.1</c:v>
                </c:pt>
                <c:pt idx="194">
                  <c:v>88.1</c:v>
                </c:pt>
                <c:pt idx="195">
                  <c:v>88.35</c:v>
                </c:pt>
                <c:pt idx="196">
                  <c:v>89.45</c:v>
                </c:pt>
                <c:pt idx="197">
                  <c:v>88.3</c:v>
                </c:pt>
                <c:pt idx="198">
                  <c:v>88.45</c:v>
                </c:pt>
                <c:pt idx="199">
                  <c:v>87.85</c:v>
                </c:pt>
                <c:pt idx="200">
                  <c:v>88.45</c:v>
                </c:pt>
                <c:pt idx="201">
                  <c:v>88.8</c:v>
                </c:pt>
                <c:pt idx="202">
                  <c:v>88.6</c:v>
                </c:pt>
                <c:pt idx="203">
                  <c:v>87.35</c:v>
                </c:pt>
                <c:pt idx="204">
                  <c:v>87.4</c:v>
                </c:pt>
                <c:pt idx="205">
                  <c:v>87.75</c:v>
                </c:pt>
                <c:pt idx="206">
                  <c:v>87.2</c:v>
                </c:pt>
                <c:pt idx="207">
                  <c:v>87.2</c:v>
                </c:pt>
                <c:pt idx="208">
                  <c:v>88.4</c:v>
                </c:pt>
                <c:pt idx="209">
                  <c:v>88</c:v>
                </c:pt>
                <c:pt idx="210">
                  <c:v>87.85</c:v>
                </c:pt>
                <c:pt idx="211">
                  <c:v>87.85</c:v>
                </c:pt>
                <c:pt idx="212">
                  <c:v>88.85</c:v>
                </c:pt>
                <c:pt idx="213">
                  <c:v>87.95</c:v>
                </c:pt>
                <c:pt idx="214">
                  <c:v>88.7</c:v>
                </c:pt>
                <c:pt idx="215">
                  <c:v>89.05</c:v>
                </c:pt>
                <c:pt idx="216">
                  <c:v>88.15</c:v>
                </c:pt>
                <c:pt idx="217">
                  <c:v>87.85</c:v>
                </c:pt>
                <c:pt idx="218">
                  <c:v>87.8</c:v>
                </c:pt>
                <c:pt idx="219">
                  <c:v>88.15</c:v>
                </c:pt>
                <c:pt idx="220">
                  <c:v>88.2</c:v>
                </c:pt>
                <c:pt idx="221">
                  <c:v>88.25</c:v>
                </c:pt>
                <c:pt idx="222">
                  <c:v>87.95</c:v>
                </c:pt>
                <c:pt idx="223">
                  <c:v>89.1</c:v>
                </c:pt>
                <c:pt idx="224">
                  <c:v>87.7</c:v>
                </c:pt>
                <c:pt idx="225">
                  <c:v>87.6</c:v>
                </c:pt>
                <c:pt idx="226">
                  <c:v>88.3</c:v>
                </c:pt>
                <c:pt idx="227">
                  <c:v>88.6</c:v>
                </c:pt>
                <c:pt idx="228">
                  <c:v>88.1</c:v>
                </c:pt>
                <c:pt idx="229">
                  <c:v>89.2</c:v>
                </c:pt>
                <c:pt idx="230">
                  <c:v>88.55</c:v>
                </c:pt>
                <c:pt idx="231">
                  <c:v>87.95</c:v>
                </c:pt>
                <c:pt idx="232">
                  <c:v>87.8</c:v>
                </c:pt>
                <c:pt idx="233">
                  <c:v>87.95</c:v>
                </c:pt>
                <c:pt idx="234">
                  <c:v>88.75</c:v>
                </c:pt>
                <c:pt idx="235">
                  <c:v>89.25</c:v>
                </c:pt>
                <c:pt idx="236">
                  <c:v>89.4</c:v>
                </c:pt>
                <c:pt idx="237">
                  <c:v>89.05</c:v>
                </c:pt>
                <c:pt idx="238">
                  <c:v>89.15</c:v>
                </c:pt>
                <c:pt idx="239">
                  <c:v>88.6</c:v>
                </c:pt>
                <c:pt idx="240">
                  <c:v>89</c:v>
                </c:pt>
                <c:pt idx="241">
                  <c:v>89.15</c:v>
                </c:pt>
                <c:pt idx="242">
                  <c:v>88.6</c:v>
                </c:pt>
                <c:pt idx="243">
                  <c:v>88.2</c:v>
                </c:pt>
                <c:pt idx="244">
                  <c:v>88.45</c:v>
                </c:pt>
                <c:pt idx="245">
                  <c:v>88.95</c:v>
                </c:pt>
                <c:pt idx="246">
                  <c:v>89.2</c:v>
                </c:pt>
                <c:pt idx="247">
                  <c:v>88</c:v>
                </c:pt>
                <c:pt idx="248">
                  <c:v>89.55</c:v>
                </c:pt>
                <c:pt idx="249">
                  <c:v>89.25</c:v>
                </c:pt>
                <c:pt idx="250">
                  <c:v>88.5</c:v>
                </c:pt>
                <c:pt idx="251">
                  <c:v>87.85</c:v>
                </c:pt>
                <c:pt idx="252">
                  <c:v>87.85</c:v>
                </c:pt>
                <c:pt idx="253">
                  <c:v>87.9</c:v>
                </c:pt>
                <c:pt idx="254">
                  <c:v>88</c:v>
                </c:pt>
                <c:pt idx="255">
                  <c:v>88.6</c:v>
                </c:pt>
                <c:pt idx="256">
                  <c:v>88.65</c:v>
                </c:pt>
                <c:pt idx="257">
                  <c:v>87.9</c:v>
                </c:pt>
                <c:pt idx="258">
                  <c:v>87.65</c:v>
                </c:pt>
                <c:pt idx="259">
                  <c:v>87.8</c:v>
                </c:pt>
                <c:pt idx="260">
                  <c:v>88.6</c:v>
                </c:pt>
                <c:pt idx="261">
                  <c:v>88.3</c:v>
                </c:pt>
                <c:pt idx="262">
                  <c:v>88.8</c:v>
                </c:pt>
                <c:pt idx="263">
                  <c:v>88.25</c:v>
                </c:pt>
                <c:pt idx="264">
                  <c:v>88.65</c:v>
                </c:pt>
                <c:pt idx="265">
                  <c:v>88.75</c:v>
                </c:pt>
                <c:pt idx="266">
                  <c:v>88.35</c:v>
                </c:pt>
                <c:pt idx="267">
                  <c:v>88.4</c:v>
                </c:pt>
                <c:pt idx="268">
                  <c:v>87.5</c:v>
                </c:pt>
                <c:pt idx="269">
                  <c:v>87.85</c:v>
                </c:pt>
                <c:pt idx="270">
                  <c:v>88.65</c:v>
                </c:pt>
                <c:pt idx="271">
                  <c:v>88.05</c:v>
                </c:pt>
                <c:pt idx="272">
                  <c:v>88.6</c:v>
                </c:pt>
                <c:pt idx="273">
                  <c:v>88.65</c:v>
                </c:pt>
                <c:pt idx="274">
                  <c:v>88.7</c:v>
                </c:pt>
                <c:pt idx="275">
                  <c:v>88.3</c:v>
                </c:pt>
                <c:pt idx="276">
                  <c:v>88</c:v>
                </c:pt>
                <c:pt idx="277">
                  <c:v>87.8</c:v>
                </c:pt>
                <c:pt idx="278">
                  <c:v>88</c:v>
                </c:pt>
                <c:pt idx="279">
                  <c:v>88.75</c:v>
                </c:pt>
                <c:pt idx="280">
                  <c:v>89.3</c:v>
                </c:pt>
                <c:pt idx="281">
                  <c:v>88.35</c:v>
                </c:pt>
                <c:pt idx="282">
                  <c:v>87.7</c:v>
                </c:pt>
                <c:pt idx="283">
                  <c:v>88.1</c:v>
                </c:pt>
                <c:pt idx="284">
                  <c:v>87.75</c:v>
                </c:pt>
                <c:pt idx="285">
                  <c:v>87.55</c:v>
                </c:pt>
                <c:pt idx="286">
                  <c:v>87.9</c:v>
                </c:pt>
                <c:pt idx="287">
                  <c:v>88.1</c:v>
                </c:pt>
                <c:pt idx="288">
                  <c:v>88.45</c:v>
                </c:pt>
                <c:pt idx="289">
                  <c:v>88.4</c:v>
                </c:pt>
                <c:pt idx="290">
                  <c:v>88.15</c:v>
                </c:pt>
                <c:pt idx="291">
                  <c:v>88.4</c:v>
                </c:pt>
                <c:pt idx="292">
                  <c:v>89.05</c:v>
                </c:pt>
                <c:pt idx="293">
                  <c:v>88.15</c:v>
                </c:pt>
                <c:pt idx="294">
                  <c:v>88.45</c:v>
                </c:pt>
                <c:pt idx="295">
                  <c:v>88</c:v>
                </c:pt>
                <c:pt idx="296">
                  <c:v>87.9</c:v>
                </c:pt>
                <c:pt idx="297">
                  <c:v>88.3</c:v>
                </c:pt>
                <c:pt idx="298">
                  <c:v>88.1</c:v>
                </c:pt>
                <c:pt idx="299">
                  <c:v>87.8</c:v>
                </c:pt>
                <c:pt idx="300">
                  <c:v>87.75</c:v>
                </c:pt>
                <c:pt idx="301">
                  <c:v>87.95</c:v>
                </c:pt>
                <c:pt idx="302">
                  <c:v>87.75</c:v>
                </c:pt>
                <c:pt idx="303">
                  <c:v>88.5</c:v>
                </c:pt>
                <c:pt idx="304">
                  <c:v>88.5</c:v>
                </c:pt>
                <c:pt idx="305">
                  <c:v>88.3</c:v>
                </c:pt>
                <c:pt idx="306">
                  <c:v>88.5</c:v>
                </c:pt>
                <c:pt idx="307">
                  <c:v>87.55</c:v>
                </c:pt>
                <c:pt idx="308">
                  <c:v>87.8</c:v>
                </c:pt>
                <c:pt idx="309">
                  <c:v>88.2</c:v>
                </c:pt>
                <c:pt idx="310">
                  <c:v>89.15</c:v>
                </c:pt>
                <c:pt idx="311">
                  <c:v>89.05</c:v>
                </c:pt>
                <c:pt idx="312">
                  <c:v>88.45</c:v>
                </c:pt>
                <c:pt idx="313">
                  <c:v>88.15</c:v>
                </c:pt>
                <c:pt idx="314">
                  <c:v>87.15</c:v>
                </c:pt>
                <c:pt idx="315">
                  <c:v>88.15</c:v>
                </c:pt>
                <c:pt idx="316">
                  <c:v>88.45</c:v>
                </c:pt>
                <c:pt idx="317">
                  <c:v>88.5</c:v>
                </c:pt>
                <c:pt idx="318">
                  <c:v>88.6</c:v>
                </c:pt>
                <c:pt idx="319">
                  <c:v>90</c:v>
                </c:pt>
                <c:pt idx="320">
                  <c:v>88.9</c:v>
                </c:pt>
                <c:pt idx="321">
                  <c:v>89.3</c:v>
                </c:pt>
                <c:pt idx="322">
                  <c:v>88.8</c:v>
                </c:pt>
                <c:pt idx="323">
                  <c:v>88.7</c:v>
                </c:pt>
                <c:pt idx="324">
                  <c:v>88.55</c:v>
                </c:pt>
                <c:pt idx="325">
                  <c:v>88.15</c:v>
                </c:pt>
                <c:pt idx="326">
                  <c:v>88.45</c:v>
                </c:pt>
                <c:pt idx="327">
                  <c:v>88.35</c:v>
                </c:pt>
                <c:pt idx="328">
                  <c:v>88.7</c:v>
                </c:pt>
                <c:pt idx="329">
                  <c:v>88.6</c:v>
                </c:pt>
                <c:pt idx="330">
                  <c:v>88.55</c:v>
                </c:pt>
                <c:pt idx="331">
                  <c:v>87.6</c:v>
                </c:pt>
                <c:pt idx="332">
                  <c:v>87.55</c:v>
                </c:pt>
                <c:pt idx="333">
                  <c:v>88.1</c:v>
                </c:pt>
                <c:pt idx="334">
                  <c:v>88.35</c:v>
                </c:pt>
                <c:pt idx="335">
                  <c:v>88.6</c:v>
                </c:pt>
                <c:pt idx="336">
                  <c:v>88.3</c:v>
                </c:pt>
                <c:pt idx="337">
                  <c:v>89</c:v>
                </c:pt>
                <c:pt idx="338">
                  <c:v>88.75</c:v>
                </c:pt>
                <c:pt idx="339">
                  <c:v>89.1</c:v>
                </c:pt>
                <c:pt idx="340">
                  <c:v>88.75</c:v>
                </c:pt>
                <c:pt idx="341">
                  <c:v>87.85</c:v>
                </c:pt>
                <c:pt idx="342">
                  <c:v>87.6</c:v>
                </c:pt>
                <c:pt idx="343">
                  <c:v>88.9</c:v>
                </c:pt>
                <c:pt idx="344">
                  <c:v>88.8</c:v>
                </c:pt>
                <c:pt idx="345">
                  <c:v>87.85</c:v>
                </c:pt>
                <c:pt idx="346">
                  <c:v>87.45</c:v>
                </c:pt>
                <c:pt idx="347">
                  <c:v>87.3</c:v>
                </c:pt>
                <c:pt idx="348">
                  <c:v>86.8</c:v>
                </c:pt>
                <c:pt idx="349">
                  <c:v>86.8</c:v>
                </c:pt>
                <c:pt idx="350">
                  <c:v>86.75</c:v>
                </c:pt>
                <c:pt idx="351">
                  <c:v>86.45</c:v>
                </c:pt>
                <c:pt idx="352">
                  <c:v>86.55</c:v>
                </c:pt>
                <c:pt idx="353">
                  <c:v>86.75</c:v>
                </c:pt>
                <c:pt idx="354">
                  <c:v>86.75</c:v>
                </c:pt>
                <c:pt idx="355">
                  <c:v>86.45</c:v>
                </c:pt>
                <c:pt idx="356">
                  <c:v>85.85</c:v>
                </c:pt>
                <c:pt idx="357">
                  <c:v>86.7</c:v>
                </c:pt>
                <c:pt idx="358">
                  <c:v>86.25</c:v>
                </c:pt>
                <c:pt idx="359">
                  <c:v>86.3</c:v>
                </c:pt>
                <c:pt idx="360">
                  <c:v>86.85</c:v>
                </c:pt>
                <c:pt idx="361">
                  <c:v>86.95</c:v>
                </c:pt>
                <c:pt idx="362">
                  <c:v>86.5</c:v>
                </c:pt>
                <c:pt idx="363">
                  <c:v>87.5</c:v>
                </c:pt>
                <c:pt idx="364">
                  <c:v>87</c:v>
                </c:pt>
                <c:pt idx="365">
                  <c:v>86.5</c:v>
                </c:pt>
                <c:pt idx="366">
                  <c:v>85.95</c:v>
                </c:pt>
                <c:pt idx="367">
                  <c:v>86.4</c:v>
                </c:pt>
                <c:pt idx="368">
                  <c:v>86.5</c:v>
                </c:pt>
                <c:pt idx="369">
                  <c:v>86.15</c:v>
                </c:pt>
                <c:pt idx="370">
                  <c:v>85.85</c:v>
                </c:pt>
                <c:pt idx="371">
                  <c:v>85.8</c:v>
                </c:pt>
                <c:pt idx="372">
                  <c:v>85.75</c:v>
                </c:pt>
                <c:pt idx="373">
                  <c:v>85.6</c:v>
                </c:pt>
                <c:pt idx="374">
                  <c:v>85.35</c:v>
                </c:pt>
                <c:pt idx="375">
                  <c:v>85.5</c:v>
                </c:pt>
                <c:pt idx="376">
                  <c:v>84.8</c:v>
                </c:pt>
                <c:pt idx="377">
                  <c:v>85.2</c:v>
                </c:pt>
                <c:pt idx="378">
                  <c:v>85.55</c:v>
                </c:pt>
                <c:pt idx="379">
                  <c:v>84.95</c:v>
                </c:pt>
                <c:pt idx="380">
                  <c:v>86.4</c:v>
                </c:pt>
                <c:pt idx="381">
                  <c:v>85.75</c:v>
                </c:pt>
                <c:pt idx="382">
                  <c:v>84.95</c:v>
                </c:pt>
                <c:pt idx="383">
                  <c:v>84.75</c:v>
                </c:pt>
                <c:pt idx="384">
                  <c:v>85</c:v>
                </c:pt>
                <c:pt idx="385">
                  <c:v>84.55</c:v>
                </c:pt>
                <c:pt idx="386">
                  <c:v>85.2</c:v>
                </c:pt>
                <c:pt idx="387">
                  <c:v>87</c:v>
                </c:pt>
                <c:pt idx="388">
                  <c:v>86.6</c:v>
                </c:pt>
                <c:pt idx="389">
                  <c:v>86.25</c:v>
                </c:pt>
                <c:pt idx="390">
                  <c:v>85.85</c:v>
                </c:pt>
                <c:pt idx="391">
                  <c:v>85.85</c:v>
                </c:pt>
                <c:pt idx="392">
                  <c:v>86.95</c:v>
                </c:pt>
                <c:pt idx="393">
                  <c:v>86.3</c:v>
                </c:pt>
                <c:pt idx="394">
                  <c:v>85.95</c:v>
                </c:pt>
                <c:pt idx="395">
                  <c:v>86</c:v>
                </c:pt>
                <c:pt idx="396">
                  <c:v>86.1</c:v>
                </c:pt>
                <c:pt idx="397">
                  <c:v>85.85</c:v>
                </c:pt>
                <c:pt idx="398">
                  <c:v>85.55</c:v>
                </c:pt>
                <c:pt idx="399">
                  <c:v>85.75</c:v>
                </c:pt>
                <c:pt idx="400">
                  <c:v>85.5</c:v>
                </c:pt>
                <c:pt idx="401">
                  <c:v>85.55</c:v>
                </c:pt>
                <c:pt idx="402">
                  <c:v>85.3</c:v>
                </c:pt>
                <c:pt idx="403">
                  <c:v>85.25</c:v>
                </c:pt>
                <c:pt idx="404">
                  <c:v>85.35</c:v>
                </c:pt>
                <c:pt idx="405">
                  <c:v>85.15</c:v>
                </c:pt>
                <c:pt idx="406">
                  <c:v>84.75</c:v>
                </c:pt>
                <c:pt idx="407">
                  <c:v>84.95</c:v>
                </c:pt>
                <c:pt idx="408">
                  <c:v>86.35</c:v>
                </c:pt>
                <c:pt idx="409">
                  <c:v>85.65</c:v>
                </c:pt>
                <c:pt idx="410">
                  <c:v>85.2</c:v>
                </c:pt>
                <c:pt idx="411">
                  <c:v>87.45</c:v>
                </c:pt>
                <c:pt idx="412">
                  <c:v>86.75</c:v>
                </c:pt>
                <c:pt idx="413">
                  <c:v>85.9</c:v>
                </c:pt>
                <c:pt idx="414">
                  <c:v>85.45</c:v>
                </c:pt>
                <c:pt idx="415">
                  <c:v>85.85</c:v>
                </c:pt>
                <c:pt idx="416">
                  <c:v>86.9</c:v>
                </c:pt>
                <c:pt idx="417">
                  <c:v>86.95</c:v>
                </c:pt>
                <c:pt idx="418">
                  <c:v>85.9</c:v>
                </c:pt>
                <c:pt idx="419">
                  <c:v>85.6</c:v>
                </c:pt>
                <c:pt idx="420">
                  <c:v>85.8</c:v>
                </c:pt>
                <c:pt idx="421">
                  <c:v>85.75</c:v>
                </c:pt>
                <c:pt idx="422">
                  <c:v>85.8</c:v>
                </c:pt>
                <c:pt idx="423">
                  <c:v>86.85</c:v>
                </c:pt>
                <c:pt idx="424">
                  <c:v>85.55</c:v>
                </c:pt>
                <c:pt idx="425">
                  <c:v>86.45</c:v>
                </c:pt>
                <c:pt idx="426">
                  <c:v>86.1</c:v>
                </c:pt>
                <c:pt idx="427">
                  <c:v>85.9</c:v>
                </c:pt>
                <c:pt idx="428">
                  <c:v>85.35</c:v>
                </c:pt>
                <c:pt idx="429">
                  <c:v>85.75</c:v>
                </c:pt>
                <c:pt idx="430">
                  <c:v>87.8</c:v>
                </c:pt>
                <c:pt idx="431">
                  <c:v>86.7</c:v>
                </c:pt>
                <c:pt idx="432">
                  <c:v>86.45</c:v>
                </c:pt>
                <c:pt idx="433">
                  <c:v>86.2</c:v>
                </c:pt>
                <c:pt idx="434">
                  <c:v>85.8</c:v>
                </c:pt>
                <c:pt idx="435">
                  <c:v>86.4</c:v>
                </c:pt>
                <c:pt idx="436">
                  <c:v>86.55</c:v>
                </c:pt>
                <c:pt idx="437">
                  <c:v>86.45</c:v>
                </c:pt>
                <c:pt idx="438">
                  <c:v>85.9</c:v>
                </c:pt>
                <c:pt idx="439">
                  <c:v>86.3</c:v>
                </c:pt>
                <c:pt idx="440">
                  <c:v>85.9</c:v>
                </c:pt>
                <c:pt idx="441">
                  <c:v>86.1</c:v>
                </c:pt>
                <c:pt idx="442">
                  <c:v>86.2</c:v>
                </c:pt>
                <c:pt idx="443">
                  <c:v>86.15</c:v>
                </c:pt>
                <c:pt idx="444">
                  <c:v>85.65</c:v>
                </c:pt>
                <c:pt idx="445">
                  <c:v>85.35</c:v>
                </c:pt>
                <c:pt idx="446">
                  <c:v>85.1</c:v>
                </c:pt>
                <c:pt idx="447">
                  <c:v>85.4</c:v>
                </c:pt>
                <c:pt idx="448">
                  <c:v>86.2</c:v>
                </c:pt>
                <c:pt idx="449">
                  <c:v>85.35</c:v>
                </c:pt>
                <c:pt idx="450">
                  <c:v>85.05</c:v>
                </c:pt>
                <c:pt idx="451">
                  <c:v>85.1</c:v>
                </c:pt>
                <c:pt idx="452">
                  <c:v>84.85</c:v>
                </c:pt>
                <c:pt idx="453">
                  <c:v>84.75</c:v>
                </c:pt>
                <c:pt idx="454">
                  <c:v>84.45</c:v>
                </c:pt>
                <c:pt idx="455">
                  <c:v>84.3</c:v>
                </c:pt>
                <c:pt idx="456">
                  <c:v>85.15</c:v>
                </c:pt>
                <c:pt idx="457">
                  <c:v>85.1</c:v>
                </c:pt>
                <c:pt idx="458">
                  <c:v>85.1</c:v>
                </c:pt>
                <c:pt idx="459">
                  <c:v>84.55</c:v>
                </c:pt>
                <c:pt idx="460">
                  <c:v>84.4</c:v>
                </c:pt>
                <c:pt idx="461">
                  <c:v>84.8</c:v>
                </c:pt>
                <c:pt idx="462">
                  <c:v>84.7</c:v>
                </c:pt>
                <c:pt idx="463">
                  <c:v>84.65</c:v>
                </c:pt>
                <c:pt idx="464">
                  <c:v>84.5</c:v>
                </c:pt>
                <c:pt idx="465">
                  <c:v>84.9</c:v>
                </c:pt>
                <c:pt idx="466">
                  <c:v>85.15</c:v>
                </c:pt>
                <c:pt idx="467">
                  <c:v>85.35</c:v>
                </c:pt>
                <c:pt idx="468">
                  <c:v>84.25</c:v>
                </c:pt>
                <c:pt idx="469">
                  <c:v>85</c:v>
                </c:pt>
                <c:pt idx="470">
                  <c:v>84.7</c:v>
                </c:pt>
                <c:pt idx="471">
                  <c:v>84.45</c:v>
                </c:pt>
                <c:pt idx="472">
                  <c:v>83.7</c:v>
                </c:pt>
                <c:pt idx="473">
                  <c:v>84.35</c:v>
                </c:pt>
                <c:pt idx="474">
                  <c:v>83.25</c:v>
                </c:pt>
                <c:pt idx="475">
                  <c:v>82.6</c:v>
                </c:pt>
                <c:pt idx="476">
                  <c:v>82.35</c:v>
                </c:pt>
                <c:pt idx="477">
                  <c:v>83.4</c:v>
                </c:pt>
                <c:pt idx="478">
                  <c:v>82.7</c:v>
                </c:pt>
                <c:pt idx="479">
                  <c:v>81.45</c:v>
                </c:pt>
                <c:pt idx="480">
                  <c:v>81.849999999999994</c:v>
                </c:pt>
                <c:pt idx="481">
                  <c:v>81.599999999999994</c:v>
                </c:pt>
                <c:pt idx="482">
                  <c:v>83.8</c:v>
                </c:pt>
                <c:pt idx="483">
                  <c:v>83.25</c:v>
                </c:pt>
                <c:pt idx="484">
                  <c:v>82.15</c:v>
                </c:pt>
                <c:pt idx="485">
                  <c:v>82.65</c:v>
                </c:pt>
                <c:pt idx="486">
                  <c:v>82.85</c:v>
                </c:pt>
                <c:pt idx="487">
                  <c:v>83.8</c:v>
                </c:pt>
                <c:pt idx="488">
                  <c:v>83.35</c:v>
                </c:pt>
                <c:pt idx="489">
                  <c:v>83.95</c:v>
                </c:pt>
                <c:pt idx="490">
                  <c:v>83.2</c:v>
                </c:pt>
                <c:pt idx="491">
                  <c:v>82.85</c:v>
                </c:pt>
                <c:pt idx="492">
                  <c:v>82.55</c:v>
                </c:pt>
                <c:pt idx="493">
                  <c:v>83.35</c:v>
                </c:pt>
                <c:pt idx="494">
                  <c:v>82.95</c:v>
                </c:pt>
                <c:pt idx="495">
                  <c:v>82.6</c:v>
                </c:pt>
                <c:pt idx="496">
                  <c:v>82.75</c:v>
                </c:pt>
                <c:pt idx="497">
                  <c:v>82.7</c:v>
                </c:pt>
                <c:pt idx="498">
                  <c:v>82.25</c:v>
                </c:pt>
                <c:pt idx="499">
                  <c:v>83.3</c:v>
                </c:pt>
                <c:pt idx="500">
                  <c:v>83.5</c:v>
                </c:pt>
                <c:pt idx="501">
                  <c:v>82.8</c:v>
                </c:pt>
                <c:pt idx="502">
                  <c:v>82.7</c:v>
                </c:pt>
                <c:pt idx="503">
                  <c:v>82.35</c:v>
                </c:pt>
                <c:pt idx="504">
                  <c:v>82.85</c:v>
                </c:pt>
                <c:pt idx="505">
                  <c:v>82.65</c:v>
                </c:pt>
                <c:pt idx="506">
                  <c:v>82.9</c:v>
                </c:pt>
                <c:pt idx="507">
                  <c:v>82.85</c:v>
                </c:pt>
                <c:pt idx="508">
                  <c:v>83.55</c:v>
                </c:pt>
                <c:pt idx="509">
                  <c:v>83.45</c:v>
                </c:pt>
                <c:pt idx="510">
                  <c:v>83.45</c:v>
                </c:pt>
                <c:pt idx="511">
                  <c:v>82.9</c:v>
                </c:pt>
                <c:pt idx="512">
                  <c:v>84.65</c:v>
                </c:pt>
                <c:pt idx="513">
                  <c:v>83.7</c:v>
                </c:pt>
                <c:pt idx="514">
                  <c:v>85.05</c:v>
                </c:pt>
                <c:pt idx="515">
                  <c:v>84.95</c:v>
                </c:pt>
                <c:pt idx="516">
                  <c:v>83.95</c:v>
                </c:pt>
                <c:pt idx="517">
                  <c:v>83.75</c:v>
                </c:pt>
                <c:pt idx="518">
                  <c:v>83.85</c:v>
                </c:pt>
                <c:pt idx="519">
                  <c:v>84.15</c:v>
                </c:pt>
                <c:pt idx="520">
                  <c:v>83.75</c:v>
                </c:pt>
                <c:pt idx="521">
                  <c:v>83.65</c:v>
                </c:pt>
                <c:pt idx="522">
                  <c:v>83.55</c:v>
                </c:pt>
                <c:pt idx="523">
                  <c:v>84.14</c:v>
                </c:pt>
                <c:pt idx="524">
                  <c:v>83.95</c:v>
                </c:pt>
                <c:pt idx="525">
                  <c:v>85.15</c:v>
                </c:pt>
                <c:pt idx="526">
                  <c:v>83.65</c:v>
                </c:pt>
                <c:pt idx="527">
                  <c:v>83.9</c:v>
                </c:pt>
                <c:pt idx="528">
                  <c:v>83.8</c:v>
                </c:pt>
                <c:pt idx="529">
                  <c:v>84.3</c:v>
                </c:pt>
                <c:pt idx="530">
                  <c:v>84.6</c:v>
                </c:pt>
                <c:pt idx="531">
                  <c:v>84.2</c:v>
                </c:pt>
                <c:pt idx="532">
                  <c:v>83.85</c:v>
                </c:pt>
                <c:pt idx="533">
                  <c:v>84.8</c:v>
                </c:pt>
                <c:pt idx="534">
                  <c:v>84.4</c:v>
                </c:pt>
                <c:pt idx="535">
                  <c:v>83.85</c:v>
                </c:pt>
                <c:pt idx="536">
                  <c:v>84</c:v>
                </c:pt>
                <c:pt idx="537">
                  <c:v>84</c:v>
                </c:pt>
                <c:pt idx="538">
                  <c:v>83.55</c:v>
                </c:pt>
                <c:pt idx="539">
                  <c:v>84.05</c:v>
                </c:pt>
                <c:pt idx="540">
                  <c:v>83.95</c:v>
                </c:pt>
                <c:pt idx="541">
                  <c:v>83.55</c:v>
                </c:pt>
                <c:pt idx="542">
                  <c:v>83.65</c:v>
                </c:pt>
                <c:pt idx="543">
                  <c:v>83.85</c:v>
                </c:pt>
                <c:pt idx="544">
                  <c:v>83.95</c:v>
                </c:pt>
                <c:pt idx="545">
                  <c:v>83.75</c:v>
                </c:pt>
                <c:pt idx="546">
                  <c:v>84.55</c:v>
                </c:pt>
                <c:pt idx="547">
                  <c:v>84.85</c:v>
                </c:pt>
                <c:pt idx="548">
                  <c:v>84.9</c:v>
                </c:pt>
                <c:pt idx="549">
                  <c:v>84.45</c:v>
                </c:pt>
                <c:pt idx="550">
                  <c:v>84.65</c:v>
                </c:pt>
                <c:pt idx="551">
                  <c:v>84.2</c:v>
                </c:pt>
                <c:pt idx="552">
                  <c:v>83.95</c:v>
                </c:pt>
                <c:pt idx="553">
                  <c:v>84.45</c:v>
                </c:pt>
                <c:pt idx="554">
                  <c:v>84.65</c:v>
                </c:pt>
                <c:pt idx="555">
                  <c:v>84.6</c:v>
                </c:pt>
                <c:pt idx="556">
                  <c:v>83.9</c:v>
                </c:pt>
                <c:pt idx="557">
                  <c:v>84.4</c:v>
                </c:pt>
                <c:pt idx="558">
                  <c:v>84.05</c:v>
                </c:pt>
                <c:pt idx="559">
                  <c:v>83.25</c:v>
                </c:pt>
                <c:pt idx="560">
                  <c:v>84.2</c:v>
                </c:pt>
                <c:pt idx="561">
                  <c:v>82.95</c:v>
                </c:pt>
                <c:pt idx="562">
                  <c:v>83.2</c:v>
                </c:pt>
                <c:pt idx="563">
                  <c:v>83.65</c:v>
                </c:pt>
                <c:pt idx="564">
                  <c:v>83.9</c:v>
                </c:pt>
                <c:pt idx="565">
                  <c:v>83.65</c:v>
                </c:pt>
                <c:pt idx="566">
                  <c:v>83.1</c:v>
                </c:pt>
                <c:pt idx="567">
                  <c:v>82.45</c:v>
                </c:pt>
                <c:pt idx="568">
                  <c:v>82.9</c:v>
                </c:pt>
                <c:pt idx="569">
                  <c:v>82.8</c:v>
                </c:pt>
                <c:pt idx="570">
                  <c:v>83.2</c:v>
                </c:pt>
                <c:pt idx="571">
                  <c:v>82.55</c:v>
                </c:pt>
                <c:pt idx="572">
                  <c:v>82.45</c:v>
                </c:pt>
                <c:pt idx="573">
                  <c:v>83.55</c:v>
                </c:pt>
                <c:pt idx="574">
                  <c:v>83.95</c:v>
                </c:pt>
                <c:pt idx="575">
                  <c:v>83.35</c:v>
                </c:pt>
                <c:pt idx="576">
                  <c:v>83.2</c:v>
                </c:pt>
                <c:pt idx="577">
                  <c:v>83.8</c:v>
                </c:pt>
                <c:pt idx="578">
                  <c:v>82.95</c:v>
                </c:pt>
                <c:pt idx="579">
                  <c:v>83.3</c:v>
                </c:pt>
                <c:pt idx="580">
                  <c:v>83.5</c:v>
                </c:pt>
                <c:pt idx="581">
                  <c:v>84.15</c:v>
                </c:pt>
                <c:pt idx="582">
                  <c:v>83.3</c:v>
                </c:pt>
                <c:pt idx="583">
                  <c:v>83.7</c:v>
                </c:pt>
                <c:pt idx="584">
                  <c:v>84.5</c:v>
                </c:pt>
                <c:pt idx="585">
                  <c:v>84.1</c:v>
                </c:pt>
                <c:pt idx="586">
                  <c:v>84.15</c:v>
                </c:pt>
                <c:pt idx="587">
                  <c:v>84.4</c:v>
                </c:pt>
                <c:pt idx="588">
                  <c:v>83.7</c:v>
                </c:pt>
                <c:pt idx="589">
                  <c:v>83.3</c:v>
                </c:pt>
                <c:pt idx="590">
                  <c:v>84.4</c:v>
                </c:pt>
                <c:pt idx="591">
                  <c:v>84.45</c:v>
                </c:pt>
                <c:pt idx="592">
                  <c:v>84.35</c:v>
                </c:pt>
                <c:pt idx="593">
                  <c:v>84.8</c:v>
                </c:pt>
                <c:pt idx="594">
                  <c:v>84.1</c:v>
                </c:pt>
                <c:pt idx="595">
                  <c:v>83.9</c:v>
                </c:pt>
                <c:pt idx="596">
                  <c:v>84.05</c:v>
                </c:pt>
                <c:pt idx="597">
                  <c:v>84.6</c:v>
                </c:pt>
                <c:pt idx="598">
                  <c:v>84.25</c:v>
                </c:pt>
                <c:pt idx="599">
                  <c:v>85.2</c:v>
                </c:pt>
                <c:pt idx="600">
                  <c:v>83.6</c:v>
                </c:pt>
                <c:pt idx="601">
                  <c:v>83.35</c:v>
                </c:pt>
                <c:pt idx="602">
                  <c:v>83.85</c:v>
                </c:pt>
                <c:pt idx="603">
                  <c:v>83.8</c:v>
                </c:pt>
                <c:pt idx="604">
                  <c:v>84</c:v>
                </c:pt>
                <c:pt idx="605">
                  <c:v>84.2</c:v>
                </c:pt>
                <c:pt idx="606">
                  <c:v>84.5</c:v>
                </c:pt>
                <c:pt idx="607">
                  <c:v>83.3</c:v>
                </c:pt>
                <c:pt idx="608">
                  <c:v>83</c:v>
                </c:pt>
                <c:pt idx="609">
                  <c:v>83.35</c:v>
                </c:pt>
                <c:pt idx="610">
                  <c:v>83.2</c:v>
                </c:pt>
                <c:pt idx="611">
                  <c:v>83.25</c:v>
                </c:pt>
                <c:pt idx="612">
                  <c:v>83.9</c:v>
                </c:pt>
                <c:pt idx="613">
                  <c:v>84.35</c:v>
                </c:pt>
                <c:pt idx="614">
                  <c:v>83.35</c:v>
                </c:pt>
                <c:pt idx="615">
                  <c:v>84.35</c:v>
                </c:pt>
                <c:pt idx="616">
                  <c:v>84</c:v>
                </c:pt>
                <c:pt idx="617">
                  <c:v>83.4</c:v>
                </c:pt>
                <c:pt idx="618">
                  <c:v>84</c:v>
                </c:pt>
                <c:pt idx="619">
                  <c:v>84.55</c:v>
                </c:pt>
                <c:pt idx="620">
                  <c:v>83.7</c:v>
                </c:pt>
                <c:pt idx="621">
                  <c:v>83.7</c:v>
                </c:pt>
                <c:pt idx="622">
                  <c:v>84.35</c:v>
                </c:pt>
                <c:pt idx="623">
                  <c:v>83.9</c:v>
                </c:pt>
                <c:pt idx="624">
                  <c:v>83.35</c:v>
                </c:pt>
                <c:pt idx="625">
                  <c:v>84.95</c:v>
                </c:pt>
                <c:pt idx="626">
                  <c:v>84.45</c:v>
                </c:pt>
                <c:pt idx="627">
                  <c:v>84.05</c:v>
                </c:pt>
                <c:pt idx="628">
                  <c:v>83.45</c:v>
                </c:pt>
                <c:pt idx="629">
                  <c:v>83.75</c:v>
                </c:pt>
                <c:pt idx="630">
                  <c:v>83.55</c:v>
                </c:pt>
                <c:pt idx="631">
                  <c:v>83.45</c:v>
                </c:pt>
                <c:pt idx="632">
                  <c:v>83.25</c:v>
                </c:pt>
                <c:pt idx="633">
                  <c:v>83.35</c:v>
                </c:pt>
                <c:pt idx="634">
                  <c:v>82.95</c:v>
                </c:pt>
                <c:pt idx="635">
                  <c:v>83</c:v>
                </c:pt>
                <c:pt idx="636">
                  <c:v>83.6</c:v>
                </c:pt>
                <c:pt idx="637">
                  <c:v>84.5</c:v>
                </c:pt>
                <c:pt idx="638">
                  <c:v>84.2</c:v>
                </c:pt>
                <c:pt idx="639">
                  <c:v>83.85</c:v>
                </c:pt>
                <c:pt idx="640">
                  <c:v>83.4</c:v>
                </c:pt>
                <c:pt idx="641">
                  <c:v>83.2</c:v>
                </c:pt>
                <c:pt idx="642">
                  <c:v>82.85</c:v>
                </c:pt>
                <c:pt idx="643">
                  <c:v>83.3</c:v>
                </c:pt>
                <c:pt idx="644">
                  <c:v>84.75</c:v>
                </c:pt>
                <c:pt idx="645">
                  <c:v>83.9</c:v>
                </c:pt>
                <c:pt idx="646">
                  <c:v>83.7</c:v>
                </c:pt>
                <c:pt idx="647">
                  <c:v>83.4</c:v>
                </c:pt>
                <c:pt idx="648">
                  <c:v>83.1</c:v>
                </c:pt>
                <c:pt idx="649">
                  <c:v>83</c:v>
                </c:pt>
                <c:pt idx="650">
                  <c:v>83.15</c:v>
                </c:pt>
                <c:pt idx="651">
                  <c:v>82.7</c:v>
                </c:pt>
                <c:pt idx="652">
                  <c:v>83</c:v>
                </c:pt>
                <c:pt idx="653">
                  <c:v>82.5</c:v>
                </c:pt>
                <c:pt idx="654">
                  <c:v>82.45</c:v>
                </c:pt>
                <c:pt idx="655">
                  <c:v>82.35</c:v>
                </c:pt>
                <c:pt idx="656">
                  <c:v>82.65</c:v>
                </c:pt>
                <c:pt idx="657">
                  <c:v>82.15</c:v>
                </c:pt>
                <c:pt idx="658">
                  <c:v>82.55</c:v>
                </c:pt>
                <c:pt idx="659">
                  <c:v>82.25</c:v>
                </c:pt>
                <c:pt idx="660">
                  <c:v>82.05</c:v>
                </c:pt>
                <c:pt idx="661">
                  <c:v>81.8</c:v>
                </c:pt>
                <c:pt idx="662">
                  <c:v>82.45</c:v>
                </c:pt>
                <c:pt idx="663">
                  <c:v>81.95</c:v>
                </c:pt>
                <c:pt idx="664">
                  <c:v>82.7</c:v>
                </c:pt>
                <c:pt idx="665">
                  <c:v>82.55</c:v>
                </c:pt>
                <c:pt idx="666">
                  <c:v>82.65</c:v>
                </c:pt>
                <c:pt idx="667">
                  <c:v>82.1</c:v>
                </c:pt>
                <c:pt idx="668">
                  <c:v>82</c:v>
                </c:pt>
                <c:pt idx="669">
                  <c:v>82.15</c:v>
                </c:pt>
                <c:pt idx="670">
                  <c:v>82</c:v>
                </c:pt>
                <c:pt idx="671">
                  <c:v>84.25</c:v>
                </c:pt>
                <c:pt idx="672">
                  <c:v>82.6</c:v>
                </c:pt>
                <c:pt idx="673">
                  <c:v>83.5</c:v>
                </c:pt>
                <c:pt idx="674">
                  <c:v>82.65</c:v>
                </c:pt>
                <c:pt idx="675">
                  <c:v>82.9</c:v>
                </c:pt>
                <c:pt idx="676">
                  <c:v>82.35</c:v>
                </c:pt>
                <c:pt idx="677">
                  <c:v>82.85</c:v>
                </c:pt>
                <c:pt idx="678">
                  <c:v>82.95</c:v>
                </c:pt>
                <c:pt idx="679">
                  <c:v>83.1</c:v>
                </c:pt>
                <c:pt idx="680">
                  <c:v>82.1</c:v>
                </c:pt>
                <c:pt idx="681">
                  <c:v>82.95</c:v>
                </c:pt>
                <c:pt idx="682">
                  <c:v>81.95</c:v>
                </c:pt>
                <c:pt idx="683">
                  <c:v>82</c:v>
                </c:pt>
                <c:pt idx="684">
                  <c:v>82.45</c:v>
                </c:pt>
                <c:pt idx="685">
                  <c:v>82.3</c:v>
                </c:pt>
                <c:pt idx="686">
                  <c:v>81.849999999999994</c:v>
                </c:pt>
                <c:pt idx="687">
                  <c:v>82.65</c:v>
                </c:pt>
                <c:pt idx="688">
                  <c:v>82.2</c:v>
                </c:pt>
                <c:pt idx="689">
                  <c:v>81.8</c:v>
                </c:pt>
                <c:pt idx="690">
                  <c:v>81.3</c:v>
                </c:pt>
                <c:pt idx="691">
                  <c:v>82.3</c:v>
                </c:pt>
                <c:pt idx="692">
                  <c:v>81.8</c:v>
                </c:pt>
                <c:pt idx="693">
                  <c:v>81.099999999999994</c:v>
                </c:pt>
                <c:pt idx="694">
                  <c:v>81.05</c:v>
                </c:pt>
                <c:pt idx="695">
                  <c:v>81.05</c:v>
                </c:pt>
                <c:pt idx="696">
                  <c:v>81.400000000000006</c:v>
                </c:pt>
                <c:pt idx="697">
                  <c:v>81</c:v>
                </c:pt>
                <c:pt idx="698">
                  <c:v>80.95</c:v>
                </c:pt>
                <c:pt idx="699">
                  <c:v>82.05</c:v>
                </c:pt>
                <c:pt idx="700">
                  <c:v>81.95</c:v>
                </c:pt>
                <c:pt idx="701">
                  <c:v>81.75</c:v>
                </c:pt>
                <c:pt idx="702">
                  <c:v>80.900000000000006</c:v>
                </c:pt>
                <c:pt idx="703">
                  <c:v>81.2</c:v>
                </c:pt>
                <c:pt idx="704">
                  <c:v>81.400000000000006</c:v>
                </c:pt>
                <c:pt idx="705">
                  <c:v>81.900000000000006</c:v>
                </c:pt>
                <c:pt idx="706">
                  <c:v>82.1</c:v>
                </c:pt>
                <c:pt idx="707">
                  <c:v>83.15</c:v>
                </c:pt>
                <c:pt idx="708">
                  <c:v>82.05</c:v>
                </c:pt>
                <c:pt idx="709">
                  <c:v>80.95</c:v>
                </c:pt>
                <c:pt idx="710">
                  <c:v>81.7</c:v>
                </c:pt>
                <c:pt idx="711">
                  <c:v>81.55</c:v>
                </c:pt>
                <c:pt idx="712">
                  <c:v>83</c:v>
                </c:pt>
                <c:pt idx="713">
                  <c:v>82.9</c:v>
                </c:pt>
                <c:pt idx="714">
                  <c:v>82.7</c:v>
                </c:pt>
                <c:pt idx="715">
                  <c:v>82.05</c:v>
                </c:pt>
                <c:pt idx="716">
                  <c:v>82.55</c:v>
                </c:pt>
                <c:pt idx="717">
                  <c:v>82.75</c:v>
                </c:pt>
                <c:pt idx="718">
                  <c:v>82.25</c:v>
                </c:pt>
                <c:pt idx="719">
                  <c:v>81.7</c:v>
                </c:pt>
                <c:pt idx="720">
                  <c:v>82.15</c:v>
                </c:pt>
                <c:pt idx="721">
                  <c:v>82.55</c:v>
                </c:pt>
                <c:pt idx="722">
                  <c:v>82.75</c:v>
                </c:pt>
                <c:pt idx="723">
                  <c:v>82.15</c:v>
                </c:pt>
                <c:pt idx="724">
                  <c:v>81.849999999999994</c:v>
                </c:pt>
                <c:pt idx="725">
                  <c:v>82.55</c:v>
                </c:pt>
                <c:pt idx="726">
                  <c:v>82.25</c:v>
                </c:pt>
                <c:pt idx="727">
                  <c:v>82.4</c:v>
                </c:pt>
                <c:pt idx="728">
                  <c:v>82.95</c:v>
                </c:pt>
                <c:pt idx="729">
                  <c:v>82.9</c:v>
                </c:pt>
                <c:pt idx="730">
                  <c:v>82.45</c:v>
                </c:pt>
                <c:pt idx="731">
                  <c:v>84.2</c:v>
                </c:pt>
                <c:pt idx="732">
                  <c:v>83.9</c:v>
                </c:pt>
                <c:pt idx="733">
                  <c:v>83.65</c:v>
                </c:pt>
                <c:pt idx="734">
                  <c:v>84.4</c:v>
                </c:pt>
                <c:pt idx="735">
                  <c:v>83.55</c:v>
                </c:pt>
                <c:pt idx="736">
                  <c:v>83.35</c:v>
                </c:pt>
                <c:pt idx="737">
                  <c:v>82.65</c:v>
                </c:pt>
                <c:pt idx="738">
                  <c:v>82.9</c:v>
                </c:pt>
                <c:pt idx="739">
                  <c:v>83.25</c:v>
                </c:pt>
                <c:pt idx="740">
                  <c:v>83.7</c:v>
                </c:pt>
                <c:pt idx="741">
                  <c:v>84.05</c:v>
                </c:pt>
                <c:pt idx="742">
                  <c:v>82.95</c:v>
                </c:pt>
                <c:pt idx="743">
                  <c:v>82.75</c:v>
                </c:pt>
                <c:pt idx="744">
                  <c:v>83.1</c:v>
                </c:pt>
                <c:pt idx="745">
                  <c:v>84.2</c:v>
                </c:pt>
                <c:pt idx="746">
                  <c:v>83.6</c:v>
                </c:pt>
                <c:pt idx="747">
                  <c:v>84.35</c:v>
                </c:pt>
                <c:pt idx="748">
                  <c:v>83.35</c:v>
                </c:pt>
                <c:pt idx="749">
                  <c:v>82.95</c:v>
                </c:pt>
                <c:pt idx="750">
                  <c:v>82.75</c:v>
                </c:pt>
                <c:pt idx="751">
                  <c:v>83.1</c:v>
                </c:pt>
                <c:pt idx="752">
                  <c:v>84.1</c:v>
                </c:pt>
                <c:pt idx="753">
                  <c:v>83.6</c:v>
                </c:pt>
                <c:pt idx="754">
                  <c:v>83.35</c:v>
                </c:pt>
                <c:pt idx="755">
                  <c:v>83.15</c:v>
                </c:pt>
                <c:pt idx="756">
                  <c:v>83.45</c:v>
                </c:pt>
                <c:pt idx="757">
                  <c:v>83.85</c:v>
                </c:pt>
                <c:pt idx="758">
                  <c:v>85</c:v>
                </c:pt>
                <c:pt idx="759">
                  <c:v>83.2</c:v>
                </c:pt>
                <c:pt idx="760">
                  <c:v>83.2</c:v>
                </c:pt>
                <c:pt idx="761">
                  <c:v>83.7</c:v>
                </c:pt>
                <c:pt idx="762">
                  <c:v>83.85</c:v>
                </c:pt>
                <c:pt idx="763">
                  <c:v>83.8</c:v>
                </c:pt>
                <c:pt idx="764">
                  <c:v>83.9</c:v>
                </c:pt>
                <c:pt idx="765">
                  <c:v>83.4</c:v>
                </c:pt>
                <c:pt idx="766">
                  <c:v>83.95</c:v>
                </c:pt>
                <c:pt idx="767">
                  <c:v>84.3</c:v>
                </c:pt>
                <c:pt idx="768">
                  <c:v>83.65</c:v>
                </c:pt>
                <c:pt idx="769">
                  <c:v>83.8</c:v>
                </c:pt>
                <c:pt idx="770">
                  <c:v>83.95</c:v>
                </c:pt>
                <c:pt idx="771">
                  <c:v>86.2</c:v>
                </c:pt>
                <c:pt idx="772">
                  <c:v>85.7</c:v>
                </c:pt>
                <c:pt idx="773">
                  <c:v>84.7</c:v>
                </c:pt>
                <c:pt idx="774">
                  <c:v>84.6</c:v>
                </c:pt>
                <c:pt idx="775">
                  <c:v>84.7</c:v>
                </c:pt>
                <c:pt idx="776">
                  <c:v>84.75</c:v>
                </c:pt>
                <c:pt idx="777">
                  <c:v>84.1</c:v>
                </c:pt>
                <c:pt idx="778">
                  <c:v>83.95</c:v>
                </c:pt>
                <c:pt idx="779">
                  <c:v>84.1</c:v>
                </c:pt>
                <c:pt idx="780">
                  <c:v>84.85</c:v>
                </c:pt>
                <c:pt idx="781">
                  <c:v>84.95</c:v>
                </c:pt>
                <c:pt idx="782">
                  <c:v>84.15</c:v>
                </c:pt>
                <c:pt idx="783">
                  <c:v>83.9</c:v>
                </c:pt>
                <c:pt idx="784">
                  <c:v>84.3</c:v>
                </c:pt>
                <c:pt idx="785">
                  <c:v>84.45</c:v>
                </c:pt>
                <c:pt idx="786">
                  <c:v>84.55</c:v>
                </c:pt>
                <c:pt idx="787">
                  <c:v>85.25</c:v>
                </c:pt>
                <c:pt idx="788">
                  <c:v>85</c:v>
                </c:pt>
                <c:pt idx="789">
                  <c:v>84.7</c:v>
                </c:pt>
                <c:pt idx="790">
                  <c:v>84.8</c:v>
                </c:pt>
                <c:pt idx="791">
                  <c:v>84.35</c:v>
                </c:pt>
                <c:pt idx="792">
                  <c:v>84.1</c:v>
                </c:pt>
                <c:pt idx="793">
                  <c:v>83.75</c:v>
                </c:pt>
                <c:pt idx="794">
                  <c:v>83.5</c:v>
                </c:pt>
                <c:pt idx="795">
                  <c:v>85.45</c:v>
                </c:pt>
                <c:pt idx="796">
                  <c:v>85.85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BD-4501-9F04-9A6CA209F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872703"/>
        <c:axId val="166719727"/>
      </c:scatterChart>
      <c:scatterChart>
        <c:scatterStyle val="lineMarker"/>
        <c:varyColors val="0"/>
        <c:ser>
          <c:idx val="9"/>
          <c:order val="1"/>
          <c:tx>
            <c:strRef>
              <c:f>Pesos_R!$N$1</c:f>
              <c:strCache>
                <c:ptCount val="1"/>
                <c:pt idx="0">
                  <c:v> Grasa (Kg)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Pesos_R!$D$2:$D$798</c:f>
              <c:numCache>
                <c:formatCode>m/d/yyyy</c:formatCode>
                <c:ptCount val="797"/>
                <c:pt idx="0">
                  <c:v>45110</c:v>
                </c:pt>
                <c:pt idx="1">
                  <c:v>45111</c:v>
                </c:pt>
                <c:pt idx="2">
                  <c:v>45112</c:v>
                </c:pt>
                <c:pt idx="3">
                  <c:v>45113</c:v>
                </c:pt>
                <c:pt idx="4">
                  <c:v>45114</c:v>
                </c:pt>
                <c:pt idx="5">
                  <c:v>45115</c:v>
                </c:pt>
                <c:pt idx="6">
                  <c:v>45116</c:v>
                </c:pt>
                <c:pt idx="7">
                  <c:v>45117</c:v>
                </c:pt>
                <c:pt idx="8">
                  <c:v>45118</c:v>
                </c:pt>
                <c:pt idx="9">
                  <c:v>45119</c:v>
                </c:pt>
                <c:pt idx="10">
                  <c:v>45120</c:v>
                </c:pt>
                <c:pt idx="11">
                  <c:v>45121</c:v>
                </c:pt>
                <c:pt idx="12">
                  <c:v>45122</c:v>
                </c:pt>
                <c:pt idx="13">
                  <c:v>45123</c:v>
                </c:pt>
                <c:pt idx="14">
                  <c:v>45124</c:v>
                </c:pt>
                <c:pt idx="15">
                  <c:v>45125</c:v>
                </c:pt>
                <c:pt idx="16">
                  <c:v>45126</c:v>
                </c:pt>
                <c:pt idx="17">
                  <c:v>45134</c:v>
                </c:pt>
                <c:pt idx="18">
                  <c:v>45135</c:v>
                </c:pt>
                <c:pt idx="19">
                  <c:v>45136</c:v>
                </c:pt>
                <c:pt idx="20">
                  <c:v>45137</c:v>
                </c:pt>
                <c:pt idx="21">
                  <c:v>45138</c:v>
                </c:pt>
                <c:pt idx="22">
                  <c:v>45139</c:v>
                </c:pt>
                <c:pt idx="23">
                  <c:v>45140</c:v>
                </c:pt>
                <c:pt idx="24">
                  <c:v>45141</c:v>
                </c:pt>
                <c:pt idx="25">
                  <c:v>45142</c:v>
                </c:pt>
                <c:pt idx="26">
                  <c:v>45143</c:v>
                </c:pt>
                <c:pt idx="27">
                  <c:v>45144</c:v>
                </c:pt>
                <c:pt idx="28">
                  <c:v>45145</c:v>
                </c:pt>
                <c:pt idx="29">
                  <c:v>45153</c:v>
                </c:pt>
                <c:pt idx="30">
                  <c:v>45154</c:v>
                </c:pt>
                <c:pt idx="31">
                  <c:v>45155</c:v>
                </c:pt>
                <c:pt idx="32">
                  <c:v>45156</c:v>
                </c:pt>
                <c:pt idx="33">
                  <c:v>45157</c:v>
                </c:pt>
                <c:pt idx="34">
                  <c:v>45158</c:v>
                </c:pt>
                <c:pt idx="35">
                  <c:v>45159</c:v>
                </c:pt>
                <c:pt idx="36">
                  <c:v>45160</c:v>
                </c:pt>
                <c:pt idx="37">
                  <c:v>45161</c:v>
                </c:pt>
                <c:pt idx="38">
                  <c:v>45163</c:v>
                </c:pt>
                <c:pt idx="39">
                  <c:v>45164</c:v>
                </c:pt>
                <c:pt idx="40">
                  <c:v>45165</c:v>
                </c:pt>
                <c:pt idx="41">
                  <c:v>45166</c:v>
                </c:pt>
                <c:pt idx="42">
                  <c:v>45167</c:v>
                </c:pt>
                <c:pt idx="43">
                  <c:v>45168</c:v>
                </c:pt>
                <c:pt idx="44">
                  <c:v>45169</c:v>
                </c:pt>
                <c:pt idx="45">
                  <c:v>45170</c:v>
                </c:pt>
                <c:pt idx="46">
                  <c:v>45171</c:v>
                </c:pt>
                <c:pt idx="47">
                  <c:v>45172</c:v>
                </c:pt>
                <c:pt idx="48">
                  <c:v>45173</c:v>
                </c:pt>
                <c:pt idx="49">
                  <c:v>45174</c:v>
                </c:pt>
                <c:pt idx="50">
                  <c:v>45175</c:v>
                </c:pt>
                <c:pt idx="51">
                  <c:v>45176</c:v>
                </c:pt>
                <c:pt idx="52">
                  <c:v>45177</c:v>
                </c:pt>
                <c:pt idx="53">
                  <c:v>45178</c:v>
                </c:pt>
                <c:pt idx="54">
                  <c:v>45179</c:v>
                </c:pt>
                <c:pt idx="55">
                  <c:v>45180</c:v>
                </c:pt>
                <c:pt idx="56">
                  <c:v>45181</c:v>
                </c:pt>
                <c:pt idx="57">
                  <c:v>45182</c:v>
                </c:pt>
                <c:pt idx="58">
                  <c:v>45183</c:v>
                </c:pt>
                <c:pt idx="59">
                  <c:v>45184</c:v>
                </c:pt>
                <c:pt idx="60">
                  <c:v>45185</c:v>
                </c:pt>
                <c:pt idx="61">
                  <c:v>45186</c:v>
                </c:pt>
                <c:pt idx="62">
                  <c:v>45187</c:v>
                </c:pt>
                <c:pt idx="63">
                  <c:v>45188</c:v>
                </c:pt>
                <c:pt idx="64">
                  <c:v>45189</c:v>
                </c:pt>
                <c:pt idx="65">
                  <c:v>45190</c:v>
                </c:pt>
                <c:pt idx="66">
                  <c:v>45193</c:v>
                </c:pt>
                <c:pt idx="67">
                  <c:v>45194</c:v>
                </c:pt>
                <c:pt idx="68">
                  <c:v>45195</c:v>
                </c:pt>
                <c:pt idx="69">
                  <c:v>45196</c:v>
                </c:pt>
                <c:pt idx="70">
                  <c:v>45197</c:v>
                </c:pt>
                <c:pt idx="71">
                  <c:v>45198</c:v>
                </c:pt>
                <c:pt idx="72">
                  <c:v>45199</c:v>
                </c:pt>
                <c:pt idx="73">
                  <c:v>45200</c:v>
                </c:pt>
                <c:pt idx="74">
                  <c:v>45201</c:v>
                </c:pt>
                <c:pt idx="75">
                  <c:v>45202</c:v>
                </c:pt>
                <c:pt idx="76">
                  <c:v>45203</c:v>
                </c:pt>
                <c:pt idx="77">
                  <c:v>45204</c:v>
                </c:pt>
                <c:pt idx="78">
                  <c:v>45205</c:v>
                </c:pt>
                <c:pt idx="79">
                  <c:v>45206</c:v>
                </c:pt>
                <c:pt idx="80">
                  <c:v>45207</c:v>
                </c:pt>
                <c:pt idx="81">
                  <c:v>45208</c:v>
                </c:pt>
                <c:pt idx="82">
                  <c:v>45209</c:v>
                </c:pt>
                <c:pt idx="83">
                  <c:v>45210</c:v>
                </c:pt>
                <c:pt idx="84">
                  <c:v>45211</c:v>
                </c:pt>
                <c:pt idx="85">
                  <c:v>45212</c:v>
                </c:pt>
                <c:pt idx="86">
                  <c:v>45213</c:v>
                </c:pt>
                <c:pt idx="87">
                  <c:v>45214</c:v>
                </c:pt>
                <c:pt idx="88">
                  <c:v>45215</c:v>
                </c:pt>
                <c:pt idx="89">
                  <c:v>45216</c:v>
                </c:pt>
                <c:pt idx="90">
                  <c:v>45219</c:v>
                </c:pt>
                <c:pt idx="91">
                  <c:v>45220</c:v>
                </c:pt>
                <c:pt idx="92">
                  <c:v>45221</c:v>
                </c:pt>
                <c:pt idx="93">
                  <c:v>45222</c:v>
                </c:pt>
                <c:pt idx="94">
                  <c:v>45223</c:v>
                </c:pt>
                <c:pt idx="95">
                  <c:v>45224</c:v>
                </c:pt>
                <c:pt idx="96">
                  <c:v>45226</c:v>
                </c:pt>
                <c:pt idx="97">
                  <c:v>45227</c:v>
                </c:pt>
                <c:pt idx="98">
                  <c:v>45228</c:v>
                </c:pt>
                <c:pt idx="99">
                  <c:v>45229</c:v>
                </c:pt>
                <c:pt idx="100">
                  <c:v>45230</c:v>
                </c:pt>
                <c:pt idx="101">
                  <c:v>45231</c:v>
                </c:pt>
                <c:pt idx="102">
                  <c:v>45232</c:v>
                </c:pt>
                <c:pt idx="103">
                  <c:v>45233</c:v>
                </c:pt>
                <c:pt idx="104">
                  <c:v>45234</c:v>
                </c:pt>
                <c:pt idx="105">
                  <c:v>45235</c:v>
                </c:pt>
                <c:pt idx="106">
                  <c:v>45241</c:v>
                </c:pt>
                <c:pt idx="107">
                  <c:v>45242</c:v>
                </c:pt>
                <c:pt idx="108">
                  <c:v>45243</c:v>
                </c:pt>
                <c:pt idx="109">
                  <c:v>45244</c:v>
                </c:pt>
                <c:pt idx="110">
                  <c:v>45245</c:v>
                </c:pt>
                <c:pt idx="111">
                  <c:v>45246</c:v>
                </c:pt>
                <c:pt idx="112">
                  <c:v>45248</c:v>
                </c:pt>
                <c:pt idx="113">
                  <c:v>45249</c:v>
                </c:pt>
                <c:pt idx="114">
                  <c:v>45250</c:v>
                </c:pt>
                <c:pt idx="115">
                  <c:v>45251</c:v>
                </c:pt>
                <c:pt idx="116">
                  <c:v>45252</c:v>
                </c:pt>
                <c:pt idx="117">
                  <c:v>45253</c:v>
                </c:pt>
                <c:pt idx="118">
                  <c:v>45254</c:v>
                </c:pt>
                <c:pt idx="119">
                  <c:v>45255</c:v>
                </c:pt>
                <c:pt idx="120">
                  <c:v>45256</c:v>
                </c:pt>
                <c:pt idx="121">
                  <c:v>45257</c:v>
                </c:pt>
                <c:pt idx="122">
                  <c:v>45258</c:v>
                </c:pt>
                <c:pt idx="123">
                  <c:v>45259</c:v>
                </c:pt>
                <c:pt idx="124">
                  <c:v>45260</c:v>
                </c:pt>
                <c:pt idx="125">
                  <c:v>45261</c:v>
                </c:pt>
                <c:pt idx="126">
                  <c:v>45262</c:v>
                </c:pt>
                <c:pt idx="127">
                  <c:v>45263</c:v>
                </c:pt>
                <c:pt idx="128">
                  <c:v>45264</c:v>
                </c:pt>
                <c:pt idx="129">
                  <c:v>45265</c:v>
                </c:pt>
                <c:pt idx="130">
                  <c:v>45266</c:v>
                </c:pt>
                <c:pt idx="131">
                  <c:v>45267</c:v>
                </c:pt>
                <c:pt idx="132">
                  <c:v>45268</c:v>
                </c:pt>
                <c:pt idx="133">
                  <c:v>45269</c:v>
                </c:pt>
                <c:pt idx="134">
                  <c:v>45270</c:v>
                </c:pt>
                <c:pt idx="135">
                  <c:v>45271</c:v>
                </c:pt>
                <c:pt idx="136">
                  <c:v>45272</c:v>
                </c:pt>
                <c:pt idx="137">
                  <c:v>45273</c:v>
                </c:pt>
                <c:pt idx="138">
                  <c:v>45274</c:v>
                </c:pt>
                <c:pt idx="139">
                  <c:v>45275</c:v>
                </c:pt>
                <c:pt idx="140">
                  <c:v>45276</c:v>
                </c:pt>
                <c:pt idx="141">
                  <c:v>45277</c:v>
                </c:pt>
                <c:pt idx="142">
                  <c:v>45278</c:v>
                </c:pt>
                <c:pt idx="143">
                  <c:v>45279</c:v>
                </c:pt>
                <c:pt idx="144">
                  <c:v>45280</c:v>
                </c:pt>
                <c:pt idx="145">
                  <c:v>45281</c:v>
                </c:pt>
                <c:pt idx="146">
                  <c:v>45282</c:v>
                </c:pt>
                <c:pt idx="147">
                  <c:v>45283</c:v>
                </c:pt>
                <c:pt idx="148">
                  <c:v>45284</c:v>
                </c:pt>
                <c:pt idx="149">
                  <c:v>45285</c:v>
                </c:pt>
                <c:pt idx="150">
                  <c:v>45286</c:v>
                </c:pt>
                <c:pt idx="151">
                  <c:v>45291</c:v>
                </c:pt>
                <c:pt idx="152">
                  <c:v>45292</c:v>
                </c:pt>
                <c:pt idx="153">
                  <c:v>45293</c:v>
                </c:pt>
                <c:pt idx="154">
                  <c:v>45294</c:v>
                </c:pt>
                <c:pt idx="155">
                  <c:v>45295</c:v>
                </c:pt>
                <c:pt idx="156">
                  <c:v>45296</c:v>
                </c:pt>
                <c:pt idx="157">
                  <c:v>45297</c:v>
                </c:pt>
                <c:pt idx="158">
                  <c:v>45298</c:v>
                </c:pt>
                <c:pt idx="159">
                  <c:v>45299</c:v>
                </c:pt>
                <c:pt idx="160">
                  <c:v>45300</c:v>
                </c:pt>
                <c:pt idx="161">
                  <c:v>45301</c:v>
                </c:pt>
                <c:pt idx="162">
                  <c:v>45302</c:v>
                </c:pt>
                <c:pt idx="163">
                  <c:v>45303</c:v>
                </c:pt>
                <c:pt idx="164">
                  <c:v>45304</c:v>
                </c:pt>
                <c:pt idx="165">
                  <c:v>45305</c:v>
                </c:pt>
                <c:pt idx="166">
                  <c:v>45306</c:v>
                </c:pt>
                <c:pt idx="167">
                  <c:v>45307</c:v>
                </c:pt>
                <c:pt idx="168">
                  <c:v>45308</c:v>
                </c:pt>
                <c:pt idx="169">
                  <c:v>45309</c:v>
                </c:pt>
                <c:pt idx="170">
                  <c:v>45310</c:v>
                </c:pt>
                <c:pt idx="171">
                  <c:v>45312</c:v>
                </c:pt>
                <c:pt idx="172">
                  <c:v>45313</c:v>
                </c:pt>
                <c:pt idx="173">
                  <c:v>45314</c:v>
                </c:pt>
                <c:pt idx="174">
                  <c:v>45315</c:v>
                </c:pt>
                <c:pt idx="175">
                  <c:v>45316</c:v>
                </c:pt>
                <c:pt idx="176">
                  <c:v>45317</c:v>
                </c:pt>
                <c:pt idx="177">
                  <c:v>45318</c:v>
                </c:pt>
                <c:pt idx="178">
                  <c:v>45319</c:v>
                </c:pt>
                <c:pt idx="179">
                  <c:v>45320</c:v>
                </c:pt>
                <c:pt idx="180">
                  <c:v>45321</c:v>
                </c:pt>
                <c:pt idx="181">
                  <c:v>45322</c:v>
                </c:pt>
                <c:pt idx="182">
                  <c:v>45323</c:v>
                </c:pt>
                <c:pt idx="183">
                  <c:v>45324</c:v>
                </c:pt>
                <c:pt idx="184">
                  <c:v>45325</c:v>
                </c:pt>
                <c:pt idx="185">
                  <c:v>45326</c:v>
                </c:pt>
                <c:pt idx="186">
                  <c:v>45327</c:v>
                </c:pt>
                <c:pt idx="187">
                  <c:v>45328</c:v>
                </c:pt>
                <c:pt idx="188">
                  <c:v>45329</c:v>
                </c:pt>
                <c:pt idx="189">
                  <c:v>45330</c:v>
                </c:pt>
                <c:pt idx="190">
                  <c:v>45331</c:v>
                </c:pt>
                <c:pt idx="191">
                  <c:v>45332</c:v>
                </c:pt>
                <c:pt idx="192">
                  <c:v>45333</c:v>
                </c:pt>
                <c:pt idx="193">
                  <c:v>45334</c:v>
                </c:pt>
                <c:pt idx="194">
                  <c:v>45335</c:v>
                </c:pt>
                <c:pt idx="195">
                  <c:v>45336</c:v>
                </c:pt>
                <c:pt idx="196">
                  <c:v>45339</c:v>
                </c:pt>
                <c:pt idx="197">
                  <c:v>45340</c:v>
                </c:pt>
                <c:pt idx="198">
                  <c:v>45341</c:v>
                </c:pt>
                <c:pt idx="199">
                  <c:v>45342</c:v>
                </c:pt>
                <c:pt idx="200">
                  <c:v>45343</c:v>
                </c:pt>
                <c:pt idx="201">
                  <c:v>45344</c:v>
                </c:pt>
                <c:pt idx="202">
                  <c:v>45345</c:v>
                </c:pt>
                <c:pt idx="203">
                  <c:v>45346</c:v>
                </c:pt>
                <c:pt idx="204">
                  <c:v>45347</c:v>
                </c:pt>
                <c:pt idx="205">
                  <c:v>45348</c:v>
                </c:pt>
                <c:pt idx="206">
                  <c:v>45349</c:v>
                </c:pt>
                <c:pt idx="207">
                  <c:v>45350</c:v>
                </c:pt>
                <c:pt idx="208">
                  <c:v>45351</c:v>
                </c:pt>
                <c:pt idx="209">
                  <c:v>45352</c:v>
                </c:pt>
                <c:pt idx="210">
                  <c:v>45353</c:v>
                </c:pt>
                <c:pt idx="211">
                  <c:v>45354</c:v>
                </c:pt>
                <c:pt idx="212">
                  <c:v>45355</c:v>
                </c:pt>
                <c:pt idx="213">
                  <c:v>45356</c:v>
                </c:pt>
                <c:pt idx="214">
                  <c:v>45357</c:v>
                </c:pt>
                <c:pt idx="215">
                  <c:v>45358</c:v>
                </c:pt>
                <c:pt idx="216">
                  <c:v>45359</c:v>
                </c:pt>
                <c:pt idx="217">
                  <c:v>45360</c:v>
                </c:pt>
                <c:pt idx="218">
                  <c:v>45361</c:v>
                </c:pt>
                <c:pt idx="219">
                  <c:v>45362</c:v>
                </c:pt>
                <c:pt idx="220">
                  <c:v>45366</c:v>
                </c:pt>
                <c:pt idx="221">
                  <c:v>45367</c:v>
                </c:pt>
                <c:pt idx="222">
                  <c:v>45368</c:v>
                </c:pt>
                <c:pt idx="223">
                  <c:v>45369</c:v>
                </c:pt>
                <c:pt idx="224">
                  <c:v>45370</c:v>
                </c:pt>
                <c:pt idx="225">
                  <c:v>45371</c:v>
                </c:pt>
                <c:pt idx="226">
                  <c:v>45372</c:v>
                </c:pt>
                <c:pt idx="227">
                  <c:v>45373</c:v>
                </c:pt>
                <c:pt idx="228">
                  <c:v>45374</c:v>
                </c:pt>
                <c:pt idx="229">
                  <c:v>45381</c:v>
                </c:pt>
                <c:pt idx="230">
                  <c:v>45383</c:v>
                </c:pt>
                <c:pt idx="231">
                  <c:v>45384</c:v>
                </c:pt>
                <c:pt idx="232">
                  <c:v>45385</c:v>
                </c:pt>
                <c:pt idx="233">
                  <c:v>45386</c:v>
                </c:pt>
                <c:pt idx="234">
                  <c:v>45387</c:v>
                </c:pt>
                <c:pt idx="235">
                  <c:v>45388</c:v>
                </c:pt>
                <c:pt idx="236">
                  <c:v>45389</c:v>
                </c:pt>
                <c:pt idx="237">
                  <c:v>45392</c:v>
                </c:pt>
                <c:pt idx="238">
                  <c:v>45393</c:v>
                </c:pt>
                <c:pt idx="239">
                  <c:v>45394</c:v>
                </c:pt>
                <c:pt idx="240">
                  <c:v>45395</c:v>
                </c:pt>
                <c:pt idx="241">
                  <c:v>45396</c:v>
                </c:pt>
                <c:pt idx="242">
                  <c:v>45397</c:v>
                </c:pt>
                <c:pt idx="243">
                  <c:v>45398</c:v>
                </c:pt>
                <c:pt idx="244">
                  <c:v>45399</c:v>
                </c:pt>
                <c:pt idx="245">
                  <c:v>45400</c:v>
                </c:pt>
                <c:pt idx="246">
                  <c:v>45401</c:v>
                </c:pt>
                <c:pt idx="247">
                  <c:v>45402</c:v>
                </c:pt>
                <c:pt idx="248">
                  <c:v>45404</c:v>
                </c:pt>
                <c:pt idx="249">
                  <c:v>45405</c:v>
                </c:pt>
                <c:pt idx="250">
                  <c:v>45406</c:v>
                </c:pt>
                <c:pt idx="251">
                  <c:v>45407</c:v>
                </c:pt>
                <c:pt idx="252">
                  <c:v>45408</c:v>
                </c:pt>
                <c:pt idx="253">
                  <c:v>45409</c:v>
                </c:pt>
                <c:pt idx="254">
                  <c:v>45410</c:v>
                </c:pt>
                <c:pt idx="255">
                  <c:v>45411</c:v>
                </c:pt>
                <c:pt idx="256">
                  <c:v>45412</c:v>
                </c:pt>
                <c:pt idx="257">
                  <c:v>45413</c:v>
                </c:pt>
                <c:pt idx="258">
                  <c:v>45414</c:v>
                </c:pt>
                <c:pt idx="259">
                  <c:v>45415</c:v>
                </c:pt>
                <c:pt idx="260">
                  <c:v>45416</c:v>
                </c:pt>
                <c:pt idx="261">
                  <c:v>45417</c:v>
                </c:pt>
                <c:pt idx="262">
                  <c:v>45418</c:v>
                </c:pt>
                <c:pt idx="263">
                  <c:v>45419</c:v>
                </c:pt>
                <c:pt idx="264">
                  <c:v>45420</c:v>
                </c:pt>
                <c:pt idx="265">
                  <c:v>45421</c:v>
                </c:pt>
                <c:pt idx="266">
                  <c:v>45422</c:v>
                </c:pt>
                <c:pt idx="267">
                  <c:v>45423</c:v>
                </c:pt>
                <c:pt idx="268">
                  <c:v>45424</c:v>
                </c:pt>
                <c:pt idx="269">
                  <c:v>45425</c:v>
                </c:pt>
                <c:pt idx="270">
                  <c:v>45426</c:v>
                </c:pt>
                <c:pt idx="271">
                  <c:v>45427</c:v>
                </c:pt>
                <c:pt idx="272">
                  <c:v>45428</c:v>
                </c:pt>
                <c:pt idx="273">
                  <c:v>45429</c:v>
                </c:pt>
                <c:pt idx="274">
                  <c:v>45431</c:v>
                </c:pt>
                <c:pt idx="275">
                  <c:v>45432</c:v>
                </c:pt>
                <c:pt idx="276">
                  <c:v>45433</c:v>
                </c:pt>
                <c:pt idx="277">
                  <c:v>45434</c:v>
                </c:pt>
                <c:pt idx="278">
                  <c:v>45437</c:v>
                </c:pt>
                <c:pt idx="279">
                  <c:v>45438</c:v>
                </c:pt>
                <c:pt idx="280">
                  <c:v>45439</c:v>
                </c:pt>
                <c:pt idx="281">
                  <c:v>45440</c:v>
                </c:pt>
                <c:pt idx="282">
                  <c:v>45441</c:v>
                </c:pt>
                <c:pt idx="283">
                  <c:v>45442</c:v>
                </c:pt>
                <c:pt idx="284">
                  <c:v>45443</c:v>
                </c:pt>
                <c:pt idx="285">
                  <c:v>45444</c:v>
                </c:pt>
                <c:pt idx="286">
                  <c:v>45445</c:v>
                </c:pt>
                <c:pt idx="287">
                  <c:v>45446</c:v>
                </c:pt>
                <c:pt idx="288">
                  <c:v>45447</c:v>
                </c:pt>
                <c:pt idx="289">
                  <c:v>45448</c:v>
                </c:pt>
                <c:pt idx="290">
                  <c:v>45449</c:v>
                </c:pt>
                <c:pt idx="291">
                  <c:v>45450</c:v>
                </c:pt>
                <c:pt idx="292">
                  <c:v>45451</c:v>
                </c:pt>
                <c:pt idx="293">
                  <c:v>45452</c:v>
                </c:pt>
                <c:pt idx="294">
                  <c:v>45453</c:v>
                </c:pt>
                <c:pt idx="295">
                  <c:v>45454</c:v>
                </c:pt>
                <c:pt idx="296">
                  <c:v>45455</c:v>
                </c:pt>
                <c:pt idx="297">
                  <c:v>45456</c:v>
                </c:pt>
                <c:pt idx="298">
                  <c:v>45457</c:v>
                </c:pt>
                <c:pt idx="299">
                  <c:v>45458</c:v>
                </c:pt>
                <c:pt idx="300">
                  <c:v>45459</c:v>
                </c:pt>
                <c:pt idx="301">
                  <c:v>45460</c:v>
                </c:pt>
                <c:pt idx="302">
                  <c:v>45461</c:v>
                </c:pt>
                <c:pt idx="303">
                  <c:v>45462</c:v>
                </c:pt>
                <c:pt idx="304">
                  <c:v>45463</c:v>
                </c:pt>
                <c:pt idx="305">
                  <c:v>45464</c:v>
                </c:pt>
                <c:pt idx="306">
                  <c:v>45469</c:v>
                </c:pt>
                <c:pt idx="307">
                  <c:v>45470</c:v>
                </c:pt>
                <c:pt idx="308">
                  <c:v>45471</c:v>
                </c:pt>
                <c:pt idx="309">
                  <c:v>45472</c:v>
                </c:pt>
                <c:pt idx="310">
                  <c:v>45473</c:v>
                </c:pt>
                <c:pt idx="311">
                  <c:v>45474</c:v>
                </c:pt>
                <c:pt idx="312">
                  <c:v>45475</c:v>
                </c:pt>
                <c:pt idx="313">
                  <c:v>45478</c:v>
                </c:pt>
                <c:pt idx="314">
                  <c:v>45479</c:v>
                </c:pt>
                <c:pt idx="315">
                  <c:v>45480</c:v>
                </c:pt>
                <c:pt idx="316">
                  <c:v>45481</c:v>
                </c:pt>
                <c:pt idx="317">
                  <c:v>45482</c:v>
                </c:pt>
                <c:pt idx="318">
                  <c:v>45483</c:v>
                </c:pt>
                <c:pt idx="319">
                  <c:v>45487</c:v>
                </c:pt>
                <c:pt idx="320">
                  <c:v>45488</c:v>
                </c:pt>
                <c:pt idx="321">
                  <c:v>45504</c:v>
                </c:pt>
                <c:pt idx="322">
                  <c:v>45505</c:v>
                </c:pt>
                <c:pt idx="323">
                  <c:v>45506</c:v>
                </c:pt>
                <c:pt idx="324">
                  <c:v>45507</c:v>
                </c:pt>
                <c:pt idx="325">
                  <c:v>45508</c:v>
                </c:pt>
                <c:pt idx="326">
                  <c:v>45509</c:v>
                </c:pt>
                <c:pt idx="327">
                  <c:v>45510</c:v>
                </c:pt>
                <c:pt idx="328">
                  <c:v>45511</c:v>
                </c:pt>
                <c:pt idx="329">
                  <c:v>45512</c:v>
                </c:pt>
                <c:pt idx="330">
                  <c:v>45513</c:v>
                </c:pt>
                <c:pt idx="331">
                  <c:v>45514</c:v>
                </c:pt>
                <c:pt idx="332">
                  <c:v>45515</c:v>
                </c:pt>
                <c:pt idx="333">
                  <c:v>45516</c:v>
                </c:pt>
                <c:pt idx="334">
                  <c:v>45517</c:v>
                </c:pt>
                <c:pt idx="335">
                  <c:v>45518</c:v>
                </c:pt>
                <c:pt idx="336">
                  <c:v>45519</c:v>
                </c:pt>
                <c:pt idx="337">
                  <c:v>45524</c:v>
                </c:pt>
                <c:pt idx="338">
                  <c:v>45525</c:v>
                </c:pt>
                <c:pt idx="339">
                  <c:v>45526</c:v>
                </c:pt>
                <c:pt idx="340">
                  <c:v>45527</c:v>
                </c:pt>
                <c:pt idx="341">
                  <c:v>45528</c:v>
                </c:pt>
                <c:pt idx="342">
                  <c:v>45529</c:v>
                </c:pt>
                <c:pt idx="343">
                  <c:v>45536</c:v>
                </c:pt>
                <c:pt idx="344">
                  <c:v>45537</c:v>
                </c:pt>
                <c:pt idx="345">
                  <c:v>45538</c:v>
                </c:pt>
                <c:pt idx="346">
                  <c:v>45539</c:v>
                </c:pt>
                <c:pt idx="347">
                  <c:v>45540</c:v>
                </c:pt>
                <c:pt idx="348">
                  <c:v>45541</c:v>
                </c:pt>
                <c:pt idx="349">
                  <c:v>45542</c:v>
                </c:pt>
                <c:pt idx="350">
                  <c:v>45543</c:v>
                </c:pt>
                <c:pt idx="351">
                  <c:v>45544</c:v>
                </c:pt>
                <c:pt idx="352">
                  <c:v>45545</c:v>
                </c:pt>
                <c:pt idx="353">
                  <c:v>45546</c:v>
                </c:pt>
                <c:pt idx="354">
                  <c:v>45547</c:v>
                </c:pt>
                <c:pt idx="355">
                  <c:v>45548</c:v>
                </c:pt>
                <c:pt idx="356">
                  <c:v>45549</c:v>
                </c:pt>
                <c:pt idx="357">
                  <c:v>45550</c:v>
                </c:pt>
                <c:pt idx="358">
                  <c:v>45553</c:v>
                </c:pt>
                <c:pt idx="359">
                  <c:v>45554</c:v>
                </c:pt>
                <c:pt idx="360">
                  <c:v>45557</c:v>
                </c:pt>
                <c:pt idx="361">
                  <c:v>45558</c:v>
                </c:pt>
                <c:pt idx="362">
                  <c:v>45559</c:v>
                </c:pt>
                <c:pt idx="363">
                  <c:v>45560</c:v>
                </c:pt>
                <c:pt idx="364">
                  <c:v>45561</c:v>
                </c:pt>
                <c:pt idx="365">
                  <c:v>45562</c:v>
                </c:pt>
                <c:pt idx="366">
                  <c:v>45563</c:v>
                </c:pt>
                <c:pt idx="367">
                  <c:v>45564</c:v>
                </c:pt>
                <c:pt idx="368">
                  <c:v>45565</c:v>
                </c:pt>
                <c:pt idx="369">
                  <c:v>45566</c:v>
                </c:pt>
                <c:pt idx="370">
                  <c:v>45567</c:v>
                </c:pt>
                <c:pt idx="371">
                  <c:v>45568</c:v>
                </c:pt>
                <c:pt idx="372">
                  <c:v>45569</c:v>
                </c:pt>
                <c:pt idx="373">
                  <c:v>45570</c:v>
                </c:pt>
                <c:pt idx="374">
                  <c:v>45571</c:v>
                </c:pt>
                <c:pt idx="375">
                  <c:v>45572</c:v>
                </c:pt>
                <c:pt idx="376">
                  <c:v>45573</c:v>
                </c:pt>
                <c:pt idx="377">
                  <c:v>45574</c:v>
                </c:pt>
                <c:pt idx="378">
                  <c:v>45575</c:v>
                </c:pt>
                <c:pt idx="379">
                  <c:v>45576</c:v>
                </c:pt>
                <c:pt idx="380">
                  <c:v>45579</c:v>
                </c:pt>
                <c:pt idx="381">
                  <c:v>45580</c:v>
                </c:pt>
                <c:pt idx="382">
                  <c:v>45581</c:v>
                </c:pt>
                <c:pt idx="383">
                  <c:v>45582</c:v>
                </c:pt>
                <c:pt idx="384">
                  <c:v>45583</c:v>
                </c:pt>
                <c:pt idx="385">
                  <c:v>45584</c:v>
                </c:pt>
                <c:pt idx="386">
                  <c:v>45585</c:v>
                </c:pt>
                <c:pt idx="387">
                  <c:v>45591</c:v>
                </c:pt>
                <c:pt idx="388">
                  <c:v>45592</c:v>
                </c:pt>
                <c:pt idx="389">
                  <c:v>45593</c:v>
                </c:pt>
                <c:pt idx="390">
                  <c:v>45594</c:v>
                </c:pt>
                <c:pt idx="391">
                  <c:v>45595</c:v>
                </c:pt>
                <c:pt idx="392">
                  <c:v>45596</c:v>
                </c:pt>
                <c:pt idx="393">
                  <c:v>45597</c:v>
                </c:pt>
                <c:pt idx="394">
                  <c:v>45598</c:v>
                </c:pt>
                <c:pt idx="395">
                  <c:v>45599</c:v>
                </c:pt>
                <c:pt idx="396">
                  <c:v>45600</c:v>
                </c:pt>
                <c:pt idx="397">
                  <c:v>45601</c:v>
                </c:pt>
                <c:pt idx="398">
                  <c:v>45602</c:v>
                </c:pt>
                <c:pt idx="399">
                  <c:v>45604</c:v>
                </c:pt>
                <c:pt idx="400">
                  <c:v>45605</c:v>
                </c:pt>
                <c:pt idx="401">
                  <c:v>45606</c:v>
                </c:pt>
                <c:pt idx="402">
                  <c:v>45607</c:v>
                </c:pt>
                <c:pt idx="403">
                  <c:v>45608</c:v>
                </c:pt>
                <c:pt idx="404">
                  <c:v>45609</c:v>
                </c:pt>
                <c:pt idx="405">
                  <c:v>45610</c:v>
                </c:pt>
                <c:pt idx="406">
                  <c:v>45611</c:v>
                </c:pt>
                <c:pt idx="407">
                  <c:v>45612</c:v>
                </c:pt>
                <c:pt idx="408">
                  <c:v>45618</c:v>
                </c:pt>
                <c:pt idx="409">
                  <c:v>45619</c:v>
                </c:pt>
                <c:pt idx="410">
                  <c:v>45620</c:v>
                </c:pt>
                <c:pt idx="411">
                  <c:v>45626</c:v>
                </c:pt>
                <c:pt idx="412">
                  <c:v>45627</c:v>
                </c:pt>
                <c:pt idx="413">
                  <c:v>45628</c:v>
                </c:pt>
                <c:pt idx="414">
                  <c:v>45629</c:v>
                </c:pt>
                <c:pt idx="415">
                  <c:v>45630</c:v>
                </c:pt>
                <c:pt idx="416">
                  <c:v>45635</c:v>
                </c:pt>
                <c:pt idx="417">
                  <c:v>45639</c:v>
                </c:pt>
                <c:pt idx="418">
                  <c:v>45640</c:v>
                </c:pt>
                <c:pt idx="419">
                  <c:v>45641</c:v>
                </c:pt>
                <c:pt idx="420">
                  <c:v>45642</c:v>
                </c:pt>
                <c:pt idx="421">
                  <c:v>45643</c:v>
                </c:pt>
                <c:pt idx="422">
                  <c:v>45644</c:v>
                </c:pt>
                <c:pt idx="423">
                  <c:v>45645</c:v>
                </c:pt>
                <c:pt idx="424">
                  <c:v>45646</c:v>
                </c:pt>
                <c:pt idx="425">
                  <c:v>45647</c:v>
                </c:pt>
                <c:pt idx="426">
                  <c:v>45648</c:v>
                </c:pt>
                <c:pt idx="427">
                  <c:v>45649</c:v>
                </c:pt>
                <c:pt idx="428">
                  <c:v>45650</c:v>
                </c:pt>
                <c:pt idx="429">
                  <c:v>45651</c:v>
                </c:pt>
                <c:pt idx="430">
                  <c:v>45657</c:v>
                </c:pt>
                <c:pt idx="431">
                  <c:v>45658</c:v>
                </c:pt>
                <c:pt idx="432">
                  <c:v>45659</c:v>
                </c:pt>
                <c:pt idx="433">
                  <c:v>45660</c:v>
                </c:pt>
                <c:pt idx="434">
                  <c:v>45661</c:v>
                </c:pt>
                <c:pt idx="435">
                  <c:v>45662</c:v>
                </c:pt>
                <c:pt idx="436">
                  <c:v>45664</c:v>
                </c:pt>
                <c:pt idx="437">
                  <c:v>45665</c:v>
                </c:pt>
                <c:pt idx="438">
                  <c:v>45666</c:v>
                </c:pt>
                <c:pt idx="439">
                  <c:v>45667</c:v>
                </c:pt>
                <c:pt idx="440">
                  <c:v>45668</c:v>
                </c:pt>
                <c:pt idx="441">
                  <c:v>45669</c:v>
                </c:pt>
                <c:pt idx="442">
                  <c:v>45670</c:v>
                </c:pt>
                <c:pt idx="443">
                  <c:v>45671</c:v>
                </c:pt>
                <c:pt idx="444">
                  <c:v>45672</c:v>
                </c:pt>
                <c:pt idx="445">
                  <c:v>45673</c:v>
                </c:pt>
                <c:pt idx="446">
                  <c:v>45674</c:v>
                </c:pt>
                <c:pt idx="447">
                  <c:v>45675</c:v>
                </c:pt>
                <c:pt idx="448">
                  <c:v>45676</c:v>
                </c:pt>
                <c:pt idx="449">
                  <c:v>45677</c:v>
                </c:pt>
                <c:pt idx="450">
                  <c:v>45678</c:v>
                </c:pt>
                <c:pt idx="451">
                  <c:v>45679</c:v>
                </c:pt>
                <c:pt idx="452">
                  <c:v>45680</c:v>
                </c:pt>
                <c:pt idx="453">
                  <c:v>45681</c:v>
                </c:pt>
                <c:pt idx="454">
                  <c:v>45682</c:v>
                </c:pt>
                <c:pt idx="455">
                  <c:v>45683</c:v>
                </c:pt>
                <c:pt idx="456">
                  <c:v>45684</c:v>
                </c:pt>
                <c:pt idx="457">
                  <c:v>45685</c:v>
                </c:pt>
                <c:pt idx="458">
                  <c:v>45686</c:v>
                </c:pt>
                <c:pt idx="459">
                  <c:v>45687</c:v>
                </c:pt>
                <c:pt idx="460">
                  <c:v>45688</c:v>
                </c:pt>
                <c:pt idx="461">
                  <c:v>45689</c:v>
                </c:pt>
                <c:pt idx="462">
                  <c:v>45690</c:v>
                </c:pt>
                <c:pt idx="463">
                  <c:v>45691</c:v>
                </c:pt>
                <c:pt idx="464">
                  <c:v>45696</c:v>
                </c:pt>
                <c:pt idx="465">
                  <c:v>45697</c:v>
                </c:pt>
                <c:pt idx="466">
                  <c:v>45698</c:v>
                </c:pt>
                <c:pt idx="467">
                  <c:v>45699</c:v>
                </c:pt>
                <c:pt idx="468">
                  <c:v>45700</c:v>
                </c:pt>
                <c:pt idx="469">
                  <c:v>45701</c:v>
                </c:pt>
                <c:pt idx="470">
                  <c:v>45702</c:v>
                </c:pt>
                <c:pt idx="471">
                  <c:v>45703</c:v>
                </c:pt>
                <c:pt idx="472">
                  <c:v>45704</c:v>
                </c:pt>
                <c:pt idx="473">
                  <c:v>45705</c:v>
                </c:pt>
                <c:pt idx="474">
                  <c:v>45706</c:v>
                </c:pt>
                <c:pt idx="475">
                  <c:v>45707</c:v>
                </c:pt>
                <c:pt idx="476">
                  <c:v>45715</c:v>
                </c:pt>
                <c:pt idx="477">
                  <c:v>45716</c:v>
                </c:pt>
                <c:pt idx="478">
                  <c:v>45717</c:v>
                </c:pt>
                <c:pt idx="479">
                  <c:v>45718</c:v>
                </c:pt>
                <c:pt idx="480">
                  <c:v>45719</c:v>
                </c:pt>
                <c:pt idx="481">
                  <c:v>45720</c:v>
                </c:pt>
                <c:pt idx="482">
                  <c:v>45723</c:v>
                </c:pt>
                <c:pt idx="483">
                  <c:v>45724</c:v>
                </c:pt>
                <c:pt idx="484">
                  <c:v>45725</c:v>
                </c:pt>
                <c:pt idx="485">
                  <c:v>45726</c:v>
                </c:pt>
                <c:pt idx="486">
                  <c:v>45727</c:v>
                </c:pt>
                <c:pt idx="487">
                  <c:v>45729</c:v>
                </c:pt>
                <c:pt idx="488">
                  <c:v>45730</c:v>
                </c:pt>
                <c:pt idx="489">
                  <c:v>45731</c:v>
                </c:pt>
                <c:pt idx="490">
                  <c:v>45732</c:v>
                </c:pt>
                <c:pt idx="491">
                  <c:v>45733</c:v>
                </c:pt>
                <c:pt idx="492">
                  <c:v>45734</c:v>
                </c:pt>
                <c:pt idx="493">
                  <c:v>45735</c:v>
                </c:pt>
                <c:pt idx="494">
                  <c:v>45738</c:v>
                </c:pt>
                <c:pt idx="495">
                  <c:v>45739</c:v>
                </c:pt>
                <c:pt idx="496">
                  <c:v>45740</c:v>
                </c:pt>
                <c:pt idx="497">
                  <c:v>45741</c:v>
                </c:pt>
                <c:pt idx="498">
                  <c:v>45742</c:v>
                </c:pt>
                <c:pt idx="499">
                  <c:v>45743</c:v>
                </c:pt>
                <c:pt idx="500">
                  <c:v>45744</c:v>
                </c:pt>
                <c:pt idx="501">
                  <c:v>45745</c:v>
                </c:pt>
                <c:pt idx="502">
                  <c:v>45746</c:v>
                </c:pt>
                <c:pt idx="503">
                  <c:v>45747</c:v>
                </c:pt>
                <c:pt idx="504">
                  <c:v>45748</c:v>
                </c:pt>
                <c:pt idx="505">
                  <c:v>45749</c:v>
                </c:pt>
                <c:pt idx="506">
                  <c:v>45750</c:v>
                </c:pt>
                <c:pt idx="507">
                  <c:v>45751</c:v>
                </c:pt>
                <c:pt idx="508">
                  <c:v>45752</c:v>
                </c:pt>
                <c:pt idx="509">
                  <c:v>45753</c:v>
                </c:pt>
                <c:pt idx="510">
                  <c:v>45754</c:v>
                </c:pt>
                <c:pt idx="511">
                  <c:v>45755</c:v>
                </c:pt>
                <c:pt idx="512">
                  <c:v>45758</c:v>
                </c:pt>
                <c:pt idx="513">
                  <c:v>45759</c:v>
                </c:pt>
                <c:pt idx="514">
                  <c:v>45767</c:v>
                </c:pt>
                <c:pt idx="515">
                  <c:v>45768</c:v>
                </c:pt>
                <c:pt idx="516">
                  <c:v>45769</c:v>
                </c:pt>
                <c:pt idx="517">
                  <c:v>45770</c:v>
                </c:pt>
                <c:pt idx="518">
                  <c:v>45771</c:v>
                </c:pt>
                <c:pt idx="519">
                  <c:v>45772</c:v>
                </c:pt>
                <c:pt idx="520">
                  <c:v>45773</c:v>
                </c:pt>
                <c:pt idx="521">
                  <c:v>45774</c:v>
                </c:pt>
                <c:pt idx="522">
                  <c:v>45775</c:v>
                </c:pt>
                <c:pt idx="523">
                  <c:v>45778</c:v>
                </c:pt>
                <c:pt idx="524">
                  <c:v>45779</c:v>
                </c:pt>
                <c:pt idx="525">
                  <c:v>45782</c:v>
                </c:pt>
                <c:pt idx="526">
                  <c:v>45788</c:v>
                </c:pt>
                <c:pt idx="527">
                  <c:v>45789</c:v>
                </c:pt>
                <c:pt idx="528">
                  <c:v>45790</c:v>
                </c:pt>
                <c:pt idx="529">
                  <c:v>45791</c:v>
                </c:pt>
                <c:pt idx="530">
                  <c:v>45792</c:v>
                </c:pt>
                <c:pt idx="531">
                  <c:v>45793</c:v>
                </c:pt>
                <c:pt idx="532">
                  <c:v>45794</c:v>
                </c:pt>
                <c:pt idx="533">
                  <c:v>45798</c:v>
                </c:pt>
                <c:pt idx="534">
                  <c:v>45799</c:v>
                </c:pt>
                <c:pt idx="535">
                  <c:v>45800</c:v>
                </c:pt>
                <c:pt idx="536">
                  <c:v>45801</c:v>
                </c:pt>
                <c:pt idx="537">
                  <c:v>45802</c:v>
                </c:pt>
                <c:pt idx="538">
                  <c:v>45803</c:v>
                </c:pt>
                <c:pt idx="539">
                  <c:v>45809</c:v>
                </c:pt>
                <c:pt idx="540">
                  <c:v>45810</c:v>
                </c:pt>
                <c:pt idx="541">
                  <c:v>45811</c:v>
                </c:pt>
                <c:pt idx="542">
                  <c:v>45812</c:v>
                </c:pt>
                <c:pt idx="543">
                  <c:v>45813</c:v>
                </c:pt>
                <c:pt idx="544">
                  <c:v>45814</c:v>
                </c:pt>
                <c:pt idx="545">
                  <c:v>45815</c:v>
                </c:pt>
                <c:pt idx="546">
                  <c:v>45816</c:v>
                </c:pt>
                <c:pt idx="547">
                  <c:v>45821</c:v>
                </c:pt>
                <c:pt idx="548">
                  <c:v>45822</c:v>
                </c:pt>
                <c:pt idx="549">
                  <c:v>45823</c:v>
                </c:pt>
                <c:pt idx="550">
                  <c:v>45824</c:v>
                </c:pt>
                <c:pt idx="551">
                  <c:v>45825</c:v>
                </c:pt>
                <c:pt idx="552">
                  <c:v>45826</c:v>
                </c:pt>
                <c:pt idx="553">
                  <c:v>45827</c:v>
                </c:pt>
                <c:pt idx="554">
                  <c:v>45828</c:v>
                </c:pt>
                <c:pt idx="555">
                  <c:v>45829</c:v>
                </c:pt>
                <c:pt idx="556">
                  <c:v>45830</c:v>
                </c:pt>
                <c:pt idx="557">
                  <c:v>45831</c:v>
                </c:pt>
                <c:pt idx="558">
                  <c:v>45832</c:v>
                </c:pt>
                <c:pt idx="559">
                  <c:v>45833</c:v>
                </c:pt>
                <c:pt idx="560">
                  <c:v>45834</c:v>
                </c:pt>
                <c:pt idx="561">
                  <c:v>45835</c:v>
                </c:pt>
                <c:pt idx="562">
                  <c:v>45836</c:v>
                </c:pt>
                <c:pt idx="563">
                  <c:v>45837</c:v>
                </c:pt>
                <c:pt idx="564">
                  <c:v>45838</c:v>
                </c:pt>
                <c:pt idx="565">
                  <c:v>45839</c:v>
                </c:pt>
                <c:pt idx="566">
                  <c:v>45840</c:v>
                </c:pt>
                <c:pt idx="567">
                  <c:v>45841</c:v>
                </c:pt>
                <c:pt idx="568">
                  <c:v>45842</c:v>
                </c:pt>
                <c:pt idx="569">
                  <c:v>45843</c:v>
                </c:pt>
                <c:pt idx="570">
                  <c:v>45844</c:v>
                </c:pt>
                <c:pt idx="571">
                  <c:v>45845</c:v>
                </c:pt>
                <c:pt idx="572">
                  <c:v>45846</c:v>
                </c:pt>
                <c:pt idx="573">
                  <c:v>45847</c:v>
                </c:pt>
                <c:pt idx="574">
                  <c:v>45848</c:v>
                </c:pt>
                <c:pt idx="575">
                  <c:v>45849</c:v>
                </c:pt>
                <c:pt idx="576">
                  <c:v>45850</c:v>
                </c:pt>
                <c:pt idx="577">
                  <c:v>45851</c:v>
                </c:pt>
                <c:pt idx="578">
                  <c:v>45852</c:v>
                </c:pt>
                <c:pt idx="579">
                  <c:v>45854</c:v>
                </c:pt>
                <c:pt idx="580">
                  <c:v>45855</c:v>
                </c:pt>
                <c:pt idx="581">
                  <c:v>45856</c:v>
                </c:pt>
                <c:pt idx="582">
                  <c:v>45857</c:v>
                </c:pt>
                <c:pt idx="583">
                  <c:v>45858</c:v>
                </c:pt>
                <c:pt idx="584">
                  <c:v>45862</c:v>
                </c:pt>
                <c:pt idx="585">
                  <c:v>45863</c:v>
                </c:pt>
                <c:pt idx="586">
                  <c:v>45864</c:v>
                </c:pt>
                <c:pt idx="587">
                  <c:v>45871</c:v>
                </c:pt>
                <c:pt idx="588">
                  <c:v>45872</c:v>
                </c:pt>
                <c:pt idx="589">
                  <c:v>45873</c:v>
                </c:pt>
                <c:pt idx="590">
                  <c:v>45880</c:v>
                </c:pt>
                <c:pt idx="591">
                  <c:v>45881</c:v>
                </c:pt>
                <c:pt idx="592">
                  <c:v>45882</c:v>
                </c:pt>
                <c:pt idx="593">
                  <c:v>45886</c:v>
                </c:pt>
                <c:pt idx="594">
                  <c:v>45887</c:v>
                </c:pt>
                <c:pt idx="595">
                  <c:v>45888</c:v>
                </c:pt>
                <c:pt idx="596">
                  <c:v>45889</c:v>
                </c:pt>
                <c:pt idx="597">
                  <c:v>45890</c:v>
                </c:pt>
                <c:pt idx="598">
                  <c:v>45891</c:v>
                </c:pt>
                <c:pt idx="599">
                  <c:v>45894</c:v>
                </c:pt>
                <c:pt idx="600">
                  <c:v>45895</c:v>
                </c:pt>
                <c:pt idx="601">
                  <c:v>45896</c:v>
                </c:pt>
                <c:pt idx="602">
                  <c:v>45897</c:v>
                </c:pt>
                <c:pt idx="603">
                  <c:v>45898</c:v>
                </c:pt>
                <c:pt idx="604">
                  <c:v>45899</c:v>
                </c:pt>
                <c:pt idx="605">
                  <c:v>45900</c:v>
                </c:pt>
                <c:pt idx="606">
                  <c:v>45901</c:v>
                </c:pt>
                <c:pt idx="607">
                  <c:v>45902</c:v>
                </c:pt>
                <c:pt idx="608">
                  <c:v>45903</c:v>
                </c:pt>
                <c:pt idx="609">
                  <c:v>45904</c:v>
                </c:pt>
                <c:pt idx="610">
                  <c:v>45905</c:v>
                </c:pt>
                <c:pt idx="611">
                  <c:v>45906</c:v>
                </c:pt>
                <c:pt idx="612">
                  <c:v>45907</c:v>
                </c:pt>
                <c:pt idx="613">
                  <c:v>45908</c:v>
                </c:pt>
                <c:pt idx="614">
                  <c:v>45909</c:v>
                </c:pt>
                <c:pt idx="615">
                  <c:v>45911</c:v>
                </c:pt>
                <c:pt idx="616">
                  <c:v>45912</c:v>
                </c:pt>
                <c:pt idx="617">
                  <c:v>45913</c:v>
                </c:pt>
                <c:pt idx="618">
                  <c:v>45914</c:v>
                </c:pt>
                <c:pt idx="619">
                  <c:v>45917</c:v>
                </c:pt>
                <c:pt idx="620">
                  <c:v>45919</c:v>
                </c:pt>
                <c:pt idx="621">
                  <c:v>45920</c:v>
                </c:pt>
                <c:pt idx="622">
                  <c:v>45921</c:v>
                </c:pt>
                <c:pt idx="623">
                  <c:v>45922</c:v>
                </c:pt>
                <c:pt idx="624">
                  <c:v>45923</c:v>
                </c:pt>
                <c:pt idx="625">
                  <c:v>45924</c:v>
                </c:pt>
                <c:pt idx="626">
                  <c:v>45925</c:v>
                </c:pt>
                <c:pt idx="627">
                  <c:v>45926</c:v>
                </c:pt>
                <c:pt idx="628">
                  <c:v>45927</c:v>
                </c:pt>
                <c:pt idx="629">
                  <c:v>45928</c:v>
                </c:pt>
                <c:pt idx="630">
                  <c:v>45929</c:v>
                </c:pt>
                <c:pt idx="631">
                  <c:v>45930</c:v>
                </c:pt>
                <c:pt idx="632">
                  <c:v>45931</c:v>
                </c:pt>
                <c:pt idx="633">
                  <c:v>45932</c:v>
                </c:pt>
                <c:pt idx="634">
                  <c:v>45933</c:v>
                </c:pt>
                <c:pt idx="635">
                  <c:v>45934</c:v>
                </c:pt>
                <c:pt idx="636">
                  <c:v>45935</c:v>
                </c:pt>
                <c:pt idx="637">
                  <c:v>45936</c:v>
                </c:pt>
                <c:pt idx="638">
                  <c:v>45937</c:v>
                </c:pt>
                <c:pt idx="639">
                  <c:v>45938</c:v>
                </c:pt>
                <c:pt idx="640">
                  <c:v>45939</c:v>
                </c:pt>
                <c:pt idx="641">
                  <c:v>45940</c:v>
                </c:pt>
                <c:pt idx="642">
                  <c:v>45941</c:v>
                </c:pt>
                <c:pt idx="643">
                  <c:v>45942</c:v>
                </c:pt>
                <c:pt idx="644">
                  <c:v>45943</c:v>
                </c:pt>
                <c:pt idx="645">
                  <c:v>45944</c:v>
                </c:pt>
                <c:pt idx="646">
                  <c:v>45945</c:v>
                </c:pt>
                <c:pt idx="647">
                  <c:v>45946</c:v>
                </c:pt>
                <c:pt idx="648">
                  <c:v>45947</c:v>
                </c:pt>
                <c:pt idx="649">
                  <c:v>45948</c:v>
                </c:pt>
                <c:pt idx="650">
                  <c:v>45949</c:v>
                </c:pt>
                <c:pt idx="651">
                  <c:v>45950</c:v>
                </c:pt>
                <c:pt idx="652">
                  <c:v>45951</c:v>
                </c:pt>
                <c:pt idx="653">
                  <c:v>45952</c:v>
                </c:pt>
                <c:pt idx="654">
                  <c:v>45953</c:v>
                </c:pt>
                <c:pt idx="655">
                  <c:v>45954</c:v>
                </c:pt>
                <c:pt idx="656">
                  <c:v>45955</c:v>
                </c:pt>
                <c:pt idx="657">
                  <c:v>45956</c:v>
                </c:pt>
                <c:pt idx="658">
                  <c:v>45957</c:v>
                </c:pt>
                <c:pt idx="659">
                  <c:v>45958</c:v>
                </c:pt>
                <c:pt idx="660">
                  <c:v>45959</c:v>
                </c:pt>
                <c:pt idx="661">
                  <c:v>45960</c:v>
                </c:pt>
                <c:pt idx="662">
                  <c:v>45961</c:v>
                </c:pt>
                <c:pt idx="663">
                  <c:v>45962</c:v>
                </c:pt>
                <c:pt idx="664">
                  <c:v>45963</c:v>
                </c:pt>
                <c:pt idx="665">
                  <c:v>45964</c:v>
                </c:pt>
                <c:pt idx="666">
                  <c:v>45965</c:v>
                </c:pt>
                <c:pt idx="667">
                  <c:v>45966</c:v>
                </c:pt>
                <c:pt idx="668">
                  <c:v>45967</c:v>
                </c:pt>
                <c:pt idx="669">
                  <c:v>45968</c:v>
                </c:pt>
                <c:pt idx="670">
                  <c:v>45969</c:v>
                </c:pt>
                <c:pt idx="671">
                  <c:v>45971</c:v>
                </c:pt>
                <c:pt idx="672">
                  <c:v>45972</c:v>
                </c:pt>
                <c:pt idx="673">
                  <c:v>45973</c:v>
                </c:pt>
                <c:pt idx="674">
                  <c:v>45974</c:v>
                </c:pt>
                <c:pt idx="675">
                  <c:v>45975</c:v>
                </c:pt>
                <c:pt idx="676">
                  <c:v>45976</c:v>
                </c:pt>
                <c:pt idx="677">
                  <c:v>45977</c:v>
                </c:pt>
                <c:pt idx="678">
                  <c:v>45978</c:v>
                </c:pt>
                <c:pt idx="679">
                  <c:v>45983</c:v>
                </c:pt>
                <c:pt idx="680">
                  <c:v>45984</c:v>
                </c:pt>
                <c:pt idx="681">
                  <c:v>45985</c:v>
                </c:pt>
                <c:pt idx="682">
                  <c:v>45986</c:v>
                </c:pt>
                <c:pt idx="683">
                  <c:v>45987</c:v>
                </c:pt>
                <c:pt idx="684">
                  <c:v>45988</c:v>
                </c:pt>
                <c:pt idx="685">
                  <c:v>45989</c:v>
                </c:pt>
                <c:pt idx="686">
                  <c:v>45990</c:v>
                </c:pt>
                <c:pt idx="687">
                  <c:v>45991</c:v>
                </c:pt>
                <c:pt idx="688">
                  <c:v>45992</c:v>
                </c:pt>
                <c:pt idx="689">
                  <c:v>45993</c:v>
                </c:pt>
                <c:pt idx="690">
                  <c:v>45994</c:v>
                </c:pt>
                <c:pt idx="691">
                  <c:v>45995</c:v>
                </c:pt>
                <c:pt idx="692">
                  <c:v>45996</c:v>
                </c:pt>
                <c:pt idx="693">
                  <c:v>45997</c:v>
                </c:pt>
                <c:pt idx="694">
                  <c:v>45998</c:v>
                </c:pt>
                <c:pt idx="695">
                  <c:v>45999</c:v>
                </c:pt>
                <c:pt idx="696">
                  <c:v>46000</c:v>
                </c:pt>
                <c:pt idx="697">
                  <c:v>46001</c:v>
                </c:pt>
                <c:pt idx="698">
                  <c:v>46002</c:v>
                </c:pt>
                <c:pt idx="699">
                  <c:v>46003</c:v>
                </c:pt>
                <c:pt idx="700">
                  <c:v>46004</c:v>
                </c:pt>
                <c:pt idx="701">
                  <c:v>46006</c:v>
                </c:pt>
                <c:pt idx="702">
                  <c:v>46007</c:v>
                </c:pt>
                <c:pt idx="703">
                  <c:v>46008</c:v>
                </c:pt>
                <c:pt idx="704">
                  <c:v>46009</c:v>
                </c:pt>
                <c:pt idx="705">
                  <c:v>46010</c:v>
                </c:pt>
                <c:pt idx="706">
                  <c:v>46011</c:v>
                </c:pt>
                <c:pt idx="707">
                  <c:v>46012</c:v>
                </c:pt>
                <c:pt idx="708">
                  <c:v>46013</c:v>
                </c:pt>
                <c:pt idx="709">
                  <c:v>46014</c:v>
                </c:pt>
                <c:pt idx="710">
                  <c:v>46015</c:v>
                </c:pt>
                <c:pt idx="711">
                  <c:v>46016</c:v>
                </c:pt>
                <c:pt idx="712">
                  <c:v>46022</c:v>
                </c:pt>
                <c:pt idx="713">
                  <c:v>46024</c:v>
                </c:pt>
                <c:pt idx="714">
                  <c:v>46025</c:v>
                </c:pt>
                <c:pt idx="715">
                  <c:v>46026</c:v>
                </c:pt>
                <c:pt idx="716">
                  <c:v>46027</c:v>
                </c:pt>
                <c:pt idx="717">
                  <c:v>46029</c:v>
                </c:pt>
                <c:pt idx="718">
                  <c:v>46030</c:v>
                </c:pt>
                <c:pt idx="719">
                  <c:v>46031</c:v>
                </c:pt>
                <c:pt idx="720">
                  <c:v>46032</c:v>
                </c:pt>
                <c:pt idx="721">
                  <c:v>46033</c:v>
                </c:pt>
                <c:pt idx="722">
                  <c:v>46034</c:v>
                </c:pt>
                <c:pt idx="723">
                  <c:v>46039</c:v>
                </c:pt>
                <c:pt idx="724">
                  <c:v>46040</c:v>
                </c:pt>
                <c:pt idx="725">
                  <c:v>46041</c:v>
                </c:pt>
                <c:pt idx="726">
                  <c:v>46042</c:v>
                </c:pt>
                <c:pt idx="727">
                  <c:v>46044</c:v>
                </c:pt>
                <c:pt idx="728">
                  <c:v>46045</c:v>
                </c:pt>
                <c:pt idx="729">
                  <c:v>46046</c:v>
                </c:pt>
                <c:pt idx="730">
                  <c:v>46047</c:v>
                </c:pt>
                <c:pt idx="731">
                  <c:v>46054</c:v>
                </c:pt>
                <c:pt idx="732">
                  <c:v>46055</c:v>
                </c:pt>
                <c:pt idx="733">
                  <c:v>46056</c:v>
                </c:pt>
                <c:pt idx="734">
                  <c:v>46057</c:v>
                </c:pt>
                <c:pt idx="735">
                  <c:v>46058</c:v>
                </c:pt>
                <c:pt idx="736">
                  <c:v>46059</c:v>
                </c:pt>
                <c:pt idx="737">
                  <c:v>46060</c:v>
                </c:pt>
                <c:pt idx="738">
                  <c:v>46061</c:v>
                </c:pt>
                <c:pt idx="739">
                  <c:v>46062</c:v>
                </c:pt>
                <c:pt idx="740">
                  <c:v>46063</c:v>
                </c:pt>
                <c:pt idx="741">
                  <c:v>46066</c:v>
                </c:pt>
                <c:pt idx="742">
                  <c:v>46067</c:v>
                </c:pt>
                <c:pt idx="743">
                  <c:v>46068</c:v>
                </c:pt>
                <c:pt idx="744">
                  <c:v>46069</c:v>
                </c:pt>
                <c:pt idx="745">
                  <c:v>46070</c:v>
                </c:pt>
                <c:pt idx="746">
                  <c:v>46071</c:v>
                </c:pt>
                <c:pt idx="747">
                  <c:v>46072</c:v>
                </c:pt>
                <c:pt idx="748">
                  <c:v>46073</c:v>
                </c:pt>
                <c:pt idx="749">
                  <c:v>46074</c:v>
                </c:pt>
                <c:pt idx="750">
                  <c:v>46075</c:v>
                </c:pt>
                <c:pt idx="751">
                  <c:v>46076</c:v>
                </c:pt>
                <c:pt idx="752">
                  <c:v>46079</c:v>
                </c:pt>
                <c:pt idx="753">
                  <c:v>46080</c:v>
                </c:pt>
                <c:pt idx="754">
                  <c:v>46081</c:v>
                </c:pt>
                <c:pt idx="755">
                  <c:v>46082</c:v>
                </c:pt>
                <c:pt idx="756">
                  <c:v>46083</c:v>
                </c:pt>
                <c:pt idx="757">
                  <c:v>46084</c:v>
                </c:pt>
                <c:pt idx="758">
                  <c:v>46088</c:v>
                </c:pt>
                <c:pt idx="759">
                  <c:v>46089</c:v>
                </c:pt>
                <c:pt idx="760">
                  <c:v>46090</c:v>
                </c:pt>
                <c:pt idx="761">
                  <c:v>46091</c:v>
                </c:pt>
                <c:pt idx="762">
                  <c:v>46092</c:v>
                </c:pt>
                <c:pt idx="763">
                  <c:v>46093</c:v>
                </c:pt>
                <c:pt idx="764">
                  <c:v>46094</c:v>
                </c:pt>
                <c:pt idx="765">
                  <c:v>46096</c:v>
                </c:pt>
                <c:pt idx="766">
                  <c:v>46097</c:v>
                </c:pt>
                <c:pt idx="767">
                  <c:v>46101</c:v>
                </c:pt>
                <c:pt idx="768">
                  <c:v>46102</c:v>
                </c:pt>
                <c:pt idx="769">
                  <c:v>46103</c:v>
                </c:pt>
                <c:pt idx="770">
                  <c:v>46104</c:v>
                </c:pt>
                <c:pt idx="771">
                  <c:v>46116</c:v>
                </c:pt>
                <c:pt idx="772">
                  <c:v>46117</c:v>
                </c:pt>
                <c:pt idx="773">
                  <c:v>46118</c:v>
                </c:pt>
                <c:pt idx="774">
                  <c:v>46119</c:v>
                </c:pt>
                <c:pt idx="775">
                  <c:v>46120</c:v>
                </c:pt>
                <c:pt idx="776">
                  <c:v>46121</c:v>
                </c:pt>
                <c:pt idx="777">
                  <c:v>46122</c:v>
                </c:pt>
                <c:pt idx="778">
                  <c:v>46123</c:v>
                </c:pt>
                <c:pt idx="779">
                  <c:v>46124</c:v>
                </c:pt>
                <c:pt idx="780">
                  <c:v>46125</c:v>
                </c:pt>
                <c:pt idx="781">
                  <c:v>46126</c:v>
                </c:pt>
                <c:pt idx="782">
                  <c:v>46127</c:v>
                </c:pt>
                <c:pt idx="783">
                  <c:v>46128</c:v>
                </c:pt>
                <c:pt idx="784">
                  <c:v>46129</c:v>
                </c:pt>
                <c:pt idx="785">
                  <c:v>46135</c:v>
                </c:pt>
                <c:pt idx="786">
                  <c:v>46136</c:v>
                </c:pt>
                <c:pt idx="787">
                  <c:v>46137</c:v>
                </c:pt>
                <c:pt idx="788">
                  <c:v>46138</c:v>
                </c:pt>
                <c:pt idx="789">
                  <c:v>46139</c:v>
                </c:pt>
                <c:pt idx="790">
                  <c:v>46140</c:v>
                </c:pt>
                <c:pt idx="791">
                  <c:v>46141</c:v>
                </c:pt>
                <c:pt idx="792">
                  <c:v>46142</c:v>
                </c:pt>
                <c:pt idx="793">
                  <c:v>46143</c:v>
                </c:pt>
                <c:pt idx="794">
                  <c:v>46144</c:v>
                </c:pt>
                <c:pt idx="795">
                  <c:v>46147</c:v>
                </c:pt>
                <c:pt idx="796">
                  <c:v>46148</c:v>
                </c:pt>
              </c:numCache>
            </c:numRef>
          </c:xVal>
          <c:yVal>
            <c:numRef>
              <c:f>Pesos_R!$N$2:$N$798</c:f>
              <c:numCache>
                <c:formatCode>_(* #,##0.00_);_(* \(#,##0.00\);_(* "-"??_);_(@_)</c:formatCode>
                <c:ptCount val="797"/>
                <c:pt idx="0">
                  <c:v>17.756550000000001</c:v>
                </c:pt>
                <c:pt idx="1">
                  <c:v>17.766000000000002</c:v>
                </c:pt>
                <c:pt idx="2">
                  <c:v>16.778700000000001</c:v>
                </c:pt>
                <c:pt idx="3">
                  <c:v>17.614799999999999</c:v>
                </c:pt>
                <c:pt idx="4">
                  <c:v>17.586449999999999</c:v>
                </c:pt>
                <c:pt idx="5">
                  <c:v>17.755500000000001</c:v>
                </c:pt>
                <c:pt idx="6">
                  <c:v>18</c:v>
                </c:pt>
                <c:pt idx="7">
                  <c:v>17.925349999999998</c:v>
                </c:pt>
                <c:pt idx="8">
                  <c:v>17.877599999999997</c:v>
                </c:pt>
                <c:pt idx="9">
                  <c:v>17.699850000000001</c:v>
                </c:pt>
                <c:pt idx="10">
                  <c:v>18.20955</c:v>
                </c:pt>
                <c:pt idx="11">
                  <c:v>18.161300000000001</c:v>
                </c:pt>
                <c:pt idx="12">
                  <c:v>18.274800000000003</c:v>
                </c:pt>
                <c:pt idx="13">
                  <c:v>17.167199999999998</c:v>
                </c:pt>
                <c:pt idx="14">
                  <c:v>17.90625</c:v>
                </c:pt>
                <c:pt idx="15">
                  <c:v>17.381700000000002</c:v>
                </c:pt>
                <c:pt idx="16">
                  <c:v>18</c:v>
                </c:pt>
                <c:pt idx="17">
                  <c:v>18.048000000000002</c:v>
                </c:pt>
                <c:pt idx="18">
                  <c:v>17.766000000000002</c:v>
                </c:pt>
                <c:pt idx="19">
                  <c:v>17.3538</c:v>
                </c:pt>
                <c:pt idx="20">
                  <c:v>16.916900000000002</c:v>
                </c:pt>
                <c:pt idx="21">
                  <c:v>17.530999999999999</c:v>
                </c:pt>
                <c:pt idx="22">
                  <c:v>18.567250000000001</c:v>
                </c:pt>
                <c:pt idx="23">
                  <c:v>17.242000000000001</c:v>
                </c:pt>
                <c:pt idx="24">
                  <c:v>18.296599999999998</c:v>
                </c:pt>
                <c:pt idx="25">
                  <c:v>18.009599999999999</c:v>
                </c:pt>
                <c:pt idx="26">
                  <c:v>17.801200000000001</c:v>
                </c:pt>
                <c:pt idx="27">
                  <c:v>17.427600000000002</c:v>
                </c:pt>
                <c:pt idx="28">
                  <c:v>17.194800000000001</c:v>
                </c:pt>
                <c:pt idx="29">
                  <c:v>17.6814</c:v>
                </c:pt>
                <c:pt idx="30">
                  <c:v>17.878999999999998</c:v>
                </c:pt>
                <c:pt idx="31">
                  <c:v>17.643799999999999</c:v>
                </c:pt>
                <c:pt idx="32">
                  <c:v>17.615600000000001</c:v>
                </c:pt>
                <c:pt idx="33">
                  <c:v>17.251249999999999</c:v>
                </c:pt>
                <c:pt idx="34">
                  <c:v>16.945799999999998</c:v>
                </c:pt>
                <c:pt idx="35">
                  <c:v>15.521000000000001</c:v>
                </c:pt>
                <c:pt idx="36">
                  <c:v>16.680299999999999</c:v>
                </c:pt>
                <c:pt idx="37">
                  <c:v>16.3582</c:v>
                </c:pt>
                <c:pt idx="38">
                  <c:v>17.5275</c:v>
                </c:pt>
                <c:pt idx="39">
                  <c:v>17.43525</c:v>
                </c:pt>
                <c:pt idx="40">
                  <c:v>17.43525</c:v>
                </c:pt>
                <c:pt idx="41">
                  <c:v>17.139900000000001</c:v>
                </c:pt>
                <c:pt idx="42">
                  <c:v>17.009699999999999</c:v>
                </c:pt>
                <c:pt idx="43">
                  <c:v>16.352999999999998</c:v>
                </c:pt>
                <c:pt idx="44">
                  <c:v>17.157250000000001</c:v>
                </c:pt>
                <c:pt idx="45">
                  <c:v>16.425000000000001</c:v>
                </c:pt>
                <c:pt idx="46">
                  <c:v>16.398</c:v>
                </c:pt>
                <c:pt idx="47">
                  <c:v>16.106999999999999</c:v>
                </c:pt>
                <c:pt idx="48">
                  <c:v>16.233599999999999</c:v>
                </c:pt>
                <c:pt idx="49">
                  <c:v>15.907500000000001</c:v>
                </c:pt>
                <c:pt idx="50">
                  <c:v>15.8688</c:v>
                </c:pt>
                <c:pt idx="51">
                  <c:v>16.543400000000002</c:v>
                </c:pt>
                <c:pt idx="52">
                  <c:v>15.734349999999999</c:v>
                </c:pt>
                <c:pt idx="53">
                  <c:v>16.012499999999999</c:v>
                </c:pt>
                <c:pt idx="54">
                  <c:v>16.47</c:v>
                </c:pt>
                <c:pt idx="55">
                  <c:v>16.452000000000002</c:v>
                </c:pt>
                <c:pt idx="56">
                  <c:v>16.625699999999998</c:v>
                </c:pt>
                <c:pt idx="57">
                  <c:v>16.230899999999998</c:v>
                </c:pt>
                <c:pt idx="58">
                  <c:v>16.352999999999998</c:v>
                </c:pt>
                <c:pt idx="59">
                  <c:v>16.315850000000001</c:v>
                </c:pt>
                <c:pt idx="60">
                  <c:v>17.185300000000002</c:v>
                </c:pt>
                <c:pt idx="61">
                  <c:v>16.233599999999999</c:v>
                </c:pt>
                <c:pt idx="62">
                  <c:v>16.142399999999999</c:v>
                </c:pt>
                <c:pt idx="63">
                  <c:v>16.180199999999999</c:v>
                </c:pt>
                <c:pt idx="64">
                  <c:v>16.162399999999998</c:v>
                </c:pt>
                <c:pt idx="65">
                  <c:v>15.302950000000001</c:v>
                </c:pt>
                <c:pt idx="66">
                  <c:v>17.0748</c:v>
                </c:pt>
                <c:pt idx="67">
                  <c:v>16.817600000000002</c:v>
                </c:pt>
                <c:pt idx="68">
                  <c:v>15.907500000000001</c:v>
                </c:pt>
                <c:pt idx="69">
                  <c:v>15.44985</c:v>
                </c:pt>
                <c:pt idx="70">
                  <c:v>15.717049999999999</c:v>
                </c:pt>
                <c:pt idx="71">
                  <c:v>16.525299999999998</c:v>
                </c:pt>
                <c:pt idx="72">
                  <c:v>15.872499999999999</c:v>
                </c:pt>
                <c:pt idx="73">
                  <c:v>15.924999999999999</c:v>
                </c:pt>
                <c:pt idx="74">
                  <c:v>15.959999999999999</c:v>
                </c:pt>
                <c:pt idx="75">
                  <c:v>15.608999999999998</c:v>
                </c:pt>
                <c:pt idx="76">
                  <c:v>15.4413</c:v>
                </c:pt>
                <c:pt idx="77">
                  <c:v>15.153600000000001</c:v>
                </c:pt>
                <c:pt idx="78">
                  <c:v>15.540199999999997</c:v>
                </c:pt>
                <c:pt idx="79">
                  <c:v>15.755699999999999</c:v>
                </c:pt>
                <c:pt idx="80">
                  <c:v>15.492599999999999</c:v>
                </c:pt>
                <c:pt idx="81">
                  <c:v>15.427500000000002</c:v>
                </c:pt>
                <c:pt idx="82">
                  <c:v>15.574599999999998</c:v>
                </c:pt>
                <c:pt idx="83">
                  <c:v>15.608999999999998</c:v>
                </c:pt>
                <c:pt idx="84">
                  <c:v>15.980799999999999</c:v>
                </c:pt>
                <c:pt idx="85">
                  <c:v>16.198</c:v>
                </c:pt>
                <c:pt idx="86">
                  <c:v>15.854999999999999</c:v>
                </c:pt>
                <c:pt idx="87">
                  <c:v>15.738299999999999</c:v>
                </c:pt>
                <c:pt idx="88">
                  <c:v>15.712199999999999</c:v>
                </c:pt>
                <c:pt idx="89">
                  <c:v>16.308</c:v>
                </c:pt>
                <c:pt idx="90">
                  <c:v>15.703499999999998</c:v>
                </c:pt>
                <c:pt idx="91">
                  <c:v>15.240500000000003</c:v>
                </c:pt>
                <c:pt idx="92">
                  <c:v>14.56405</c:v>
                </c:pt>
                <c:pt idx="93">
                  <c:v>15.781799999999999</c:v>
                </c:pt>
                <c:pt idx="94">
                  <c:v>16.425750000000001</c:v>
                </c:pt>
                <c:pt idx="95">
                  <c:v>16.163699999999999</c:v>
                </c:pt>
                <c:pt idx="96">
                  <c:v>15.811249999999998</c:v>
                </c:pt>
                <c:pt idx="97">
                  <c:v>15.522999999999998</c:v>
                </c:pt>
                <c:pt idx="98">
                  <c:v>14.6698</c:v>
                </c:pt>
                <c:pt idx="99">
                  <c:v>15.252250000000002</c:v>
                </c:pt>
                <c:pt idx="100">
                  <c:v>16.180199999999999</c:v>
                </c:pt>
                <c:pt idx="101">
                  <c:v>16.480049999999999</c:v>
                </c:pt>
                <c:pt idx="102">
                  <c:v>15.458400000000003</c:v>
                </c:pt>
                <c:pt idx="103">
                  <c:v>14.857000000000001</c:v>
                </c:pt>
                <c:pt idx="104">
                  <c:v>15.103200000000001</c:v>
                </c:pt>
                <c:pt idx="105">
                  <c:v>14.56405</c:v>
                </c:pt>
                <c:pt idx="106">
                  <c:v>15.39855</c:v>
                </c:pt>
                <c:pt idx="107">
                  <c:v>16.162399999999998</c:v>
                </c:pt>
                <c:pt idx="108">
                  <c:v>16.198</c:v>
                </c:pt>
                <c:pt idx="109">
                  <c:v>15.565999999999999</c:v>
                </c:pt>
                <c:pt idx="110">
                  <c:v>15.587299999999997</c:v>
                </c:pt>
                <c:pt idx="111">
                  <c:v>15.811249999999998</c:v>
                </c:pt>
                <c:pt idx="112">
                  <c:v>15.936799999999998</c:v>
                </c:pt>
                <c:pt idx="113">
                  <c:v>15.514399999999998</c:v>
                </c:pt>
                <c:pt idx="114">
                  <c:v>15.226900000000001</c:v>
                </c:pt>
                <c:pt idx="115">
                  <c:v>15.424200000000001</c:v>
                </c:pt>
                <c:pt idx="116">
                  <c:v>15.720899999999999</c:v>
                </c:pt>
                <c:pt idx="117">
                  <c:v>15.26915</c:v>
                </c:pt>
                <c:pt idx="118">
                  <c:v>15.557399999999999</c:v>
                </c:pt>
                <c:pt idx="119">
                  <c:v>15.311400000000001</c:v>
                </c:pt>
                <c:pt idx="120">
                  <c:v>15.302950000000001</c:v>
                </c:pt>
                <c:pt idx="121">
                  <c:v>15.33675</c:v>
                </c:pt>
                <c:pt idx="122">
                  <c:v>15.013300000000001</c:v>
                </c:pt>
                <c:pt idx="123">
                  <c:v>14.9068</c:v>
                </c:pt>
                <c:pt idx="124">
                  <c:v>15.531599999999997</c:v>
                </c:pt>
                <c:pt idx="125">
                  <c:v>14.996600000000001</c:v>
                </c:pt>
                <c:pt idx="126">
                  <c:v>15.004949999999999</c:v>
                </c:pt>
                <c:pt idx="127">
                  <c:v>15.816599999999999</c:v>
                </c:pt>
                <c:pt idx="128">
                  <c:v>15.5488</c:v>
                </c:pt>
                <c:pt idx="129">
                  <c:v>15.514399999999998</c:v>
                </c:pt>
                <c:pt idx="130">
                  <c:v>14.693250000000001</c:v>
                </c:pt>
                <c:pt idx="131">
                  <c:v>14.547750000000001</c:v>
                </c:pt>
                <c:pt idx="132">
                  <c:v>14.6944</c:v>
                </c:pt>
                <c:pt idx="133">
                  <c:v>15.514399999999998</c:v>
                </c:pt>
                <c:pt idx="134">
                  <c:v>14.857000000000001</c:v>
                </c:pt>
                <c:pt idx="135">
                  <c:v>14.759250000000002</c:v>
                </c:pt>
                <c:pt idx="136">
                  <c:v>14.353150000000001</c:v>
                </c:pt>
                <c:pt idx="137">
                  <c:v>15.334000000000001</c:v>
                </c:pt>
                <c:pt idx="138">
                  <c:v>15.145200000000003</c:v>
                </c:pt>
                <c:pt idx="139">
                  <c:v>15.120000000000001</c:v>
                </c:pt>
                <c:pt idx="140">
                  <c:v>14.742749999999999</c:v>
                </c:pt>
                <c:pt idx="141">
                  <c:v>14.329000000000001</c:v>
                </c:pt>
                <c:pt idx="142">
                  <c:v>15.1424</c:v>
                </c:pt>
                <c:pt idx="143">
                  <c:v>14.881900000000002</c:v>
                </c:pt>
                <c:pt idx="144">
                  <c:v>14.702600000000002</c:v>
                </c:pt>
                <c:pt idx="145">
                  <c:v>14.6944</c:v>
                </c:pt>
                <c:pt idx="146">
                  <c:v>15.145200000000003</c:v>
                </c:pt>
                <c:pt idx="147">
                  <c:v>15.583199999999998</c:v>
                </c:pt>
                <c:pt idx="148">
                  <c:v>15.218450000000001</c:v>
                </c:pt>
                <c:pt idx="149">
                  <c:v>15.811249999999998</c:v>
                </c:pt>
                <c:pt idx="150">
                  <c:v>15.626199999999997</c:v>
                </c:pt>
                <c:pt idx="151">
                  <c:v>15.600399999999999</c:v>
                </c:pt>
                <c:pt idx="152">
                  <c:v>15.402000000000001</c:v>
                </c:pt>
                <c:pt idx="153">
                  <c:v>15.436</c:v>
                </c:pt>
                <c:pt idx="154">
                  <c:v>15.153600000000001</c:v>
                </c:pt>
                <c:pt idx="155">
                  <c:v>14.6211</c:v>
                </c:pt>
                <c:pt idx="156">
                  <c:v>14.76</c:v>
                </c:pt>
                <c:pt idx="157">
                  <c:v>15.226900000000001</c:v>
                </c:pt>
                <c:pt idx="158">
                  <c:v>15.6046</c:v>
                </c:pt>
                <c:pt idx="159">
                  <c:v>15.574599999999998</c:v>
                </c:pt>
                <c:pt idx="160">
                  <c:v>15.235350000000002</c:v>
                </c:pt>
                <c:pt idx="161">
                  <c:v>14.329000000000001</c:v>
                </c:pt>
                <c:pt idx="162">
                  <c:v>14.72625</c:v>
                </c:pt>
                <c:pt idx="163">
                  <c:v>15.317</c:v>
                </c:pt>
                <c:pt idx="164">
                  <c:v>15.266</c:v>
                </c:pt>
                <c:pt idx="165">
                  <c:v>14.59665</c:v>
                </c:pt>
                <c:pt idx="166">
                  <c:v>14.320950000000002</c:v>
                </c:pt>
                <c:pt idx="167">
                  <c:v>14.693250000000001</c:v>
                </c:pt>
                <c:pt idx="168">
                  <c:v>14.612399999999999</c:v>
                </c:pt>
                <c:pt idx="169">
                  <c:v>15.181000000000001</c:v>
                </c:pt>
                <c:pt idx="170">
                  <c:v>14.7906</c:v>
                </c:pt>
                <c:pt idx="171">
                  <c:v>15.415650000000003</c:v>
                </c:pt>
                <c:pt idx="172">
                  <c:v>15.078000000000001</c:v>
                </c:pt>
                <c:pt idx="173">
                  <c:v>14.401800000000001</c:v>
                </c:pt>
                <c:pt idx="174">
                  <c:v>13.935600000000001</c:v>
                </c:pt>
                <c:pt idx="175">
                  <c:v>13.967200000000002</c:v>
                </c:pt>
                <c:pt idx="176">
                  <c:v>14.782300000000001</c:v>
                </c:pt>
                <c:pt idx="177">
                  <c:v>15.0024</c:v>
                </c:pt>
                <c:pt idx="178">
                  <c:v>15.330150000000001</c:v>
                </c:pt>
                <c:pt idx="179">
                  <c:v>15.1762</c:v>
                </c:pt>
                <c:pt idx="180">
                  <c:v>15.1424</c:v>
                </c:pt>
                <c:pt idx="181">
                  <c:v>14.441799999999999</c:v>
                </c:pt>
                <c:pt idx="182">
                  <c:v>14.418000000000001</c:v>
                </c:pt>
                <c:pt idx="183">
                  <c:v>14.807200000000002</c:v>
                </c:pt>
                <c:pt idx="184">
                  <c:v>14.612399999999999</c:v>
                </c:pt>
                <c:pt idx="185">
                  <c:v>14.208</c:v>
                </c:pt>
                <c:pt idx="186">
                  <c:v>14.977200000000002</c:v>
                </c:pt>
                <c:pt idx="187">
                  <c:v>14.9604</c:v>
                </c:pt>
                <c:pt idx="188">
                  <c:v>15.304500000000001</c:v>
                </c:pt>
                <c:pt idx="189">
                  <c:v>14.904750000000002</c:v>
                </c:pt>
                <c:pt idx="190">
                  <c:v>14.063550000000001</c:v>
                </c:pt>
                <c:pt idx="191">
                  <c:v>13.735799999999999</c:v>
                </c:pt>
                <c:pt idx="192">
                  <c:v>13.498100000000001</c:v>
                </c:pt>
                <c:pt idx="193">
                  <c:v>14.007899999999999</c:v>
                </c:pt>
                <c:pt idx="194">
                  <c:v>14.007899999999999</c:v>
                </c:pt>
                <c:pt idx="195">
                  <c:v>14.4894</c:v>
                </c:pt>
                <c:pt idx="196">
                  <c:v>15.027600000000001</c:v>
                </c:pt>
                <c:pt idx="197">
                  <c:v>14.0397</c:v>
                </c:pt>
                <c:pt idx="198">
                  <c:v>14.240450000000001</c:v>
                </c:pt>
                <c:pt idx="199">
                  <c:v>13.61675</c:v>
                </c:pt>
                <c:pt idx="200">
                  <c:v>14.152000000000001</c:v>
                </c:pt>
                <c:pt idx="201">
                  <c:v>14.474399999999999</c:v>
                </c:pt>
                <c:pt idx="202">
                  <c:v>14.087399999999999</c:v>
                </c:pt>
                <c:pt idx="203">
                  <c:v>13.539249999999999</c:v>
                </c:pt>
                <c:pt idx="204">
                  <c:v>13.809200000000001</c:v>
                </c:pt>
                <c:pt idx="205">
                  <c:v>13.689</c:v>
                </c:pt>
                <c:pt idx="206">
                  <c:v>13.2544</c:v>
                </c:pt>
                <c:pt idx="207">
                  <c:v>13.428800000000001</c:v>
                </c:pt>
                <c:pt idx="208">
                  <c:v>14.144000000000002</c:v>
                </c:pt>
                <c:pt idx="209">
                  <c:v>13.552</c:v>
                </c:pt>
                <c:pt idx="210">
                  <c:v>13.61675</c:v>
                </c:pt>
                <c:pt idx="211">
                  <c:v>13.792449999999999</c:v>
                </c:pt>
                <c:pt idx="212">
                  <c:v>14.66025</c:v>
                </c:pt>
                <c:pt idx="213">
                  <c:v>13.808150000000001</c:v>
                </c:pt>
                <c:pt idx="214">
                  <c:v>14.546800000000001</c:v>
                </c:pt>
                <c:pt idx="215">
                  <c:v>14.33705</c:v>
                </c:pt>
                <c:pt idx="216">
                  <c:v>14.104000000000001</c:v>
                </c:pt>
                <c:pt idx="217">
                  <c:v>13.61675</c:v>
                </c:pt>
                <c:pt idx="218">
                  <c:v>13.521199999999999</c:v>
                </c:pt>
                <c:pt idx="219">
                  <c:v>14.104000000000001</c:v>
                </c:pt>
                <c:pt idx="220">
                  <c:v>14.200200000000001</c:v>
                </c:pt>
                <c:pt idx="221">
                  <c:v>14.031750000000001</c:v>
                </c:pt>
                <c:pt idx="222">
                  <c:v>14.15995</c:v>
                </c:pt>
                <c:pt idx="223">
                  <c:v>14.345099999999999</c:v>
                </c:pt>
                <c:pt idx="224">
                  <c:v>13.8566</c:v>
                </c:pt>
                <c:pt idx="225">
                  <c:v>13.577999999999999</c:v>
                </c:pt>
                <c:pt idx="226">
                  <c:v>14.0397</c:v>
                </c:pt>
                <c:pt idx="227">
                  <c:v>14.353199999999999</c:v>
                </c:pt>
                <c:pt idx="228">
                  <c:v>14.096</c:v>
                </c:pt>
                <c:pt idx="229">
                  <c:v>15.3424</c:v>
                </c:pt>
                <c:pt idx="230">
                  <c:v>13.813799999999999</c:v>
                </c:pt>
                <c:pt idx="231">
                  <c:v>13.7202</c:v>
                </c:pt>
                <c:pt idx="232">
                  <c:v>13.345599999999999</c:v>
                </c:pt>
                <c:pt idx="233">
                  <c:v>13.5443</c:v>
                </c:pt>
                <c:pt idx="234">
                  <c:v>14.377500000000001</c:v>
                </c:pt>
                <c:pt idx="235">
                  <c:v>14.904750000000002</c:v>
                </c:pt>
                <c:pt idx="236">
                  <c:v>14.751000000000001</c:v>
                </c:pt>
                <c:pt idx="237">
                  <c:v>15.04945</c:v>
                </c:pt>
                <c:pt idx="238">
                  <c:v>14.977200000000002</c:v>
                </c:pt>
                <c:pt idx="239">
                  <c:v>14.5304</c:v>
                </c:pt>
                <c:pt idx="240">
                  <c:v>14.774000000000001</c:v>
                </c:pt>
                <c:pt idx="241">
                  <c:v>14.620600000000001</c:v>
                </c:pt>
                <c:pt idx="242">
                  <c:v>14.353199999999999</c:v>
                </c:pt>
                <c:pt idx="243">
                  <c:v>13.8474</c:v>
                </c:pt>
                <c:pt idx="244">
                  <c:v>14.152000000000001</c:v>
                </c:pt>
                <c:pt idx="245">
                  <c:v>14.943600000000002</c:v>
                </c:pt>
                <c:pt idx="246">
                  <c:v>15.074800000000002</c:v>
                </c:pt>
                <c:pt idx="247">
                  <c:v>13.992000000000001</c:v>
                </c:pt>
                <c:pt idx="248">
                  <c:v>15.044400000000001</c:v>
                </c:pt>
                <c:pt idx="249">
                  <c:v>14.994000000000002</c:v>
                </c:pt>
                <c:pt idx="250">
                  <c:v>13.983000000000001</c:v>
                </c:pt>
                <c:pt idx="251">
                  <c:v>13.61675</c:v>
                </c:pt>
                <c:pt idx="252">
                  <c:v>13.8803</c:v>
                </c:pt>
                <c:pt idx="253">
                  <c:v>14.064000000000002</c:v>
                </c:pt>
                <c:pt idx="254">
                  <c:v>14.08</c:v>
                </c:pt>
                <c:pt idx="255">
                  <c:v>14.2646</c:v>
                </c:pt>
                <c:pt idx="256">
                  <c:v>14.538600000000002</c:v>
                </c:pt>
                <c:pt idx="257">
                  <c:v>13.800300000000002</c:v>
                </c:pt>
                <c:pt idx="258">
                  <c:v>13.585750000000001</c:v>
                </c:pt>
                <c:pt idx="259">
                  <c:v>14.048</c:v>
                </c:pt>
                <c:pt idx="260">
                  <c:v>14.5304</c:v>
                </c:pt>
                <c:pt idx="261">
                  <c:v>14.128</c:v>
                </c:pt>
                <c:pt idx="262">
                  <c:v>14.474399999999999</c:v>
                </c:pt>
                <c:pt idx="263">
                  <c:v>14.2965</c:v>
                </c:pt>
                <c:pt idx="264">
                  <c:v>14.449950000000001</c:v>
                </c:pt>
                <c:pt idx="265">
                  <c:v>14.022500000000001</c:v>
                </c:pt>
                <c:pt idx="266">
                  <c:v>13.605899999999998</c:v>
                </c:pt>
                <c:pt idx="267">
                  <c:v>14.232400000000002</c:v>
                </c:pt>
                <c:pt idx="268">
                  <c:v>13.65</c:v>
                </c:pt>
                <c:pt idx="269">
                  <c:v>13.704599999999999</c:v>
                </c:pt>
                <c:pt idx="270">
                  <c:v>14.184000000000001</c:v>
                </c:pt>
                <c:pt idx="271">
                  <c:v>14.087999999999999</c:v>
                </c:pt>
                <c:pt idx="272">
                  <c:v>14.5304</c:v>
                </c:pt>
                <c:pt idx="273">
                  <c:v>14.184000000000001</c:v>
                </c:pt>
                <c:pt idx="274">
                  <c:v>14.369400000000001</c:v>
                </c:pt>
                <c:pt idx="275">
                  <c:v>14.0397</c:v>
                </c:pt>
                <c:pt idx="276">
                  <c:v>13.728</c:v>
                </c:pt>
                <c:pt idx="277">
                  <c:v>13.872399999999999</c:v>
                </c:pt>
                <c:pt idx="278">
                  <c:v>14.432</c:v>
                </c:pt>
                <c:pt idx="279">
                  <c:v>15.442499999999999</c:v>
                </c:pt>
                <c:pt idx="280">
                  <c:v>15.270300000000001</c:v>
                </c:pt>
                <c:pt idx="281">
                  <c:v>13.959299999999999</c:v>
                </c:pt>
                <c:pt idx="282">
                  <c:v>13.505800000000001</c:v>
                </c:pt>
                <c:pt idx="283">
                  <c:v>13.567399999999999</c:v>
                </c:pt>
                <c:pt idx="284">
                  <c:v>13.513500000000001</c:v>
                </c:pt>
                <c:pt idx="285">
                  <c:v>13.920449999999999</c:v>
                </c:pt>
                <c:pt idx="286">
                  <c:v>14.239800000000001</c:v>
                </c:pt>
                <c:pt idx="287">
                  <c:v>14.360299999999999</c:v>
                </c:pt>
                <c:pt idx="288">
                  <c:v>14.328900000000001</c:v>
                </c:pt>
                <c:pt idx="289">
                  <c:v>14.851200000000002</c:v>
                </c:pt>
                <c:pt idx="290">
                  <c:v>13.7514</c:v>
                </c:pt>
                <c:pt idx="291">
                  <c:v>14.497600000000002</c:v>
                </c:pt>
                <c:pt idx="292">
                  <c:v>14.33705</c:v>
                </c:pt>
                <c:pt idx="293">
                  <c:v>13.663250000000001</c:v>
                </c:pt>
                <c:pt idx="294">
                  <c:v>13.6213</c:v>
                </c:pt>
                <c:pt idx="295">
                  <c:v>13.728</c:v>
                </c:pt>
                <c:pt idx="296">
                  <c:v>13.800300000000002</c:v>
                </c:pt>
                <c:pt idx="297">
                  <c:v>14.128</c:v>
                </c:pt>
                <c:pt idx="298">
                  <c:v>13.8317</c:v>
                </c:pt>
                <c:pt idx="299">
                  <c:v>13.609</c:v>
                </c:pt>
                <c:pt idx="300">
                  <c:v>13.425749999999999</c:v>
                </c:pt>
                <c:pt idx="301">
                  <c:v>13.28045</c:v>
                </c:pt>
                <c:pt idx="302">
                  <c:v>13.250249999999999</c:v>
                </c:pt>
                <c:pt idx="303">
                  <c:v>14.2485</c:v>
                </c:pt>
                <c:pt idx="304">
                  <c:v>14.16</c:v>
                </c:pt>
                <c:pt idx="305">
                  <c:v>13.774799999999999</c:v>
                </c:pt>
                <c:pt idx="306">
                  <c:v>13.717499999999999</c:v>
                </c:pt>
                <c:pt idx="307">
                  <c:v>12.694749999999999</c:v>
                </c:pt>
                <c:pt idx="308">
                  <c:v>13.433399999999999</c:v>
                </c:pt>
                <c:pt idx="309">
                  <c:v>13.8474</c:v>
                </c:pt>
                <c:pt idx="310">
                  <c:v>14.531450000000001</c:v>
                </c:pt>
                <c:pt idx="311">
                  <c:v>13.8918</c:v>
                </c:pt>
                <c:pt idx="312">
                  <c:v>13.70975</c:v>
                </c:pt>
                <c:pt idx="313">
                  <c:v>13.7514</c:v>
                </c:pt>
                <c:pt idx="314">
                  <c:v>12.5496</c:v>
                </c:pt>
                <c:pt idx="315">
                  <c:v>13.927700000000002</c:v>
                </c:pt>
                <c:pt idx="316">
                  <c:v>14.063550000000001</c:v>
                </c:pt>
                <c:pt idx="317">
                  <c:v>14.16</c:v>
                </c:pt>
                <c:pt idx="318">
                  <c:v>13.998799999999999</c:v>
                </c:pt>
                <c:pt idx="319">
                  <c:v>15.479999999999999</c:v>
                </c:pt>
                <c:pt idx="320">
                  <c:v>14.046200000000001</c:v>
                </c:pt>
                <c:pt idx="321">
                  <c:v>14.8238</c:v>
                </c:pt>
                <c:pt idx="322">
                  <c:v>14.829600000000001</c:v>
                </c:pt>
                <c:pt idx="323">
                  <c:v>14.103300000000001</c:v>
                </c:pt>
                <c:pt idx="324">
                  <c:v>14.43365</c:v>
                </c:pt>
                <c:pt idx="325">
                  <c:v>13.927700000000002</c:v>
                </c:pt>
                <c:pt idx="326">
                  <c:v>14.77115</c:v>
                </c:pt>
                <c:pt idx="327">
                  <c:v>14.57775</c:v>
                </c:pt>
                <c:pt idx="328">
                  <c:v>14.901600000000002</c:v>
                </c:pt>
                <c:pt idx="329">
                  <c:v>14.796200000000001</c:v>
                </c:pt>
                <c:pt idx="330">
                  <c:v>14.787850000000001</c:v>
                </c:pt>
                <c:pt idx="331">
                  <c:v>14.2788</c:v>
                </c:pt>
                <c:pt idx="332">
                  <c:v>14.007999999999999</c:v>
                </c:pt>
                <c:pt idx="333">
                  <c:v>13.743599999999999</c:v>
                </c:pt>
                <c:pt idx="334">
                  <c:v>14.135999999999999</c:v>
                </c:pt>
                <c:pt idx="335">
                  <c:v>14.9734</c:v>
                </c:pt>
                <c:pt idx="336">
                  <c:v>14.7461</c:v>
                </c:pt>
                <c:pt idx="337">
                  <c:v>14.952000000000002</c:v>
                </c:pt>
                <c:pt idx="338">
                  <c:v>14.821250000000001</c:v>
                </c:pt>
                <c:pt idx="339">
                  <c:v>14.8797</c:v>
                </c:pt>
                <c:pt idx="340">
                  <c:v>14.28875</c:v>
                </c:pt>
                <c:pt idx="341">
                  <c:v>13.96815</c:v>
                </c:pt>
                <c:pt idx="342">
                  <c:v>13.9284</c:v>
                </c:pt>
                <c:pt idx="343">
                  <c:v>14.846300000000001</c:v>
                </c:pt>
                <c:pt idx="344">
                  <c:v>14.3856</c:v>
                </c:pt>
                <c:pt idx="345">
                  <c:v>14.758800000000001</c:v>
                </c:pt>
                <c:pt idx="346">
                  <c:v>13.8171</c:v>
                </c:pt>
                <c:pt idx="347">
                  <c:v>14.1426</c:v>
                </c:pt>
                <c:pt idx="348">
                  <c:v>13.627599999999999</c:v>
                </c:pt>
                <c:pt idx="349">
                  <c:v>14.148400000000001</c:v>
                </c:pt>
                <c:pt idx="350">
                  <c:v>13.79325</c:v>
                </c:pt>
                <c:pt idx="351">
                  <c:v>13.3133</c:v>
                </c:pt>
                <c:pt idx="352">
                  <c:v>13.93455</c:v>
                </c:pt>
                <c:pt idx="353">
                  <c:v>13.532999999999999</c:v>
                </c:pt>
                <c:pt idx="354">
                  <c:v>14.227</c:v>
                </c:pt>
                <c:pt idx="355">
                  <c:v>13.399750000000001</c:v>
                </c:pt>
                <c:pt idx="356">
                  <c:v>13.049199999999999</c:v>
                </c:pt>
                <c:pt idx="357">
                  <c:v>13.9587</c:v>
                </c:pt>
                <c:pt idx="358">
                  <c:v>13.54125</c:v>
                </c:pt>
                <c:pt idx="359">
                  <c:v>13.290199999999999</c:v>
                </c:pt>
                <c:pt idx="360">
                  <c:v>14.156549999999999</c:v>
                </c:pt>
                <c:pt idx="361">
                  <c:v>13.738100000000001</c:v>
                </c:pt>
                <c:pt idx="362">
                  <c:v>13.667</c:v>
                </c:pt>
                <c:pt idx="363">
                  <c:v>14.350000000000001</c:v>
                </c:pt>
                <c:pt idx="364">
                  <c:v>13.746</c:v>
                </c:pt>
                <c:pt idx="365">
                  <c:v>13.321</c:v>
                </c:pt>
                <c:pt idx="366">
                  <c:v>13.837950000000001</c:v>
                </c:pt>
                <c:pt idx="367">
                  <c:v>13.7376</c:v>
                </c:pt>
                <c:pt idx="368">
                  <c:v>13.580500000000001</c:v>
                </c:pt>
                <c:pt idx="369">
                  <c:v>13.439400000000001</c:v>
                </c:pt>
                <c:pt idx="370">
                  <c:v>13.049199999999999</c:v>
                </c:pt>
                <c:pt idx="371">
                  <c:v>13.041599999999999</c:v>
                </c:pt>
                <c:pt idx="372">
                  <c:v>13.29125</c:v>
                </c:pt>
                <c:pt idx="373">
                  <c:v>12.754399999999999</c:v>
                </c:pt>
                <c:pt idx="374">
                  <c:v>12.887849999999998</c:v>
                </c:pt>
                <c:pt idx="375">
                  <c:v>12.910499999999999</c:v>
                </c:pt>
                <c:pt idx="376">
                  <c:v>12.635199999999999</c:v>
                </c:pt>
                <c:pt idx="377">
                  <c:v>12.4392</c:v>
                </c:pt>
                <c:pt idx="378">
                  <c:v>12.661399999999999</c:v>
                </c:pt>
                <c:pt idx="379">
                  <c:v>12.402699999999999</c:v>
                </c:pt>
                <c:pt idx="380">
                  <c:v>13.3056</c:v>
                </c:pt>
                <c:pt idx="381">
                  <c:v>13.033999999999999</c:v>
                </c:pt>
                <c:pt idx="382">
                  <c:v>12.5726</c:v>
                </c:pt>
                <c:pt idx="383">
                  <c:v>12.3735</c:v>
                </c:pt>
                <c:pt idx="384">
                  <c:v>12.239999999999998</c:v>
                </c:pt>
                <c:pt idx="385">
                  <c:v>12.851599999999999</c:v>
                </c:pt>
                <c:pt idx="386">
                  <c:v>12.5244</c:v>
                </c:pt>
                <c:pt idx="387">
                  <c:v>14.007</c:v>
                </c:pt>
                <c:pt idx="388">
                  <c:v>13.5962</c:v>
                </c:pt>
                <c:pt idx="389">
                  <c:v>13.02375</c:v>
                </c:pt>
                <c:pt idx="390">
                  <c:v>12.448249999999998</c:v>
                </c:pt>
                <c:pt idx="391">
                  <c:v>12.791649999999999</c:v>
                </c:pt>
                <c:pt idx="392">
                  <c:v>13.651150000000001</c:v>
                </c:pt>
                <c:pt idx="393">
                  <c:v>12.6861</c:v>
                </c:pt>
                <c:pt idx="394">
                  <c:v>12.720599999999999</c:v>
                </c:pt>
                <c:pt idx="395">
                  <c:v>13.244</c:v>
                </c:pt>
                <c:pt idx="396">
                  <c:v>12.570599999999999</c:v>
                </c:pt>
                <c:pt idx="397">
                  <c:v>13.049199999999999</c:v>
                </c:pt>
                <c:pt idx="398">
                  <c:v>12.746949999999998</c:v>
                </c:pt>
                <c:pt idx="399">
                  <c:v>12.77675</c:v>
                </c:pt>
                <c:pt idx="400">
                  <c:v>12.397499999999999</c:v>
                </c:pt>
                <c:pt idx="401">
                  <c:v>12.4903</c:v>
                </c:pt>
                <c:pt idx="402">
                  <c:v>12.368499999999999</c:v>
                </c:pt>
                <c:pt idx="403">
                  <c:v>12.531749999999999</c:v>
                </c:pt>
                <c:pt idx="404">
                  <c:v>12.717149999999998</c:v>
                </c:pt>
                <c:pt idx="405">
                  <c:v>12.176449999999999</c:v>
                </c:pt>
                <c:pt idx="406">
                  <c:v>11.949749999999998</c:v>
                </c:pt>
                <c:pt idx="407">
                  <c:v>11.893000000000001</c:v>
                </c:pt>
                <c:pt idx="408">
                  <c:v>13.211549999999999</c:v>
                </c:pt>
                <c:pt idx="409">
                  <c:v>12.41925</c:v>
                </c:pt>
                <c:pt idx="410">
                  <c:v>12.268799999999999</c:v>
                </c:pt>
                <c:pt idx="411">
                  <c:v>13.90455</c:v>
                </c:pt>
                <c:pt idx="412">
                  <c:v>13.012499999999999</c:v>
                </c:pt>
                <c:pt idx="413">
                  <c:v>12.2837</c:v>
                </c:pt>
                <c:pt idx="414">
                  <c:v>12.219349999999999</c:v>
                </c:pt>
                <c:pt idx="415">
                  <c:v>12.8775</c:v>
                </c:pt>
                <c:pt idx="416">
                  <c:v>13.817100000000002</c:v>
                </c:pt>
                <c:pt idx="417">
                  <c:v>13.3903</c:v>
                </c:pt>
                <c:pt idx="418">
                  <c:v>12.799100000000001</c:v>
                </c:pt>
                <c:pt idx="419">
                  <c:v>12.668799999999999</c:v>
                </c:pt>
                <c:pt idx="420">
                  <c:v>12.784199999999998</c:v>
                </c:pt>
                <c:pt idx="421">
                  <c:v>12.77675</c:v>
                </c:pt>
                <c:pt idx="422">
                  <c:v>12.440999999999999</c:v>
                </c:pt>
                <c:pt idx="423">
                  <c:v>13.722299999999999</c:v>
                </c:pt>
                <c:pt idx="424">
                  <c:v>13.003599999999999</c:v>
                </c:pt>
                <c:pt idx="425">
                  <c:v>13.4862</c:v>
                </c:pt>
                <c:pt idx="426">
                  <c:v>13.001099999999999</c:v>
                </c:pt>
                <c:pt idx="427">
                  <c:v>12.6273</c:v>
                </c:pt>
                <c:pt idx="428">
                  <c:v>12.546449999999998</c:v>
                </c:pt>
                <c:pt idx="429">
                  <c:v>12.347999999999999</c:v>
                </c:pt>
                <c:pt idx="430">
                  <c:v>13.9602</c:v>
                </c:pt>
                <c:pt idx="431">
                  <c:v>13.6119</c:v>
                </c:pt>
                <c:pt idx="432">
                  <c:v>13.05395</c:v>
                </c:pt>
                <c:pt idx="433">
                  <c:v>12.6714</c:v>
                </c:pt>
                <c:pt idx="434">
                  <c:v>12.698399999999999</c:v>
                </c:pt>
                <c:pt idx="435">
                  <c:v>12.96</c:v>
                </c:pt>
                <c:pt idx="436">
                  <c:v>12.895949999999999</c:v>
                </c:pt>
                <c:pt idx="437">
                  <c:v>12.88105</c:v>
                </c:pt>
                <c:pt idx="438">
                  <c:v>12.455500000000001</c:v>
                </c:pt>
                <c:pt idx="439">
                  <c:v>12.772399999999999</c:v>
                </c:pt>
                <c:pt idx="440">
                  <c:v>12.713200000000001</c:v>
                </c:pt>
                <c:pt idx="441">
                  <c:v>12.570599999999999</c:v>
                </c:pt>
                <c:pt idx="442">
                  <c:v>12.498999999999999</c:v>
                </c:pt>
                <c:pt idx="443">
                  <c:v>12.66405</c:v>
                </c:pt>
                <c:pt idx="444">
                  <c:v>12.247949999999999</c:v>
                </c:pt>
                <c:pt idx="445">
                  <c:v>12.461099999999998</c:v>
                </c:pt>
                <c:pt idx="446">
                  <c:v>11.828900000000001</c:v>
                </c:pt>
                <c:pt idx="447">
                  <c:v>13.3224</c:v>
                </c:pt>
                <c:pt idx="448">
                  <c:v>13.5334</c:v>
                </c:pt>
                <c:pt idx="449">
                  <c:v>12.717149999999998</c:v>
                </c:pt>
                <c:pt idx="450">
                  <c:v>12.417299999999999</c:v>
                </c:pt>
                <c:pt idx="451">
                  <c:v>12.339499999999997</c:v>
                </c:pt>
                <c:pt idx="452">
                  <c:v>12.048699999999998</c:v>
                </c:pt>
                <c:pt idx="453">
                  <c:v>12.0345</c:v>
                </c:pt>
                <c:pt idx="454">
                  <c:v>12.07635</c:v>
                </c:pt>
                <c:pt idx="455">
                  <c:v>11.802000000000001</c:v>
                </c:pt>
                <c:pt idx="456">
                  <c:v>12.517049999999999</c:v>
                </c:pt>
                <c:pt idx="457">
                  <c:v>12.339499999999997</c:v>
                </c:pt>
                <c:pt idx="458">
                  <c:v>12.679899999999998</c:v>
                </c:pt>
                <c:pt idx="459">
                  <c:v>12.259749999999999</c:v>
                </c:pt>
                <c:pt idx="460">
                  <c:v>11.647200000000002</c:v>
                </c:pt>
                <c:pt idx="461">
                  <c:v>12.126399999999999</c:v>
                </c:pt>
                <c:pt idx="462">
                  <c:v>12.450899999999999</c:v>
                </c:pt>
                <c:pt idx="463">
                  <c:v>12.1896</c:v>
                </c:pt>
                <c:pt idx="464">
                  <c:v>11.998999999999999</c:v>
                </c:pt>
                <c:pt idx="465">
                  <c:v>12.310499999999999</c:v>
                </c:pt>
                <c:pt idx="466">
                  <c:v>12.431900000000001</c:v>
                </c:pt>
                <c:pt idx="467">
                  <c:v>12.461099999999998</c:v>
                </c:pt>
                <c:pt idx="468">
                  <c:v>11.879249999999999</c:v>
                </c:pt>
                <c:pt idx="469">
                  <c:v>12.664999999999999</c:v>
                </c:pt>
                <c:pt idx="470">
                  <c:v>12.535600000000001</c:v>
                </c:pt>
                <c:pt idx="471">
                  <c:v>11.907449999999999</c:v>
                </c:pt>
                <c:pt idx="472">
                  <c:v>11.550600000000001</c:v>
                </c:pt>
                <c:pt idx="473">
                  <c:v>12.315099999999999</c:v>
                </c:pt>
                <c:pt idx="474">
                  <c:v>11.4885</c:v>
                </c:pt>
                <c:pt idx="475">
                  <c:v>11.729199999999999</c:v>
                </c:pt>
                <c:pt idx="476">
                  <c:v>12.434849999999999</c:v>
                </c:pt>
                <c:pt idx="477">
                  <c:v>12.760200000000001</c:v>
                </c:pt>
                <c:pt idx="478">
                  <c:v>12.735800000000001</c:v>
                </c:pt>
                <c:pt idx="479">
                  <c:v>11.484449999999999</c:v>
                </c:pt>
                <c:pt idx="480">
                  <c:v>11.786399999999999</c:v>
                </c:pt>
                <c:pt idx="481">
                  <c:v>11.750399999999999</c:v>
                </c:pt>
                <c:pt idx="482">
                  <c:v>13.4918</c:v>
                </c:pt>
                <c:pt idx="483">
                  <c:v>12.73725</c:v>
                </c:pt>
                <c:pt idx="484">
                  <c:v>12.07605</c:v>
                </c:pt>
                <c:pt idx="485">
                  <c:v>12.562800000000001</c:v>
                </c:pt>
                <c:pt idx="486">
                  <c:v>12.344649999999998</c:v>
                </c:pt>
                <c:pt idx="487">
                  <c:v>12.988999999999999</c:v>
                </c:pt>
                <c:pt idx="488">
                  <c:v>12.669199999999998</c:v>
                </c:pt>
                <c:pt idx="489">
                  <c:v>13.01225</c:v>
                </c:pt>
                <c:pt idx="490">
                  <c:v>11.9808</c:v>
                </c:pt>
                <c:pt idx="491">
                  <c:v>12.261799999999999</c:v>
                </c:pt>
                <c:pt idx="492">
                  <c:v>11.969749999999999</c:v>
                </c:pt>
                <c:pt idx="493">
                  <c:v>12.585849999999999</c:v>
                </c:pt>
                <c:pt idx="494">
                  <c:v>11.613000000000001</c:v>
                </c:pt>
                <c:pt idx="495">
                  <c:v>11.481400000000001</c:v>
                </c:pt>
                <c:pt idx="496">
                  <c:v>11.667749999999998</c:v>
                </c:pt>
                <c:pt idx="497">
                  <c:v>11.660699999999999</c:v>
                </c:pt>
                <c:pt idx="498">
                  <c:v>11.186</c:v>
                </c:pt>
                <c:pt idx="499">
                  <c:v>12.161799999999999</c:v>
                </c:pt>
                <c:pt idx="500">
                  <c:v>12.1075</c:v>
                </c:pt>
                <c:pt idx="501">
                  <c:v>11.3436</c:v>
                </c:pt>
                <c:pt idx="502">
                  <c:v>11.081800000000001</c:v>
                </c:pt>
                <c:pt idx="503">
                  <c:v>10.787849999999999</c:v>
                </c:pt>
                <c:pt idx="504">
                  <c:v>11.2676</c:v>
                </c:pt>
                <c:pt idx="505">
                  <c:v>11.488350000000002</c:v>
                </c:pt>
                <c:pt idx="506">
                  <c:v>11.357300000000002</c:v>
                </c:pt>
                <c:pt idx="507">
                  <c:v>11.51615</c:v>
                </c:pt>
                <c:pt idx="508">
                  <c:v>11.61345</c:v>
                </c:pt>
                <c:pt idx="509">
                  <c:v>11.933349999999999</c:v>
                </c:pt>
                <c:pt idx="510">
                  <c:v>11.8499</c:v>
                </c:pt>
                <c:pt idx="511">
                  <c:v>10.942800000000002</c:v>
                </c:pt>
                <c:pt idx="512">
                  <c:v>12.951450000000001</c:v>
                </c:pt>
                <c:pt idx="513">
                  <c:v>12.1365</c:v>
                </c:pt>
                <c:pt idx="514">
                  <c:v>13.267799999999999</c:v>
                </c:pt>
                <c:pt idx="515">
                  <c:v>12.9124</c:v>
                </c:pt>
                <c:pt idx="516">
                  <c:v>12.088799999999999</c:v>
                </c:pt>
                <c:pt idx="517">
                  <c:v>12.227499999999999</c:v>
                </c:pt>
                <c:pt idx="518">
                  <c:v>12.074399999999999</c:v>
                </c:pt>
                <c:pt idx="519">
                  <c:v>12.370050000000001</c:v>
                </c:pt>
                <c:pt idx="520">
                  <c:v>11.976249999999999</c:v>
                </c:pt>
                <c:pt idx="521">
                  <c:v>12.0456</c:v>
                </c:pt>
                <c:pt idx="522">
                  <c:v>12.031199999999998</c:v>
                </c:pt>
                <c:pt idx="523">
                  <c:v>12.78928</c:v>
                </c:pt>
                <c:pt idx="524">
                  <c:v>12.592499999999999</c:v>
                </c:pt>
                <c:pt idx="525">
                  <c:v>13.368550000000001</c:v>
                </c:pt>
                <c:pt idx="526">
                  <c:v>12.29655</c:v>
                </c:pt>
                <c:pt idx="527">
                  <c:v>12.417199999999999</c:v>
                </c:pt>
                <c:pt idx="528">
                  <c:v>12.486199999999998</c:v>
                </c:pt>
                <c:pt idx="529">
                  <c:v>13.0665</c:v>
                </c:pt>
                <c:pt idx="530">
                  <c:v>13.0284</c:v>
                </c:pt>
                <c:pt idx="531">
                  <c:v>12.5458</c:v>
                </c:pt>
                <c:pt idx="532">
                  <c:v>12.661349999999999</c:v>
                </c:pt>
                <c:pt idx="533">
                  <c:v>12.8896</c:v>
                </c:pt>
                <c:pt idx="534">
                  <c:v>12.828800000000001</c:v>
                </c:pt>
                <c:pt idx="535">
                  <c:v>12.074399999999999</c:v>
                </c:pt>
                <c:pt idx="536">
                  <c:v>12.6</c:v>
                </c:pt>
                <c:pt idx="537">
                  <c:v>12.516</c:v>
                </c:pt>
                <c:pt idx="538">
                  <c:v>12.031199999999998</c:v>
                </c:pt>
                <c:pt idx="539">
                  <c:v>12.019149999999998</c:v>
                </c:pt>
                <c:pt idx="540">
                  <c:v>11.9209</c:v>
                </c:pt>
                <c:pt idx="541">
                  <c:v>11.947649999999999</c:v>
                </c:pt>
                <c:pt idx="542">
                  <c:v>12.129250000000001</c:v>
                </c:pt>
                <c:pt idx="543">
                  <c:v>12.074399999999999</c:v>
                </c:pt>
                <c:pt idx="544">
                  <c:v>12.2567</c:v>
                </c:pt>
                <c:pt idx="545">
                  <c:v>12.73</c:v>
                </c:pt>
                <c:pt idx="546">
                  <c:v>12.597949999999999</c:v>
                </c:pt>
                <c:pt idx="547">
                  <c:v>12.727499999999999</c:v>
                </c:pt>
                <c:pt idx="548">
                  <c:v>12.6501</c:v>
                </c:pt>
                <c:pt idx="549">
                  <c:v>12.4986</c:v>
                </c:pt>
                <c:pt idx="550">
                  <c:v>12.5282</c:v>
                </c:pt>
                <c:pt idx="551">
                  <c:v>12.124799999999999</c:v>
                </c:pt>
                <c:pt idx="552">
                  <c:v>12.2567</c:v>
                </c:pt>
                <c:pt idx="553">
                  <c:v>12.92085</c:v>
                </c:pt>
                <c:pt idx="554">
                  <c:v>12.5282</c:v>
                </c:pt>
                <c:pt idx="555">
                  <c:v>12.266999999999998</c:v>
                </c:pt>
                <c:pt idx="556">
                  <c:v>11.494300000000001</c:v>
                </c:pt>
                <c:pt idx="557">
                  <c:v>12.238</c:v>
                </c:pt>
                <c:pt idx="558">
                  <c:v>11.767000000000001</c:v>
                </c:pt>
                <c:pt idx="559">
                  <c:v>11.322000000000001</c:v>
                </c:pt>
                <c:pt idx="560">
                  <c:v>12.124799999999999</c:v>
                </c:pt>
                <c:pt idx="561">
                  <c:v>10.534650000000001</c:v>
                </c:pt>
                <c:pt idx="562">
                  <c:v>11.232000000000001</c:v>
                </c:pt>
                <c:pt idx="563">
                  <c:v>11.543700000000001</c:v>
                </c:pt>
                <c:pt idx="564">
                  <c:v>12.1655</c:v>
                </c:pt>
                <c:pt idx="565">
                  <c:v>11.543700000000001</c:v>
                </c:pt>
                <c:pt idx="566">
                  <c:v>11.3847</c:v>
                </c:pt>
                <c:pt idx="567">
                  <c:v>10.80095</c:v>
                </c:pt>
                <c:pt idx="568">
                  <c:v>10.694100000000001</c:v>
                </c:pt>
                <c:pt idx="569">
                  <c:v>10.929600000000001</c:v>
                </c:pt>
                <c:pt idx="570">
                  <c:v>11.232000000000001</c:v>
                </c:pt>
                <c:pt idx="571">
                  <c:v>11.3919</c:v>
                </c:pt>
                <c:pt idx="572">
                  <c:v>10.965850000000001</c:v>
                </c:pt>
                <c:pt idx="573">
                  <c:v>12.448949999999998</c:v>
                </c:pt>
                <c:pt idx="574">
                  <c:v>12.088799999999999</c:v>
                </c:pt>
                <c:pt idx="575">
                  <c:v>12.085749999999999</c:v>
                </c:pt>
                <c:pt idx="576">
                  <c:v>11.315200000000001</c:v>
                </c:pt>
                <c:pt idx="577">
                  <c:v>11.899599999999998</c:v>
                </c:pt>
                <c:pt idx="578">
                  <c:v>11.115300000000001</c:v>
                </c:pt>
                <c:pt idx="579">
                  <c:v>11.1622</c:v>
                </c:pt>
                <c:pt idx="580">
                  <c:v>12.023999999999999</c:v>
                </c:pt>
                <c:pt idx="581">
                  <c:v>11.696850000000001</c:v>
                </c:pt>
                <c:pt idx="582">
                  <c:v>11.2455</c:v>
                </c:pt>
                <c:pt idx="583">
                  <c:v>11.3832</c:v>
                </c:pt>
                <c:pt idx="584">
                  <c:v>12.590499999999999</c:v>
                </c:pt>
                <c:pt idx="585">
                  <c:v>12.110399999999998</c:v>
                </c:pt>
                <c:pt idx="586">
                  <c:v>12.201750000000001</c:v>
                </c:pt>
                <c:pt idx="587">
                  <c:v>12.491200000000001</c:v>
                </c:pt>
                <c:pt idx="588">
                  <c:v>11.801699999999999</c:v>
                </c:pt>
                <c:pt idx="589">
                  <c:v>10.6624</c:v>
                </c:pt>
                <c:pt idx="590">
                  <c:v>12.828800000000001</c:v>
                </c:pt>
                <c:pt idx="591">
                  <c:v>11.991899999999999</c:v>
                </c:pt>
                <c:pt idx="592">
                  <c:v>11.893349999999998</c:v>
                </c:pt>
                <c:pt idx="593">
                  <c:v>12.380799999999999</c:v>
                </c:pt>
                <c:pt idx="594">
                  <c:v>11.858099999999999</c:v>
                </c:pt>
                <c:pt idx="595">
                  <c:v>11.9977</c:v>
                </c:pt>
                <c:pt idx="596">
                  <c:v>12.187249999999999</c:v>
                </c:pt>
                <c:pt idx="597">
                  <c:v>12.8592</c:v>
                </c:pt>
                <c:pt idx="598">
                  <c:v>12.468999999999999</c:v>
                </c:pt>
                <c:pt idx="599">
                  <c:v>13.035600000000001</c:v>
                </c:pt>
                <c:pt idx="600">
                  <c:v>11.286</c:v>
                </c:pt>
                <c:pt idx="601">
                  <c:v>11.5023</c:v>
                </c:pt>
                <c:pt idx="602">
                  <c:v>11.906699999999999</c:v>
                </c:pt>
                <c:pt idx="603">
                  <c:v>11.899599999999998</c:v>
                </c:pt>
                <c:pt idx="604">
                  <c:v>12.6</c:v>
                </c:pt>
                <c:pt idx="605">
                  <c:v>12.7142</c:v>
                </c:pt>
                <c:pt idx="606">
                  <c:v>12.674999999999999</c:v>
                </c:pt>
                <c:pt idx="607">
                  <c:v>11.1622</c:v>
                </c:pt>
                <c:pt idx="608">
                  <c:v>11.122</c:v>
                </c:pt>
                <c:pt idx="609">
                  <c:v>11.669</c:v>
                </c:pt>
                <c:pt idx="610">
                  <c:v>11.148800000000001</c:v>
                </c:pt>
                <c:pt idx="611">
                  <c:v>11.571750000000002</c:v>
                </c:pt>
                <c:pt idx="612">
                  <c:v>12.1655</c:v>
                </c:pt>
                <c:pt idx="613">
                  <c:v>11.893349999999998</c:v>
                </c:pt>
                <c:pt idx="614">
                  <c:v>11.669</c:v>
                </c:pt>
                <c:pt idx="615">
                  <c:v>11.977699999999999</c:v>
                </c:pt>
                <c:pt idx="616">
                  <c:v>11.424000000000001</c:v>
                </c:pt>
                <c:pt idx="617">
                  <c:v>11.509200000000002</c:v>
                </c:pt>
                <c:pt idx="618">
                  <c:v>11.760000000000002</c:v>
                </c:pt>
                <c:pt idx="619">
                  <c:v>12.597949999999999</c:v>
                </c:pt>
                <c:pt idx="620">
                  <c:v>11.634300000000001</c:v>
                </c:pt>
                <c:pt idx="621">
                  <c:v>11.885399999999999</c:v>
                </c:pt>
                <c:pt idx="622">
                  <c:v>12.230749999999999</c:v>
                </c:pt>
                <c:pt idx="623">
                  <c:v>11.746000000000002</c:v>
                </c:pt>
                <c:pt idx="624">
                  <c:v>11.418950000000001</c:v>
                </c:pt>
                <c:pt idx="625">
                  <c:v>13.167250000000001</c:v>
                </c:pt>
                <c:pt idx="626">
                  <c:v>11.991899999999999</c:v>
                </c:pt>
                <c:pt idx="627">
                  <c:v>11.68295</c:v>
                </c:pt>
                <c:pt idx="628">
                  <c:v>11.516100000000002</c:v>
                </c:pt>
                <c:pt idx="629">
                  <c:v>11.055</c:v>
                </c:pt>
                <c:pt idx="630">
                  <c:v>11.279250000000001</c:v>
                </c:pt>
                <c:pt idx="631">
                  <c:v>11.015400000000001</c:v>
                </c:pt>
                <c:pt idx="632">
                  <c:v>11.1555</c:v>
                </c:pt>
                <c:pt idx="633">
                  <c:v>11.335599999999999</c:v>
                </c:pt>
                <c:pt idx="634">
                  <c:v>10.70055</c:v>
                </c:pt>
                <c:pt idx="635">
                  <c:v>11.039000000000001</c:v>
                </c:pt>
                <c:pt idx="636">
                  <c:v>11.3696</c:v>
                </c:pt>
                <c:pt idx="637">
                  <c:v>12.2525</c:v>
                </c:pt>
                <c:pt idx="638">
                  <c:v>12.209</c:v>
                </c:pt>
                <c:pt idx="639">
                  <c:v>11.487450000000001</c:v>
                </c:pt>
                <c:pt idx="640">
                  <c:v>11.092200000000002</c:v>
                </c:pt>
                <c:pt idx="641">
                  <c:v>10.9824</c:v>
                </c:pt>
                <c:pt idx="642">
                  <c:v>11.2676</c:v>
                </c:pt>
                <c:pt idx="643">
                  <c:v>11.4954</c:v>
                </c:pt>
                <c:pt idx="644">
                  <c:v>12.203999999999999</c:v>
                </c:pt>
                <c:pt idx="645">
                  <c:v>11.578200000000002</c:v>
                </c:pt>
                <c:pt idx="646">
                  <c:v>11.550600000000001</c:v>
                </c:pt>
                <c:pt idx="647">
                  <c:v>10.925400000000002</c:v>
                </c:pt>
                <c:pt idx="648">
                  <c:v>10.969199999999999</c:v>
                </c:pt>
                <c:pt idx="649">
                  <c:v>10.707000000000001</c:v>
                </c:pt>
                <c:pt idx="650">
                  <c:v>11.225250000000001</c:v>
                </c:pt>
                <c:pt idx="651">
                  <c:v>10.9991</c:v>
                </c:pt>
                <c:pt idx="652">
                  <c:v>11.039000000000001</c:v>
                </c:pt>
                <c:pt idx="653">
                  <c:v>10.89</c:v>
                </c:pt>
                <c:pt idx="654">
                  <c:v>10.3887</c:v>
                </c:pt>
                <c:pt idx="655">
                  <c:v>10.129049999999999</c:v>
                </c:pt>
                <c:pt idx="656">
                  <c:v>10.5792</c:v>
                </c:pt>
                <c:pt idx="657">
                  <c:v>10.679500000000001</c:v>
                </c:pt>
                <c:pt idx="658">
                  <c:v>10.401299999999999</c:v>
                </c:pt>
                <c:pt idx="659">
                  <c:v>10.28125</c:v>
                </c:pt>
                <c:pt idx="660">
                  <c:v>10.174199999999999</c:v>
                </c:pt>
                <c:pt idx="661">
                  <c:v>10.225</c:v>
                </c:pt>
                <c:pt idx="662">
                  <c:v>10.3887</c:v>
                </c:pt>
                <c:pt idx="663">
                  <c:v>10.73545</c:v>
                </c:pt>
                <c:pt idx="664">
                  <c:v>10.916400000000001</c:v>
                </c:pt>
                <c:pt idx="665">
                  <c:v>10.401299999999999</c:v>
                </c:pt>
                <c:pt idx="666">
                  <c:v>10.4139</c:v>
                </c:pt>
                <c:pt idx="667">
                  <c:v>9.769899999999998</c:v>
                </c:pt>
                <c:pt idx="668">
                  <c:v>9.5120000000000005</c:v>
                </c:pt>
                <c:pt idx="669">
                  <c:v>10.022300000000001</c:v>
                </c:pt>
                <c:pt idx="670">
                  <c:v>9.5120000000000005</c:v>
                </c:pt>
                <c:pt idx="671">
                  <c:v>11.542250000000001</c:v>
                </c:pt>
                <c:pt idx="672">
                  <c:v>10.407599999999999</c:v>
                </c:pt>
                <c:pt idx="673">
                  <c:v>11.105500000000001</c:v>
                </c:pt>
                <c:pt idx="674">
                  <c:v>10.083300000000001</c:v>
                </c:pt>
                <c:pt idx="675">
                  <c:v>10.694100000000001</c:v>
                </c:pt>
                <c:pt idx="676">
                  <c:v>9.7172999999999981</c:v>
                </c:pt>
                <c:pt idx="677">
                  <c:v>10.4391</c:v>
                </c:pt>
                <c:pt idx="678">
                  <c:v>10.2858</c:v>
                </c:pt>
                <c:pt idx="679">
                  <c:v>10.802999999999999</c:v>
                </c:pt>
                <c:pt idx="680">
                  <c:v>10.0162</c:v>
                </c:pt>
                <c:pt idx="681">
                  <c:v>10.617600000000001</c:v>
                </c:pt>
                <c:pt idx="682">
                  <c:v>10.24375</c:v>
                </c:pt>
                <c:pt idx="683">
                  <c:v>9.84</c:v>
                </c:pt>
                <c:pt idx="684">
                  <c:v>10.30625</c:v>
                </c:pt>
                <c:pt idx="685">
                  <c:v>10.0406</c:v>
                </c:pt>
                <c:pt idx="686">
                  <c:v>9.6582999999999988</c:v>
                </c:pt>
                <c:pt idx="687">
                  <c:v>10.496550000000001</c:v>
                </c:pt>
                <c:pt idx="688">
                  <c:v>9.9461999999999993</c:v>
                </c:pt>
                <c:pt idx="689">
                  <c:v>9.5706000000000007</c:v>
                </c:pt>
                <c:pt idx="690">
                  <c:v>9.2682000000000002</c:v>
                </c:pt>
                <c:pt idx="691">
                  <c:v>10.2052</c:v>
                </c:pt>
                <c:pt idx="692">
                  <c:v>9.407</c:v>
                </c:pt>
                <c:pt idx="693">
                  <c:v>9.164299999999999</c:v>
                </c:pt>
                <c:pt idx="694">
                  <c:v>8.9965499999999992</c:v>
                </c:pt>
                <c:pt idx="695">
                  <c:v>9.0776000000000003</c:v>
                </c:pt>
                <c:pt idx="696">
                  <c:v>9.3610000000000007</c:v>
                </c:pt>
                <c:pt idx="697">
                  <c:v>9.3960000000000008</c:v>
                </c:pt>
                <c:pt idx="698">
                  <c:v>8.7425999999999995</c:v>
                </c:pt>
                <c:pt idx="699">
                  <c:v>10.0101</c:v>
                </c:pt>
                <c:pt idx="700">
                  <c:v>9.8339999999999996</c:v>
                </c:pt>
                <c:pt idx="701">
                  <c:v>9.6464999999999996</c:v>
                </c:pt>
                <c:pt idx="702">
                  <c:v>8.5754000000000001</c:v>
                </c:pt>
                <c:pt idx="703">
                  <c:v>9.0132000000000012</c:v>
                </c:pt>
                <c:pt idx="704">
                  <c:v>9.1168000000000013</c:v>
                </c:pt>
                <c:pt idx="705">
                  <c:v>10.401300000000001</c:v>
                </c:pt>
                <c:pt idx="706">
                  <c:v>10.180399999999999</c:v>
                </c:pt>
                <c:pt idx="707">
                  <c:v>10.726350000000002</c:v>
                </c:pt>
                <c:pt idx="708">
                  <c:v>9.59985</c:v>
                </c:pt>
                <c:pt idx="709">
                  <c:v>9.0663999999999998</c:v>
                </c:pt>
                <c:pt idx="710">
                  <c:v>9.8856999999999999</c:v>
                </c:pt>
                <c:pt idx="711">
                  <c:v>9.3782499999999995</c:v>
                </c:pt>
                <c:pt idx="712">
                  <c:v>11.122</c:v>
                </c:pt>
                <c:pt idx="713">
                  <c:v>10.6112</c:v>
                </c:pt>
                <c:pt idx="714">
                  <c:v>10.420200000000001</c:v>
                </c:pt>
                <c:pt idx="715">
                  <c:v>9.9280499999999989</c:v>
                </c:pt>
                <c:pt idx="716">
                  <c:v>10.48385</c:v>
                </c:pt>
                <c:pt idx="717">
                  <c:v>10.50925</c:v>
                </c:pt>
                <c:pt idx="718">
                  <c:v>10.44575</c:v>
                </c:pt>
                <c:pt idx="719">
                  <c:v>10.2125</c:v>
                </c:pt>
                <c:pt idx="720">
                  <c:v>10.350900000000001</c:v>
                </c:pt>
                <c:pt idx="721">
                  <c:v>10.81405</c:v>
                </c:pt>
                <c:pt idx="722">
                  <c:v>10.592000000000001</c:v>
                </c:pt>
                <c:pt idx="723">
                  <c:v>9.2829500000000014</c:v>
                </c:pt>
                <c:pt idx="724">
                  <c:v>9.2490500000000004</c:v>
                </c:pt>
                <c:pt idx="725">
                  <c:v>10.31875</c:v>
                </c:pt>
                <c:pt idx="726">
                  <c:v>9.7877499999999991</c:v>
                </c:pt>
                <c:pt idx="727">
                  <c:v>11.371200000000002</c:v>
                </c:pt>
                <c:pt idx="728">
                  <c:v>10.86645</c:v>
                </c:pt>
                <c:pt idx="729">
                  <c:v>11.025700000000001</c:v>
                </c:pt>
                <c:pt idx="730">
                  <c:v>10.553600000000001</c:v>
                </c:pt>
                <c:pt idx="731">
                  <c:v>12.3774</c:v>
                </c:pt>
                <c:pt idx="732">
                  <c:v>11.9138</c:v>
                </c:pt>
                <c:pt idx="733">
                  <c:v>11.711000000000002</c:v>
                </c:pt>
                <c:pt idx="734">
                  <c:v>12.4068</c:v>
                </c:pt>
                <c:pt idx="735">
                  <c:v>11.3628</c:v>
                </c:pt>
                <c:pt idx="736">
                  <c:v>11.0022</c:v>
                </c:pt>
                <c:pt idx="737">
                  <c:v>10.661850000000001</c:v>
                </c:pt>
                <c:pt idx="738">
                  <c:v>10.694100000000001</c:v>
                </c:pt>
                <c:pt idx="739">
                  <c:v>11.571750000000002</c:v>
                </c:pt>
                <c:pt idx="740">
                  <c:v>11.718000000000002</c:v>
                </c:pt>
                <c:pt idx="741">
                  <c:v>11.851049999999999</c:v>
                </c:pt>
                <c:pt idx="742">
                  <c:v>11.115300000000001</c:v>
                </c:pt>
                <c:pt idx="743">
                  <c:v>10.7575</c:v>
                </c:pt>
                <c:pt idx="744">
                  <c:v>11.4678</c:v>
                </c:pt>
                <c:pt idx="745">
                  <c:v>12.461600000000001</c:v>
                </c:pt>
                <c:pt idx="746">
                  <c:v>11.787599999999998</c:v>
                </c:pt>
                <c:pt idx="747">
                  <c:v>12.315099999999999</c:v>
                </c:pt>
                <c:pt idx="748">
                  <c:v>11.168900000000001</c:v>
                </c:pt>
                <c:pt idx="749">
                  <c:v>11.36415</c:v>
                </c:pt>
                <c:pt idx="750">
                  <c:v>11.005750000000001</c:v>
                </c:pt>
                <c:pt idx="751">
                  <c:v>11.218500000000001</c:v>
                </c:pt>
                <c:pt idx="752">
                  <c:v>12.110399999999998</c:v>
                </c:pt>
                <c:pt idx="753">
                  <c:v>11.6204</c:v>
                </c:pt>
                <c:pt idx="754">
                  <c:v>10.8355</c:v>
                </c:pt>
                <c:pt idx="755">
                  <c:v>11.058950000000001</c:v>
                </c:pt>
                <c:pt idx="756">
                  <c:v>10.931950000000001</c:v>
                </c:pt>
                <c:pt idx="757">
                  <c:v>11.822849999999997</c:v>
                </c:pt>
                <c:pt idx="758">
                  <c:v>12.92</c:v>
                </c:pt>
                <c:pt idx="759">
                  <c:v>11.065600000000002</c:v>
                </c:pt>
                <c:pt idx="760">
                  <c:v>10.8992</c:v>
                </c:pt>
                <c:pt idx="761">
                  <c:v>11.132100000000001</c:v>
                </c:pt>
                <c:pt idx="762">
                  <c:v>11.990549999999999</c:v>
                </c:pt>
                <c:pt idx="763">
                  <c:v>11.396800000000001</c:v>
                </c:pt>
                <c:pt idx="764">
                  <c:v>11.746000000000002</c:v>
                </c:pt>
                <c:pt idx="765">
                  <c:v>11.592600000000003</c:v>
                </c:pt>
                <c:pt idx="766">
                  <c:v>11.585100000000001</c:v>
                </c:pt>
                <c:pt idx="767">
                  <c:v>11.886299999999999</c:v>
                </c:pt>
                <c:pt idx="768">
                  <c:v>11.794649999999999</c:v>
                </c:pt>
                <c:pt idx="769">
                  <c:v>11.313000000000001</c:v>
                </c:pt>
                <c:pt idx="770">
                  <c:v>11.417200000000001</c:v>
                </c:pt>
                <c:pt idx="771">
                  <c:v>13.792000000000002</c:v>
                </c:pt>
                <c:pt idx="772">
                  <c:v>13.369200000000001</c:v>
                </c:pt>
                <c:pt idx="773">
                  <c:v>12.535600000000001</c:v>
                </c:pt>
                <c:pt idx="774">
                  <c:v>12.520799999999998</c:v>
                </c:pt>
                <c:pt idx="775">
                  <c:v>12.281499999999999</c:v>
                </c:pt>
                <c:pt idx="776">
                  <c:v>12.542999999999999</c:v>
                </c:pt>
                <c:pt idx="777">
                  <c:v>12.026299999999997</c:v>
                </c:pt>
                <c:pt idx="778">
                  <c:v>12.172749999999999</c:v>
                </c:pt>
                <c:pt idx="779">
                  <c:v>12.026299999999997</c:v>
                </c:pt>
                <c:pt idx="780">
                  <c:v>12.727499999999999</c:v>
                </c:pt>
                <c:pt idx="781">
                  <c:v>12.657550000000001</c:v>
                </c:pt>
                <c:pt idx="782">
                  <c:v>11.949299999999999</c:v>
                </c:pt>
                <c:pt idx="783">
                  <c:v>11.746000000000002</c:v>
                </c:pt>
                <c:pt idx="784">
                  <c:v>12.392099999999999</c:v>
                </c:pt>
                <c:pt idx="785">
                  <c:v>12.329699999999999</c:v>
                </c:pt>
                <c:pt idx="786">
                  <c:v>12.006099999999998</c:v>
                </c:pt>
                <c:pt idx="787">
                  <c:v>12.616999999999999</c:v>
                </c:pt>
                <c:pt idx="788">
                  <c:v>13.09</c:v>
                </c:pt>
                <c:pt idx="789">
                  <c:v>12.6203</c:v>
                </c:pt>
                <c:pt idx="790">
                  <c:v>12.804799999999998</c:v>
                </c:pt>
                <c:pt idx="791">
                  <c:v>12.821199999999999</c:v>
                </c:pt>
                <c:pt idx="792">
                  <c:v>12.278599999999999</c:v>
                </c:pt>
                <c:pt idx="793">
                  <c:v>12.143749999999999</c:v>
                </c:pt>
                <c:pt idx="794">
                  <c:v>11.272500000000001</c:v>
                </c:pt>
                <c:pt idx="795">
                  <c:v>13.07385</c:v>
                </c:pt>
                <c:pt idx="796">
                  <c:v>13.478449999999999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7BD-4501-9F04-9A6CA209FE45}"/>
            </c:ext>
          </c:extLst>
        </c:ser>
        <c:ser>
          <c:idx val="12"/>
          <c:order val="2"/>
          <c:tx>
            <c:strRef>
              <c:f>Pesos_R!$R$1</c:f>
              <c:strCache>
                <c:ptCount val="1"/>
                <c:pt idx="0">
                  <c:v> Protein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Pesos_R!$D$2:$D$798</c:f>
              <c:numCache>
                <c:formatCode>m/d/yyyy</c:formatCode>
                <c:ptCount val="797"/>
                <c:pt idx="0">
                  <c:v>45110</c:v>
                </c:pt>
                <c:pt idx="1">
                  <c:v>45111</c:v>
                </c:pt>
                <c:pt idx="2">
                  <c:v>45112</c:v>
                </c:pt>
                <c:pt idx="3">
                  <c:v>45113</c:v>
                </c:pt>
                <c:pt idx="4">
                  <c:v>45114</c:v>
                </c:pt>
                <c:pt idx="5">
                  <c:v>45115</c:v>
                </c:pt>
                <c:pt idx="6">
                  <c:v>45116</c:v>
                </c:pt>
                <c:pt idx="7">
                  <c:v>45117</c:v>
                </c:pt>
                <c:pt idx="8">
                  <c:v>45118</c:v>
                </c:pt>
                <c:pt idx="9">
                  <c:v>45119</c:v>
                </c:pt>
                <c:pt idx="10">
                  <c:v>45120</c:v>
                </c:pt>
                <c:pt idx="11">
                  <c:v>45121</c:v>
                </c:pt>
                <c:pt idx="12">
                  <c:v>45122</c:v>
                </c:pt>
                <c:pt idx="13">
                  <c:v>45123</c:v>
                </c:pt>
                <c:pt idx="14">
                  <c:v>45124</c:v>
                </c:pt>
                <c:pt idx="15">
                  <c:v>45125</c:v>
                </c:pt>
                <c:pt idx="16">
                  <c:v>45126</c:v>
                </c:pt>
                <c:pt idx="17">
                  <c:v>45134</c:v>
                </c:pt>
                <c:pt idx="18">
                  <c:v>45135</c:v>
                </c:pt>
                <c:pt idx="19">
                  <c:v>45136</c:v>
                </c:pt>
                <c:pt idx="20">
                  <c:v>45137</c:v>
                </c:pt>
                <c:pt idx="21">
                  <c:v>45138</c:v>
                </c:pt>
                <c:pt idx="22">
                  <c:v>45139</c:v>
                </c:pt>
                <c:pt idx="23">
                  <c:v>45140</c:v>
                </c:pt>
                <c:pt idx="24">
                  <c:v>45141</c:v>
                </c:pt>
                <c:pt idx="25">
                  <c:v>45142</c:v>
                </c:pt>
                <c:pt idx="26">
                  <c:v>45143</c:v>
                </c:pt>
                <c:pt idx="27">
                  <c:v>45144</c:v>
                </c:pt>
                <c:pt idx="28">
                  <c:v>45145</c:v>
                </c:pt>
                <c:pt idx="29">
                  <c:v>45153</c:v>
                </c:pt>
                <c:pt idx="30">
                  <c:v>45154</c:v>
                </c:pt>
                <c:pt idx="31">
                  <c:v>45155</c:v>
                </c:pt>
                <c:pt idx="32">
                  <c:v>45156</c:v>
                </c:pt>
                <c:pt idx="33">
                  <c:v>45157</c:v>
                </c:pt>
                <c:pt idx="34">
                  <c:v>45158</c:v>
                </c:pt>
                <c:pt idx="35">
                  <c:v>45159</c:v>
                </c:pt>
                <c:pt idx="36">
                  <c:v>45160</c:v>
                </c:pt>
                <c:pt idx="37">
                  <c:v>45161</c:v>
                </c:pt>
                <c:pt idx="38">
                  <c:v>45163</c:v>
                </c:pt>
                <c:pt idx="39">
                  <c:v>45164</c:v>
                </c:pt>
                <c:pt idx="40">
                  <c:v>45165</c:v>
                </c:pt>
                <c:pt idx="41">
                  <c:v>45166</c:v>
                </c:pt>
                <c:pt idx="42">
                  <c:v>45167</c:v>
                </c:pt>
                <c:pt idx="43">
                  <c:v>45168</c:v>
                </c:pt>
                <c:pt idx="44">
                  <c:v>45169</c:v>
                </c:pt>
                <c:pt idx="45">
                  <c:v>45170</c:v>
                </c:pt>
                <c:pt idx="46">
                  <c:v>45171</c:v>
                </c:pt>
                <c:pt idx="47">
                  <c:v>45172</c:v>
                </c:pt>
                <c:pt idx="48">
                  <c:v>45173</c:v>
                </c:pt>
                <c:pt idx="49">
                  <c:v>45174</c:v>
                </c:pt>
                <c:pt idx="50">
                  <c:v>45175</c:v>
                </c:pt>
                <c:pt idx="51">
                  <c:v>45176</c:v>
                </c:pt>
                <c:pt idx="52">
                  <c:v>45177</c:v>
                </c:pt>
                <c:pt idx="53">
                  <c:v>45178</c:v>
                </c:pt>
                <c:pt idx="54">
                  <c:v>45179</c:v>
                </c:pt>
                <c:pt idx="55">
                  <c:v>45180</c:v>
                </c:pt>
                <c:pt idx="56">
                  <c:v>45181</c:v>
                </c:pt>
                <c:pt idx="57">
                  <c:v>45182</c:v>
                </c:pt>
                <c:pt idx="58">
                  <c:v>45183</c:v>
                </c:pt>
                <c:pt idx="59">
                  <c:v>45184</c:v>
                </c:pt>
                <c:pt idx="60">
                  <c:v>45185</c:v>
                </c:pt>
                <c:pt idx="61">
                  <c:v>45186</c:v>
                </c:pt>
                <c:pt idx="62">
                  <c:v>45187</c:v>
                </c:pt>
                <c:pt idx="63">
                  <c:v>45188</c:v>
                </c:pt>
                <c:pt idx="64">
                  <c:v>45189</c:v>
                </c:pt>
                <c:pt idx="65">
                  <c:v>45190</c:v>
                </c:pt>
                <c:pt idx="66">
                  <c:v>45193</c:v>
                </c:pt>
                <c:pt idx="67">
                  <c:v>45194</c:v>
                </c:pt>
                <c:pt idx="68">
                  <c:v>45195</c:v>
                </c:pt>
                <c:pt idx="69">
                  <c:v>45196</c:v>
                </c:pt>
                <c:pt idx="70">
                  <c:v>45197</c:v>
                </c:pt>
                <c:pt idx="71">
                  <c:v>45198</c:v>
                </c:pt>
                <c:pt idx="72">
                  <c:v>45199</c:v>
                </c:pt>
                <c:pt idx="73">
                  <c:v>45200</c:v>
                </c:pt>
                <c:pt idx="74">
                  <c:v>45201</c:v>
                </c:pt>
                <c:pt idx="75">
                  <c:v>45202</c:v>
                </c:pt>
                <c:pt idx="76">
                  <c:v>45203</c:v>
                </c:pt>
                <c:pt idx="77">
                  <c:v>45204</c:v>
                </c:pt>
                <c:pt idx="78">
                  <c:v>45205</c:v>
                </c:pt>
                <c:pt idx="79">
                  <c:v>45206</c:v>
                </c:pt>
                <c:pt idx="80">
                  <c:v>45207</c:v>
                </c:pt>
                <c:pt idx="81">
                  <c:v>45208</c:v>
                </c:pt>
                <c:pt idx="82">
                  <c:v>45209</c:v>
                </c:pt>
                <c:pt idx="83">
                  <c:v>45210</c:v>
                </c:pt>
                <c:pt idx="84">
                  <c:v>45211</c:v>
                </c:pt>
                <c:pt idx="85">
                  <c:v>45212</c:v>
                </c:pt>
                <c:pt idx="86">
                  <c:v>45213</c:v>
                </c:pt>
                <c:pt idx="87">
                  <c:v>45214</c:v>
                </c:pt>
                <c:pt idx="88">
                  <c:v>45215</c:v>
                </c:pt>
                <c:pt idx="89">
                  <c:v>45216</c:v>
                </c:pt>
                <c:pt idx="90">
                  <c:v>45219</c:v>
                </c:pt>
                <c:pt idx="91">
                  <c:v>45220</c:v>
                </c:pt>
                <c:pt idx="92">
                  <c:v>45221</c:v>
                </c:pt>
                <c:pt idx="93">
                  <c:v>45222</c:v>
                </c:pt>
                <c:pt idx="94">
                  <c:v>45223</c:v>
                </c:pt>
                <c:pt idx="95">
                  <c:v>45224</c:v>
                </c:pt>
                <c:pt idx="96">
                  <c:v>45226</c:v>
                </c:pt>
                <c:pt idx="97">
                  <c:v>45227</c:v>
                </c:pt>
                <c:pt idx="98">
                  <c:v>45228</c:v>
                </c:pt>
                <c:pt idx="99">
                  <c:v>45229</c:v>
                </c:pt>
                <c:pt idx="100">
                  <c:v>45230</c:v>
                </c:pt>
                <c:pt idx="101">
                  <c:v>45231</c:v>
                </c:pt>
                <c:pt idx="102">
                  <c:v>45232</c:v>
                </c:pt>
                <c:pt idx="103">
                  <c:v>45233</c:v>
                </c:pt>
                <c:pt idx="104">
                  <c:v>45234</c:v>
                </c:pt>
                <c:pt idx="105">
                  <c:v>45235</c:v>
                </c:pt>
                <c:pt idx="106">
                  <c:v>45241</c:v>
                </c:pt>
                <c:pt idx="107">
                  <c:v>45242</c:v>
                </c:pt>
                <c:pt idx="108">
                  <c:v>45243</c:v>
                </c:pt>
                <c:pt idx="109">
                  <c:v>45244</c:v>
                </c:pt>
                <c:pt idx="110">
                  <c:v>45245</c:v>
                </c:pt>
                <c:pt idx="111">
                  <c:v>45246</c:v>
                </c:pt>
                <c:pt idx="112">
                  <c:v>45248</c:v>
                </c:pt>
                <c:pt idx="113">
                  <c:v>45249</c:v>
                </c:pt>
                <c:pt idx="114">
                  <c:v>45250</c:v>
                </c:pt>
                <c:pt idx="115">
                  <c:v>45251</c:v>
                </c:pt>
                <c:pt idx="116">
                  <c:v>45252</c:v>
                </c:pt>
                <c:pt idx="117">
                  <c:v>45253</c:v>
                </c:pt>
                <c:pt idx="118">
                  <c:v>45254</c:v>
                </c:pt>
                <c:pt idx="119">
                  <c:v>45255</c:v>
                </c:pt>
                <c:pt idx="120">
                  <c:v>45256</c:v>
                </c:pt>
                <c:pt idx="121">
                  <c:v>45257</c:v>
                </c:pt>
                <c:pt idx="122">
                  <c:v>45258</c:v>
                </c:pt>
                <c:pt idx="123">
                  <c:v>45259</c:v>
                </c:pt>
                <c:pt idx="124">
                  <c:v>45260</c:v>
                </c:pt>
                <c:pt idx="125">
                  <c:v>45261</c:v>
                </c:pt>
                <c:pt idx="126">
                  <c:v>45262</c:v>
                </c:pt>
                <c:pt idx="127">
                  <c:v>45263</c:v>
                </c:pt>
                <c:pt idx="128">
                  <c:v>45264</c:v>
                </c:pt>
                <c:pt idx="129">
                  <c:v>45265</c:v>
                </c:pt>
                <c:pt idx="130">
                  <c:v>45266</c:v>
                </c:pt>
                <c:pt idx="131">
                  <c:v>45267</c:v>
                </c:pt>
                <c:pt idx="132">
                  <c:v>45268</c:v>
                </c:pt>
                <c:pt idx="133">
                  <c:v>45269</c:v>
                </c:pt>
                <c:pt idx="134">
                  <c:v>45270</c:v>
                </c:pt>
                <c:pt idx="135">
                  <c:v>45271</c:v>
                </c:pt>
                <c:pt idx="136">
                  <c:v>45272</c:v>
                </c:pt>
                <c:pt idx="137">
                  <c:v>45273</c:v>
                </c:pt>
                <c:pt idx="138">
                  <c:v>45274</c:v>
                </c:pt>
                <c:pt idx="139">
                  <c:v>45275</c:v>
                </c:pt>
                <c:pt idx="140">
                  <c:v>45276</c:v>
                </c:pt>
                <c:pt idx="141">
                  <c:v>45277</c:v>
                </c:pt>
                <c:pt idx="142">
                  <c:v>45278</c:v>
                </c:pt>
                <c:pt idx="143">
                  <c:v>45279</c:v>
                </c:pt>
                <c:pt idx="144">
                  <c:v>45280</c:v>
                </c:pt>
                <c:pt idx="145">
                  <c:v>45281</c:v>
                </c:pt>
                <c:pt idx="146">
                  <c:v>45282</c:v>
                </c:pt>
                <c:pt idx="147">
                  <c:v>45283</c:v>
                </c:pt>
                <c:pt idx="148">
                  <c:v>45284</c:v>
                </c:pt>
                <c:pt idx="149">
                  <c:v>45285</c:v>
                </c:pt>
                <c:pt idx="150">
                  <c:v>45286</c:v>
                </c:pt>
                <c:pt idx="151">
                  <c:v>45291</c:v>
                </c:pt>
                <c:pt idx="152">
                  <c:v>45292</c:v>
                </c:pt>
                <c:pt idx="153">
                  <c:v>45293</c:v>
                </c:pt>
                <c:pt idx="154">
                  <c:v>45294</c:v>
                </c:pt>
                <c:pt idx="155">
                  <c:v>45295</c:v>
                </c:pt>
                <c:pt idx="156">
                  <c:v>45296</c:v>
                </c:pt>
                <c:pt idx="157">
                  <c:v>45297</c:v>
                </c:pt>
                <c:pt idx="158">
                  <c:v>45298</c:v>
                </c:pt>
                <c:pt idx="159">
                  <c:v>45299</c:v>
                </c:pt>
                <c:pt idx="160">
                  <c:v>45300</c:v>
                </c:pt>
                <c:pt idx="161">
                  <c:v>45301</c:v>
                </c:pt>
                <c:pt idx="162">
                  <c:v>45302</c:v>
                </c:pt>
                <c:pt idx="163">
                  <c:v>45303</c:v>
                </c:pt>
                <c:pt idx="164">
                  <c:v>45304</c:v>
                </c:pt>
                <c:pt idx="165">
                  <c:v>45305</c:v>
                </c:pt>
                <c:pt idx="166">
                  <c:v>45306</c:v>
                </c:pt>
                <c:pt idx="167">
                  <c:v>45307</c:v>
                </c:pt>
                <c:pt idx="168">
                  <c:v>45308</c:v>
                </c:pt>
                <c:pt idx="169">
                  <c:v>45309</c:v>
                </c:pt>
                <c:pt idx="170">
                  <c:v>45310</c:v>
                </c:pt>
                <c:pt idx="171">
                  <c:v>45312</c:v>
                </c:pt>
                <c:pt idx="172">
                  <c:v>45313</c:v>
                </c:pt>
                <c:pt idx="173">
                  <c:v>45314</c:v>
                </c:pt>
                <c:pt idx="174">
                  <c:v>45315</c:v>
                </c:pt>
                <c:pt idx="175">
                  <c:v>45316</c:v>
                </c:pt>
                <c:pt idx="176">
                  <c:v>45317</c:v>
                </c:pt>
                <c:pt idx="177">
                  <c:v>45318</c:v>
                </c:pt>
                <c:pt idx="178">
                  <c:v>45319</c:v>
                </c:pt>
                <c:pt idx="179">
                  <c:v>45320</c:v>
                </c:pt>
                <c:pt idx="180">
                  <c:v>45321</c:v>
                </c:pt>
                <c:pt idx="181">
                  <c:v>45322</c:v>
                </c:pt>
                <c:pt idx="182">
                  <c:v>45323</c:v>
                </c:pt>
                <c:pt idx="183">
                  <c:v>45324</c:v>
                </c:pt>
                <c:pt idx="184">
                  <c:v>45325</c:v>
                </c:pt>
                <c:pt idx="185">
                  <c:v>45326</c:v>
                </c:pt>
                <c:pt idx="186">
                  <c:v>45327</c:v>
                </c:pt>
                <c:pt idx="187">
                  <c:v>45328</c:v>
                </c:pt>
                <c:pt idx="188">
                  <c:v>45329</c:v>
                </c:pt>
                <c:pt idx="189">
                  <c:v>45330</c:v>
                </c:pt>
                <c:pt idx="190">
                  <c:v>45331</c:v>
                </c:pt>
                <c:pt idx="191">
                  <c:v>45332</c:v>
                </c:pt>
                <c:pt idx="192">
                  <c:v>45333</c:v>
                </c:pt>
                <c:pt idx="193">
                  <c:v>45334</c:v>
                </c:pt>
                <c:pt idx="194">
                  <c:v>45335</c:v>
                </c:pt>
                <c:pt idx="195">
                  <c:v>45336</c:v>
                </c:pt>
                <c:pt idx="196">
                  <c:v>45339</c:v>
                </c:pt>
                <c:pt idx="197">
                  <c:v>45340</c:v>
                </c:pt>
                <c:pt idx="198">
                  <c:v>45341</c:v>
                </c:pt>
                <c:pt idx="199">
                  <c:v>45342</c:v>
                </c:pt>
                <c:pt idx="200">
                  <c:v>45343</c:v>
                </c:pt>
                <c:pt idx="201">
                  <c:v>45344</c:v>
                </c:pt>
                <c:pt idx="202">
                  <c:v>45345</c:v>
                </c:pt>
                <c:pt idx="203">
                  <c:v>45346</c:v>
                </c:pt>
                <c:pt idx="204">
                  <c:v>45347</c:v>
                </c:pt>
                <c:pt idx="205">
                  <c:v>45348</c:v>
                </c:pt>
                <c:pt idx="206">
                  <c:v>45349</c:v>
                </c:pt>
                <c:pt idx="207">
                  <c:v>45350</c:v>
                </c:pt>
                <c:pt idx="208">
                  <c:v>45351</c:v>
                </c:pt>
                <c:pt idx="209">
                  <c:v>45352</c:v>
                </c:pt>
                <c:pt idx="210">
                  <c:v>45353</c:v>
                </c:pt>
                <c:pt idx="211">
                  <c:v>45354</c:v>
                </c:pt>
                <c:pt idx="212">
                  <c:v>45355</c:v>
                </c:pt>
                <c:pt idx="213">
                  <c:v>45356</c:v>
                </c:pt>
                <c:pt idx="214">
                  <c:v>45357</c:v>
                </c:pt>
                <c:pt idx="215">
                  <c:v>45358</c:v>
                </c:pt>
                <c:pt idx="216">
                  <c:v>45359</c:v>
                </c:pt>
                <c:pt idx="217">
                  <c:v>45360</c:v>
                </c:pt>
                <c:pt idx="218">
                  <c:v>45361</c:v>
                </c:pt>
                <c:pt idx="219">
                  <c:v>45362</c:v>
                </c:pt>
                <c:pt idx="220">
                  <c:v>45366</c:v>
                </c:pt>
                <c:pt idx="221">
                  <c:v>45367</c:v>
                </c:pt>
                <c:pt idx="222">
                  <c:v>45368</c:v>
                </c:pt>
                <c:pt idx="223">
                  <c:v>45369</c:v>
                </c:pt>
                <c:pt idx="224">
                  <c:v>45370</c:v>
                </c:pt>
                <c:pt idx="225">
                  <c:v>45371</c:v>
                </c:pt>
                <c:pt idx="226">
                  <c:v>45372</c:v>
                </c:pt>
                <c:pt idx="227">
                  <c:v>45373</c:v>
                </c:pt>
                <c:pt idx="228">
                  <c:v>45374</c:v>
                </c:pt>
                <c:pt idx="229">
                  <c:v>45381</c:v>
                </c:pt>
                <c:pt idx="230">
                  <c:v>45383</c:v>
                </c:pt>
                <c:pt idx="231">
                  <c:v>45384</c:v>
                </c:pt>
                <c:pt idx="232">
                  <c:v>45385</c:v>
                </c:pt>
                <c:pt idx="233">
                  <c:v>45386</c:v>
                </c:pt>
                <c:pt idx="234">
                  <c:v>45387</c:v>
                </c:pt>
                <c:pt idx="235">
                  <c:v>45388</c:v>
                </c:pt>
                <c:pt idx="236">
                  <c:v>45389</c:v>
                </c:pt>
                <c:pt idx="237">
                  <c:v>45392</c:v>
                </c:pt>
                <c:pt idx="238">
                  <c:v>45393</c:v>
                </c:pt>
                <c:pt idx="239">
                  <c:v>45394</c:v>
                </c:pt>
                <c:pt idx="240">
                  <c:v>45395</c:v>
                </c:pt>
                <c:pt idx="241">
                  <c:v>45396</c:v>
                </c:pt>
                <c:pt idx="242">
                  <c:v>45397</c:v>
                </c:pt>
                <c:pt idx="243">
                  <c:v>45398</c:v>
                </c:pt>
                <c:pt idx="244">
                  <c:v>45399</c:v>
                </c:pt>
                <c:pt idx="245">
                  <c:v>45400</c:v>
                </c:pt>
                <c:pt idx="246">
                  <c:v>45401</c:v>
                </c:pt>
                <c:pt idx="247">
                  <c:v>45402</c:v>
                </c:pt>
                <c:pt idx="248">
                  <c:v>45404</c:v>
                </c:pt>
                <c:pt idx="249">
                  <c:v>45405</c:v>
                </c:pt>
                <c:pt idx="250">
                  <c:v>45406</c:v>
                </c:pt>
                <c:pt idx="251">
                  <c:v>45407</c:v>
                </c:pt>
                <c:pt idx="252">
                  <c:v>45408</c:v>
                </c:pt>
                <c:pt idx="253">
                  <c:v>45409</c:v>
                </c:pt>
                <c:pt idx="254">
                  <c:v>45410</c:v>
                </c:pt>
                <c:pt idx="255">
                  <c:v>45411</c:v>
                </c:pt>
                <c:pt idx="256">
                  <c:v>45412</c:v>
                </c:pt>
                <c:pt idx="257">
                  <c:v>45413</c:v>
                </c:pt>
                <c:pt idx="258">
                  <c:v>45414</c:v>
                </c:pt>
                <c:pt idx="259">
                  <c:v>45415</c:v>
                </c:pt>
                <c:pt idx="260">
                  <c:v>45416</c:v>
                </c:pt>
                <c:pt idx="261">
                  <c:v>45417</c:v>
                </c:pt>
                <c:pt idx="262">
                  <c:v>45418</c:v>
                </c:pt>
                <c:pt idx="263">
                  <c:v>45419</c:v>
                </c:pt>
                <c:pt idx="264">
                  <c:v>45420</c:v>
                </c:pt>
                <c:pt idx="265">
                  <c:v>45421</c:v>
                </c:pt>
                <c:pt idx="266">
                  <c:v>45422</c:v>
                </c:pt>
                <c:pt idx="267">
                  <c:v>45423</c:v>
                </c:pt>
                <c:pt idx="268">
                  <c:v>45424</c:v>
                </c:pt>
                <c:pt idx="269">
                  <c:v>45425</c:v>
                </c:pt>
                <c:pt idx="270">
                  <c:v>45426</c:v>
                </c:pt>
                <c:pt idx="271">
                  <c:v>45427</c:v>
                </c:pt>
                <c:pt idx="272">
                  <c:v>45428</c:v>
                </c:pt>
                <c:pt idx="273">
                  <c:v>45429</c:v>
                </c:pt>
                <c:pt idx="274">
                  <c:v>45431</c:v>
                </c:pt>
                <c:pt idx="275">
                  <c:v>45432</c:v>
                </c:pt>
                <c:pt idx="276">
                  <c:v>45433</c:v>
                </c:pt>
                <c:pt idx="277">
                  <c:v>45434</c:v>
                </c:pt>
                <c:pt idx="278">
                  <c:v>45437</c:v>
                </c:pt>
                <c:pt idx="279">
                  <c:v>45438</c:v>
                </c:pt>
                <c:pt idx="280">
                  <c:v>45439</c:v>
                </c:pt>
                <c:pt idx="281">
                  <c:v>45440</c:v>
                </c:pt>
                <c:pt idx="282">
                  <c:v>45441</c:v>
                </c:pt>
                <c:pt idx="283">
                  <c:v>45442</c:v>
                </c:pt>
                <c:pt idx="284">
                  <c:v>45443</c:v>
                </c:pt>
                <c:pt idx="285">
                  <c:v>45444</c:v>
                </c:pt>
                <c:pt idx="286">
                  <c:v>45445</c:v>
                </c:pt>
                <c:pt idx="287">
                  <c:v>45446</c:v>
                </c:pt>
                <c:pt idx="288">
                  <c:v>45447</c:v>
                </c:pt>
                <c:pt idx="289">
                  <c:v>45448</c:v>
                </c:pt>
                <c:pt idx="290">
                  <c:v>45449</c:v>
                </c:pt>
                <c:pt idx="291">
                  <c:v>45450</c:v>
                </c:pt>
                <c:pt idx="292">
                  <c:v>45451</c:v>
                </c:pt>
                <c:pt idx="293">
                  <c:v>45452</c:v>
                </c:pt>
                <c:pt idx="294">
                  <c:v>45453</c:v>
                </c:pt>
                <c:pt idx="295">
                  <c:v>45454</c:v>
                </c:pt>
                <c:pt idx="296">
                  <c:v>45455</c:v>
                </c:pt>
                <c:pt idx="297">
                  <c:v>45456</c:v>
                </c:pt>
                <c:pt idx="298">
                  <c:v>45457</c:v>
                </c:pt>
                <c:pt idx="299">
                  <c:v>45458</c:v>
                </c:pt>
                <c:pt idx="300">
                  <c:v>45459</c:v>
                </c:pt>
                <c:pt idx="301">
                  <c:v>45460</c:v>
                </c:pt>
                <c:pt idx="302">
                  <c:v>45461</c:v>
                </c:pt>
                <c:pt idx="303">
                  <c:v>45462</c:v>
                </c:pt>
                <c:pt idx="304">
                  <c:v>45463</c:v>
                </c:pt>
                <c:pt idx="305">
                  <c:v>45464</c:v>
                </c:pt>
                <c:pt idx="306">
                  <c:v>45469</c:v>
                </c:pt>
                <c:pt idx="307">
                  <c:v>45470</c:v>
                </c:pt>
                <c:pt idx="308">
                  <c:v>45471</c:v>
                </c:pt>
                <c:pt idx="309">
                  <c:v>45472</c:v>
                </c:pt>
                <c:pt idx="310">
                  <c:v>45473</c:v>
                </c:pt>
                <c:pt idx="311">
                  <c:v>45474</c:v>
                </c:pt>
                <c:pt idx="312">
                  <c:v>45475</c:v>
                </c:pt>
                <c:pt idx="313">
                  <c:v>45478</c:v>
                </c:pt>
                <c:pt idx="314">
                  <c:v>45479</c:v>
                </c:pt>
                <c:pt idx="315">
                  <c:v>45480</c:v>
                </c:pt>
                <c:pt idx="316">
                  <c:v>45481</c:v>
                </c:pt>
                <c:pt idx="317">
                  <c:v>45482</c:v>
                </c:pt>
                <c:pt idx="318">
                  <c:v>45483</c:v>
                </c:pt>
                <c:pt idx="319">
                  <c:v>45487</c:v>
                </c:pt>
                <c:pt idx="320">
                  <c:v>45488</c:v>
                </c:pt>
                <c:pt idx="321">
                  <c:v>45504</c:v>
                </c:pt>
                <c:pt idx="322">
                  <c:v>45505</c:v>
                </c:pt>
                <c:pt idx="323">
                  <c:v>45506</c:v>
                </c:pt>
                <c:pt idx="324">
                  <c:v>45507</c:v>
                </c:pt>
                <c:pt idx="325">
                  <c:v>45508</c:v>
                </c:pt>
                <c:pt idx="326">
                  <c:v>45509</c:v>
                </c:pt>
                <c:pt idx="327">
                  <c:v>45510</c:v>
                </c:pt>
                <c:pt idx="328">
                  <c:v>45511</c:v>
                </c:pt>
                <c:pt idx="329">
                  <c:v>45512</c:v>
                </c:pt>
                <c:pt idx="330">
                  <c:v>45513</c:v>
                </c:pt>
                <c:pt idx="331">
                  <c:v>45514</c:v>
                </c:pt>
                <c:pt idx="332">
                  <c:v>45515</c:v>
                </c:pt>
                <c:pt idx="333">
                  <c:v>45516</c:v>
                </c:pt>
                <c:pt idx="334">
                  <c:v>45517</c:v>
                </c:pt>
                <c:pt idx="335">
                  <c:v>45518</c:v>
                </c:pt>
                <c:pt idx="336">
                  <c:v>45519</c:v>
                </c:pt>
                <c:pt idx="337">
                  <c:v>45524</c:v>
                </c:pt>
                <c:pt idx="338">
                  <c:v>45525</c:v>
                </c:pt>
                <c:pt idx="339">
                  <c:v>45526</c:v>
                </c:pt>
                <c:pt idx="340">
                  <c:v>45527</c:v>
                </c:pt>
                <c:pt idx="341">
                  <c:v>45528</c:v>
                </c:pt>
                <c:pt idx="342">
                  <c:v>45529</c:v>
                </c:pt>
                <c:pt idx="343">
                  <c:v>45536</c:v>
                </c:pt>
                <c:pt idx="344">
                  <c:v>45537</c:v>
                </c:pt>
                <c:pt idx="345">
                  <c:v>45538</c:v>
                </c:pt>
                <c:pt idx="346">
                  <c:v>45539</c:v>
                </c:pt>
                <c:pt idx="347">
                  <c:v>45540</c:v>
                </c:pt>
                <c:pt idx="348">
                  <c:v>45541</c:v>
                </c:pt>
                <c:pt idx="349">
                  <c:v>45542</c:v>
                </c:pt>
                <c:pt idx="350">
                  <c:v>45543</c:v>
                </c:pt>
                <c:pt idx="351">
                  <c:v>45544</c:v>
                </c:pt>
                <c:pt idx="352">
                  <c:v>45545</c:v>
                </c:pt>
                <c:pt idx="353">
                  <c:v>45546</c:v>
                </c:pt>
                <c:pt idx="354">
                  <c:v>45547</c:v>
                </c:pt>
                <c:pt idx="355">
                  <c:v>45548</c:v>
                </c:pt>
                <c:pt idx="356">
                  <c:v>45549</c:v>
                </c:pt>
                <c:pt idx="357">
                  <c:v>45550</c:v>
                </c:pt>
                <c:pt idx="358">
                  <c:v>45553</c:v>
                </c:pt>
                <c:pt idx="359">
                  <c:v>45554</c:v>
                </c:pt>
                <c:pt idx="360">
                  <c:v>45557</c:v>
                </c:pt>
                <c:pt idx="361">
                  <c:v>45558</c:v>
                </c:pt>
                <c:pt idx="362">
                  <c:v>45559</c:v>
                </c:pt>
                <c:pt idx="363">
                  <c:v>45560</c:v>
                </c:pt>
                <c:pt idx="364">
                  <c:v>45561</c:v>
                </c:pt>
                <c:pt idx="365">
                  <c:v>45562</c:v>
                </c:pt>
                <c:pt idx="366">
                  <c:v>45563</c:v>
                </c:pt>
                <c:pt idx="367">
                  <c:v>45564</c:v>
                </c:pt>
                <c:pt idx="368">
                  <c:v>45565</c:v>
                </c:pt>
                <c:pt idx="369">
                  <c:v>45566</c:v>
                </c:pt>
                <c:pt idx="370">
                  <c:v>45567</c:v>
                </c:pt>
                <c:pt idx="371">
                  <c:v>45568</c:v>
                </c:pt>
                <c:pt idx="372">
                  <c:v>45569</c:v>
                </c:pt>
                <c:pt idx="373">
                  <c:v>45570</c:v>
                </c:pt>
                <c:pt idx="374">
                  <c:v>45571</c:v>
                </c:pt>
                <c:pt idx="375">
                  <c:v>45572</c:v>
                </c:pt>
                <c:pt idx="376">
                  <c:v>45573</c:v>
                </c:pt>
                <c:pt idx="377">
                  <c:v>45574</c:v>
                </c:pt>
                <c:pt idx="378">
                  <c:v>45575</c:v>
                </c:pt>
                <c:pt idx="379">
                  <c:v>45576</c:v>
                </c:pt>
                <c:pt idx="380">
                  <c:v>45579</c:v>
                </c:pt>
                <c:pt idx="381">
                  <c:v>45580</c:v>
                </c:pt>
                <c:pt idx="382">
                  <c:v>45581</c:v>
                </c:pt>
                <c:pt idx="383">
                  <c:v>45582</c:v>
                </c:pt>
                <c:pt idx="384">
                  <c:v>45583</c:v>
                </c:pt>
                <c:pt idx="385">
                  <c:v>45584</c:v>
                </c:pt>
                <c:pt idx="386">
                  <c:v>45585</c:v>
                </c:pt>
                <c:pt idx="387">
                  <c:v>45591</c:v>
                </c:pt>
                <c:pt idx="388">
                  <c:v>45592</c:v>
                </c:pt>
                <c:pt idx="389">
                  <c:v>45593</c:v>
                </c:pt>
                <c:pt idx="390">
                  <c:v>45594</c:v>
                </c:pt>
                <c:pt idx="391">
                  <c:v>45595</c:v>
                </c:pt>
                <c:pt idx="392">
                  <c:v>45596</c:v>
                </c:pt>
                <c:pt idx="393">
                  <c:v>45597</c:v>
                </c:pt>
                <c:pt idx="394">
                  <c:v>45598</c:v>
                </c:pt>
                <c:pt idx="395">
                  <c:v>45599</c:v>
                </c:pt>
                <c:pt idx="396">
                  <c:v>45600</c:v>
                </c:pt>
                <c:pt idx="397">
                  <c:v>45601</c:v>
                </c:pt>
                <c:pt idx="398">
                  <c:v>45602</c:v>
                </c:pt>
                <c:pt idx="399">
                  <c:v>45604</c:v>
                </c:pt>
                <c:pt idx="400">
                  <c:v>45605</c:v>
                </c:pt>
                <c:pt idx="401">
                  <c:v>45606</c:v>
                </c:pt>
                <c:pt idx="402">
                  <c:v>45607</c:v>
                </c:pt>
                <c:pt idx="403">
                  <c:v>45608</c:v>
                </c:pt>
                <c:pt idx="404">
                  <c:v>45609</c:v>
                </c:pt>
                <c:pt idx="405">
                  <c:v>45610</c:v>
                </c:pt>
                <c:pt idx="406">
                  <c:v>45611</c:v>
                </c:pt>
                <c:pt idx="407">
                  <c:v>45612</c:v>
                </c:pt>
                <c:pt idx="408">
                  <c:v>45618</c:v>
                </c:pt>
                <c:pt idx="409">
                  <c:v>45619</c:v>
                </c:pt>
                <c:pt idx="410">
                  <c:v>45620</c:v>
                </c:pt>
                <c:pt idx="411">
                  <c:v>45626</c:v>
                </c:pt>
                <c:pt idx="412">
                  <c:v>45627</c:v>
                </c:pt>
                <c:pt idx="413">
                  <c:v>45628</c:v>
                </c:pt>
                <c:pt idx="414">
                  <c:v>45629</c:v>
                </c:pt>
                <c:pt idx="415">
                  <c:v>45630</c:v>
                </c:pt>
                <c:pt idx="416">
                  <c:v>45635</c:v>
                </c:pt>
                <c:pt idx="417">
                  <c:v>45639</c:v>
                </c:pt>
                <c:pt idx="418">
                  <c:v>45640</c:v>
                </c:pt>
                <c:pt idx="419">
                  <c:v>45641</c:v>
                </c:pt>
                <c:pt idx="420">
                  <c:v>45642</c:v>
                </c:pt>
                <c:pt idx="421">
                  <c:v>45643</c:v>
                </c:pt>
                <c:pt idx="422">
                  <c:v>45644</c:v>
                </c:pt>
                <c:pt idx="423">
                  <c:v>45645</c:v>
                </c:pt>
                <c:pt idx="424">
                  <c:v>45646</c:v>
                </c:pt>
                <c:pt idx="425">
                  <c:v>45647</c:v>
                </c:pt>
                <c:pt idx="426">
                  <c:v>45648</c:v>
                </c:pt>
                <c:pt idx="427">
                  <c:v>45649</c:v>
                </c:pt>
                <c:pt idx="428">
                  <c:v>45650</c:v>
                </c:pt>
                <c:pt idx="429">
                  <c:v>45651</c:v>
                </c:pt>
                <c:pt idx="430">
                  <c:v>45657</c:v>
                </c:pt>
                <c:pt idx="431">
                  <c:v>45658</c:v>
                </c:pt>
                <c:pt idx="432">
                  <c:v>45659</c:v>
                </c:pt>
                <c:pt idx="433">
                  <c:v>45660</c:v>
                </c:pt>
                <c:pt idx="434">
                  <c:v>45661</c:v>
                </c:pt>
                <c:pt idx="435">
                  <c:v>45662</c:v>
                </c:pt>
                <c:pt idx="436">
                  <c:v>45664</c:v>
                </c:pt>
                <c:pt idx="437">
                  <c:v>45665</c:v>
                </c:pt>
                <c:pt idx="438">
                  <c:v>45666</c:v>
                </c:pt>
                <c:pt idx="439">
                  <c:v>45667</c:v>
                </c:pt>
                <c:pt idx="440">
                  <c:v>45668</c:v>
                </c:pt>
                <c:pt idx="441">
                  <c:v>45669</c:v>
                </c:pt>
                <c:pt idx="442">
                  <c:v>45670</c:v>
                </c:pt>
                <c:pt idx="443">
                  <c:v>45671</c:v>
                </c:pt>
                <c:pt idx="444">
                  <c:v>45672</c:v>
                </c:pt>
                <c:pt idx="445">
                  <c:v>45673</c:v>
                </c:pt>
                <c:pt idx="446">
                  <c:v>45674</c:v>
                </c:pt>
                <c:pt idx="447">
                  <c:v>45675</c:v>
                </c:pt>
                <c:pt idx="448">
                  <c:v>45676</c:v>
                </c:pt>
                <c:pt idx="449">
                  <c:v>45677</c:v>
                </c:pt>
                <c:pt idx="450">
                  <c:v>45678</c:v>
                </c:pt>
                <c:pt idx="451">
                  <c:v>45679</c:v>
                </c:pt>
                <c:pt idx="452">
                  <c:v>45680</c:v>
                </c:pt>
                <c:pt idx="453">
                  <c:v>45681</c:v>
                </c:pt>
                <c:pt idx="454">
                  <c:v>45682</c:v>
                </c:pt>
                <c:pt idx="455">
                  <c:v>45683</c:v>
                </c:pt>
                <c:pt idx="456">
                  <c:v>45684</c:v>
                </c:pt>
                <c:pt idx="457">
                  <c:v>45685</c:v>
                </c:pt>
                <c:pt idx="458">
                  <c:v>45686</c:v>
                </c:pt>
                <c:pt idx="459">
                  <c:v>45687</c:v>
                </c:pt>
                <c:pt idx="460">
                  <c:v>45688</c:v>
                </c:pt>
                <c:pt idx="461">
                  <c:v>45689</c:v>
                </c:pt>
                <c:pt idx="462">
                  <c:v>45690</c:v>
                </c:pt>
                <c:pt idx="463">
                  <c:v>45691</c:v>
                </c:pt>
                <c:pt idx="464">
                  <c:v>45696</c:v>
                </c:pt>
                <c:pt idx="465">
                  <c:v>45697</c:v>
                </c:pt>
                <c:pt idx="466">
                  <c:v>45698</c:v>
                </c:pt>
                <c:pt idx="467">
                  <c:v>45699</c:v>
                </c:pt>
                <c:pt idx="468">
                  <c:v>45700</c:v>
                </c:pt>
                <c:pt idx="469">
                  <c:v>45701</c:v>
                </c:pt>
                <c:pt idx="470">
                  <c:v>45702</c:v>
                </c:pt>
                <c:pt idx="471">
                  <c:v>45703</c:v>
                </c:pt>
                <c:pt idx="472">
                  <c:v>45704</c:v>
                </c:pt>
                <c:pt idx="473">
                  <c:v>45705</c:v>
                </c:pt>
                <c:pt idx="474">
                  <c:v>45706</c:v>
                </c:pt>
                <c:pt idx="475">
                  <c:v>45707</c:v>
                </c:pt>
                <c:pt idx="476">
                  <c:v>45715</c:v>
                </c:pt>
                <c:pt idx="477">
                  <c:v>45716</c:v>
                </c:pt>
                <c:pt idx="478">
                  <c:v>45717</c:v>
                </c:pt>
                <c:pt idx="479">
                  <c:v>45718</c:v>
                </c:pt>
                <c:pt idx="480">
                  <c:v>45719</c:v>
                </c:pt>
                <c:pt idx="481">
                  <c:v>45720</c:v>
                </c:pt>
                <c:pt idx="482">
                  <c:v>45723</c:v>
                </c:pt>
                <c:pt idx="483">
                  <c:v>45724</c:v>
                </c:pt>
                <c:pt idx="484">
                  <c:v>45725</c:v>
                </c:pt>
                <c:pt idx="485">
                  <c:v>45726</c:v>
                </c:pt>
                <c:pt idx="486">
                  <c:v>45727</c:v>
                </c:pt>
                <c:pt idx="487">
                  <c:v>45729</c:v>
                </c:pt>
                <c:pt idx="488">
                  <c:v>45730</c:v>
                </c:pt>
                <c:pt idx="489">
                  <c:v>45731</c:v>
                </c:pt>
                <c:pt idx="490">
                  <c:v>45732</c:v>
                </c:pt>
                <c:pt idx="491">
                  <c:v>45733</c:v>
                </c:pt>
                <c:pt idx="492">
                  <c:v>45734</c:v>
                </c:pt>
                <c:pt idx="493">
                  <c:v>45735</c:v>
                </c:pt>
                <c:pt idx="494">
                  <c:v>45738</c:v>
                </c:pt>
                <c:pt idx="495">
                  <c:v>45739</c:v>
                </c:pt>
                <c:pt idx="496">
                  <c:v>45740</c:v>
                </c:pt>
                <c:pt idx="497">
                  <c:v>45741</c:v>
                </c:pt>
                <c:pt idx="498">
                  <c:v>45742</c:v>
                </c:pt>
                <c:pt idx="499">
                  <c:v>45743</c:v>
                </c:pt>
                <c:pt idx="500">
                  <c:v>45744</c:v>
                </c:pt>
                <c:pt idx="501">
                  <c:v>45745</c:v>
                </c:pt>
                <c:pt idx="502">
                  <c:v>45746</c:v>
                </c:pt>
                <c:pt idx="503">
                  <c:v>45747</c:v>
                </c:pt>
                <c:pt idx="504">
                  <c:v>45748</c:v>
                </c:pt>
                <c:pt idx="505">
                  <c:v>45749</c:v>
                </c:pt>
                <c:pt idx="506">
                  <c:v>45750</c:v>
                </c:pt>
                <c:pt idx="507">
                  <c:v>45751</c:v>
                </c:pt>
                <c:pt idx="508">
                  <c:v>45752</c:v>
                </c:pt>
                <c:pt idx="509">
                  <c:v>45753</c:v>
                </c:pt>
                <c:pt idx="510">
                  <c:v>45754</c:v>
                </c:pt>
                <c:pt idx="511">
                  <c:v>45755</c:v>
                </c:pt>
                <c:pt idx="512">
                  <c:v>45758</c:v>
                </c:pt>
                <c:pt idx="513">
                  <c:v>45759</c:v>
                </c:pt>
                <c:pt idx="514">
                  <c:v>45767</c:v>
                </c:pt>
                <c:pt idx="515">
                  <c:v>45768</c:v>
                </c:pt>
                <c:pt idx="516">
                  <c:v>45769</c:v>
                </c:pt>
                <c:pt idx="517">
                  <c:v>45770</c:v>
                </c:pt>
                <c:pt idx="518">
                  <c:v>45771</c:v>
                </c:pt>
                <c:pt idx="519">
                  <c:v>45772</c:v>
                </c:pt>
                <c:pt idx="520">
                  <c:v>45773</c:v>
                </c:pt>
                <c:pt idx="521">
                  <c:v>45774</c:v>
                </c:pt>
                <c:pt idx="522">
                  <c:v>45775</c:v>
                </c:pt>
                <c:pt idx="523">
                  <c:v>45778</c:v>
                </c:pt>
                <c:pt idx="524">
                  <c:v>45779</c:v>
                </c:pt>
                <c:pt idx="525">
                  <c:v>45782</c:v>
                </c:pt>
                <c:pt idx="526">
                  <c:v>45788</c:v>
                </c:pt>
                <c:pt idx="527">
                  <c:v>45789</c:v>
                </c:pt>
                <c:pt idx="528">
                  <c:v>45790</c:v>
                </c:pt>
                <c:pt idx="529">
                  <c:v>45791</c:v>
                </c:pt>
                <c:pt idx="530">
                  <c:v>45792</c:v>
                </c:pt>
                <c:pt idx="531">
                  <c:v>45793</c:v>
                </c:pt>
                <c:pt idx="532">
                  <c:v>45794</c:v>
                </c:pt>
                <c:pt idx="533">
                  <c:v>45798</c:v>
                </c:pt>
                <c:pt idx="534">
                  <c:v>45799</c:v>
                </c:pt>
                <c:pt idx="535">
                  <c:v>45800</c:v>
                </c:pt>
                <c:pt idx="536">
                  <c:v>45801</c:v>
                </c:pt>
                <c:pt idx="537">
                  <c:v>45802</c:v>
                </c:pt>
                <c:pt idx="538">
                  <c:v>45803</c:v>
                </c:pt>
                <c:pt idx="539">
                  <c:v>45809</c:v>
                </c:pt>
                <c:pt idx="540">
                  <c:v>45810</c:v>
                </c:pt>
                <c:pt idx="541">
                  <c:v>45811</c:v>
                </c:pt>
                <c:pt idx="542">
                  <c:v>45812</c:v>
                </c:pt>
                <c:pt idx="543">
                  <c:v>45813</c:v>
                </c:pt>
                <c:pt idx="544">
                  <c:v>45814</c:v>
                </c:pt>
                <c:pt idx="545">
                  <c:v>45815</c:v>
                </c:pt>
                <c:pt idx="546">
                  <c:v>45816</c:v>
                </c:pt>
                <c:pt idx="547">
                  <c:v>45821</c:v>
                </c:pt>
                <c:pt idx="548">
                  <c:v>45822</c:v>
                </c:pt>
                <c:pt idx="549">
                  <c:v>45823</c:v>
                </c:pt>
                <c:pt idx="550">
                  <c:v>45824</c:v>
                </c:pt>
                <c:pt idx="551">
                  <c:v>45825</c:v>
                </c:pt>
                <c:pt idx="552">
                  <c:v>45826</c:v>
                </c:pt>
                <c:pt idx="553">
                  <c:v>45827</c:v>
                </c:pt>
                <c:pt idx="554">
                  <c:v>45828</c:v>
                </c:pt>
                <c:pt idx="555">
                  <c:v>45829</c:v>
                </c:pt>
                <c:pt idx="556">
                  <c:v>45830</c:v>
                </c:pt>
                <c:pt idx="557">
                  <c:v>45831</c:v>
                </c:pt>
                <c:pt idx="558">
                  <c:v>45832</c:v>
                </c:pt>
                <c:pt idx="559">
                  <c:v>45833</c:v>
                </c:pt>
                <c:pt idx="560">
                  <c:v>45834</c:v>
                </c:pt>
                <c:pt idx="561">
                  <c:v>45835</c:v>
                </c:pt>
                <c:pt idx="562">
                  <c:v>45836</c:v>
                </c:pt>
                <c:pt idx="563">
                  <c:v>45837</c:v>
                </c:pt>
                <c:pt idx="564">
                  <c:v>45838</c:v>
                </c:pt>
                <c:pt idx="565">
                  <c:v>45839</c:v>
                </c:pt>
                <c:pt idx="566">
                  <c:v>45840</c:v>
                </c:pt>
                <c:pt idx="567">
                  <c:v>45841</c:v>
                </c:pt>
                <c:pt idx="568">
                  <c:v>45842</c:v>
                </c:pt>
                <c:pt idx="569">
                  <c:v>45843</c:v>
                </c:pt>
                <c:pt idx="570">
                  <c:v>45844</c:v>
                </c:pt>
                <c:pt idx="571">
                  <c:v>45845</c:v>
                </c:pt>
                <c:pt idx="572">
                  <c:v>45846</c:v>
                </c:pt>
                <c:pt idx="573">
                  <c:v>45847</c:v>
                </c:pt>
                <c:pt idx="574">
                  <c:v>45848</c:v>
                </c:pt>
                <c:pt idx="575">
                  <c:v>45849</c:v>
                </c:pt>
                <c:pt idx="576">
                  <c:v>45850</c:v>
                </c:pt>
                <c:pt idx="577">
                  <c:v>45851</c:v>
                </c:pt>
                <c:pt idx="578">
                  <c:v>45852</c:v>
                </c:pt>
                <c:pt idx="579">
                  <c:v>45854</c:v>
                </c:pt>
                <c:pt idx="580">
                  <c:v>45855</c:v>
                </c:pt>
                <c:pt idx="581">
                  <c:v>45856</c:v>
                </c:pt>
                <c:pt idx="582">
                  <c:v>45857</c:v>
                </c:pt>
                <c:pt idx="583">
                  <c:v>45858</c:v>
                </c:pt>
                <c:pt idx="584">
                  <c:v>45862</c:v>
                </c:pt>
                <c:pt idx="585">
                  <c:v>45863</c:v>
                </c:pt>
                <c:pt idx="586">
                  <c:v>45864</c:v>
                </c:pt>
                <c:pt idx="587">
                  <c:v>45871</c:v>
                </c:pt>
                <c:pt idx="588">
                  <c:v>45872</c:v>
                </c:pt>
                <c:pt idx="589">
                  <c:v>45873</c:v>
                </c:pt>
                <c:pt idx="590">
                  <c:v>45880</c:v>
                </c:pt>
                <c:pt idx="591">
                  <c:v>45881</c:v>
                </c:pt>
                <c:pt idx="592">
                  <c:v>45882</c:v>
                </c:pt>
                <c:pt idx="593">
                  <c:v>45886</c:v>
                </c:pt>
                <c:pt idx="594">
                  <c:v>45887</c:v>
                </c:pt>
                <c:pt idx="595">
                  <c:v>45888</c:v>
                </c:pt>
                <c:pt idx="596">
                  <c:v>45889</c:v>
                </c:pt>
                <c:pt idx="597">
                  <c:v>45890</c:v>
                </c:pt>
                <c:pt idx="598">
                  <c:v>45891</c:v>
                </c:pt>
                <c:pt idx="599">
                  <c:v>45894</c:v>
                </c:pt>
                <c:pt idx="600">
                  <c:v>45895</c:v>
                </c:pt>
                <c:pt idx="601">
                  <c:v>45896</c:v>
                </c:pt>
                <c:pt idx="602">
                  <c:v>45897</c:v>
                </c:pt>
                <c:pt idx="603">
                  <c:v>45898</c:v>
                </c:pt>
                <c:pt idx="604">
                  <c:v>45899</c:v>
                </c:pt>
                <c:pt idx="605">
                  <c:v>45900</c:v>
                </c:pt>
                <c:pt idx="606">
                  <c:v>45901</c:v>
                </c:pt>
                <c:pt idx="607">
                  <c:v>45902</c:v>
                </c:pt>
                <c:pt idx="608">
                  <c:v>45903</c:v>
                </c:pt>
                <c:pt idx="609">
                  <c:v>45904</c:v>
                </c:pt>
                <c:pt idx="610">
                  <c:v>45905</c:v>
                </c:pt>
                <c:pt idx="611">
                  <c:v>45906</c:v>
                </c:pt>
                <c:pt idx="612">
                  <c:v>45907</c:v>
                </c:pt>
                <c:pt idx="613">
                  <c:v>45908</c:v>
                </c:pt>
                <c:pt idx="614">
                  <c:v>45909</c:v>
                </c:pt>
                <c:pt idx="615">
                  <c:v>45911</c:v>
                </c:pt>
                <c:pt idx="616">
                  <c:v>45912</c:v>
                </c:pt>
                <c:pt idx="617">
                  <c:v>45913</c:v>
                </c:pt>
                <c:pt idx="618">
                  <c:v>45914</c:v>
                </c:pt>
                <c:pt idx="619">
                  <c:v>45917</c:v>
                </c:pt>
                <c:pt idx="620">
                  <c:v>45919</c:v>
                </c:pt>
                <c:pt idx="621">
                  <c:v>45920</c:v>
                </c:pt>
                <c:pt idx="622">
                  <c:v>45921</c:v>
                </c:pt>
                <c:pt idx="623">
                  <c:v>45922</c:v>
                </c:pt>
                <c:pt idx="624">
                  <c:v>45923</c:v>
                </c:pt>
                <c:pt idx="625">
                  <c:v>45924</c:v>
                </c:pt>
                <c:pt idx="626">
                  <c:v>45925</c:v>
                </c:pt>
                <c:pt idx="627">
                  <c:v>45926</c:v>
                </c:pt>
                <c:pt idx="628">
                  <c:v>45927</c:v>
                </c:pt>
                <c:pt idx="629">
                  <c:v>45928</c:v>
                </c:pt>
                <c:pt idx="630">
                  <c:v>45929</c:v>
                </c:pt>
                <c:pt idx="631">
                  <c:v>45930</c:v>
                </c:pt>
                <c:pt idx="632">
                  <c:v>45931</c:v>
                </c:pt>
                <c:pt idx="633">
                  <c:v>45932</c:v>
                </c:pt>
                <c:pt idx="634">
                  <c:v>45933</c:v>
                </c:pt>
                <c:pt idx="635">
                  <c:v>45934</c:v>
                </c:pt>
                <c:pt idx="636">
                  <c:v>45935</c:v>
                </c:pt>
                <c:pt idx="637">
                  <c:v>45936</c:v>
                </c:pt>
                <c:pt idx="638">
                  <c:v>45937</c:v>
                </c:pt>
                <c:pt idx="639">
                  <c:v>45938</c:v>
                </c:pt>
                <c:pt idx="640">
                  <c:v>45939</c:v>
                </c:pt>
                <c:pt idx="641">
                  <c:v>45940</c:v>
                </c:pt>
                <c:pt idx="642">
                  <c:v>45941</c:v>
                </c:pt>
                <c:pt idx="643">
                  <c:v>45942</c:v>
                </c:pt>
                <c:pt idx="644">
                  <c:v>45943</c:v>
                </c:pt>
                <c:pt idx="645">
                  <c:v>45944</c:v>
                </c:pt>
                <c:pt idx="646">
                  <c:v>45945</c:v>
                </c:pt>
                <c:pt idx="647">
                  <c:v>45946</c:v>
                </c:pt>
                <c:pt idx="648">
                  <c:v>45947</c:v>
                </c:pt>
                <c:pt idx="649">
                  <c:v>45948</c:v>
                </c:pt>
                <c:pt idx="650">
                  <c:v>45949</c:v>
                </c:pt>
                <c:pt idx="651">
                  <c:v>45950</c:v>
                </c:pt>
                <c:pt idx="652">
                  <c:v>45951</c:v>
                </c:pt>
                <c:pt idx="653">
                  <c:v>45952</c:v>
                </c:pt>
                <c:pt idx="654">
                  <c:v>45953</c:v>
                </c:pt>
                <c:pt idx="655">
                  <c:v>45954</c:v>
                </c:pt>
                <c:pt idx="656">
                  <c:v>45955</c:v>
                </c:pt>
                <c:pt idx="657">
                  <c:v>45956</c:v>
                </c:pt>
                <c:pt idx="658">
                  <c:v>45957</c:v>
                </c:pt>
                <c:pt idx="659">
                  <c:v>45958</c:v>
                </c:pt>
                <c:pt idx="660">
                  <c:v>45959</c:v>
                </c:pt>
                <c:pt idx="661">
                  <c:v>45960</c:v>
                </c:pt>
                <c:pt idx="662">
                  <c:v>45961</c:v>
                </c:pt>
                <c:pt idx="663">
                  <c:v>45962</c:v>
                </c:pt>
                <c:pt idx="664">
                  <c:v>45963</c:v>
                </c:pt>
                <c:pt idx="665">
                  <c:v>45964</c:v>
                </c:pt>
                <c:pt idx="666">
                  <c:v>45965</c:v>
                </c:pt>
                <c:pt idx="667">
                  <c:v>45966</c:v>
                </c:pt>
                <c:pt idx="668">
                  <c:v>45967</c:v>
                </c:pt>
                <c:pt idx="669">
                  <c:v>45968</c:v>
                </c:pt>
                <c:pt idx="670">
                  <c:v>45969</c:v>
                </c:pt>
                <c:pt idx="671">
                  <c:v>45971</c:v>
                </c:pt>
                <c:pt idx="672">
                  <c:v>45972</c:v>
                </c:pt>
                <c:pt idx="673">
                  <c:v>45973</c:v>
                </c:pt>
                <c:pt idx="674">
                  <c:v>45974</c:v>
                </c:pt>
                <c:pt idx="675">
                  <c:v>45975</c:v>
                </c:pt>
                <c:pt idx="676">
                  <c:v>45976</c:v>
                </c:pt>
                <c:pt idx="677">
                  <c:v>45977</c:v>
                </c:pt>
                <c:pt idx="678">
                  <c:v>45978</c:v>
                </c:pt>
                <c:pt idx="679">
                  <c:v>45983</c:v>
                </c:pt>
                <c:pt idx="680">
                  <c:v>45984</c:v>
                </c:pt>
                <c:pt idx="681">
                  <c:v>45985</c:v>
                </c:pt>
                <c:pt idx="682">
                  <c:v>45986</c:v>
                </c:pt>
                <c:pt idx="683">
                  <c:v>45987</c:v>
                </c:pt>
                <c:pt idx="684">
                  <c:v>45988</c:v>
                </c:pt>
                <c:pt idx="685">
                  <c:v>45989</c:v>
                </c:pt>
                <c:pt idx="686">
                  <c:v>45990</c:v>
                </c:pt>
                <c:pt idx="687">
                  <c:v>45991</c:v>
                </c:pt>
                <c:pt idx="688">
                  <c:v>45992</c:v>
                </c:pt>
                <c:pt idx="689">
                  <c:v>45993</c:v>
                </c:pt>
                <c:pt idx="690">
                  <c:v>45994</c:v>
                </c:pt>
                <c:pt idx="691">
                  <c:v>45995</c:v>
                </c:pt>
                <c:pt idx="692">
                  <c:v>45996</c:v>
                </c:pt>
                <c:pt idx="693">
                  <c:v>45997</c:v>
                </c:pt>
                <c:pt idx="694">
                  <c:v>45998</c:v>
                </c:pt>
                <c:pt idx="695">
                  <c:v>45999</c:v>
                </c:pt>
                <c:pt idx="696">
                  <c:v>46000</c:v>
                </c:pt>
                <c:pt idx="697">
                  <c:v>46001</c:v>
                </c:pt>
                <c:pt idx="698">
                  <c:v>46002</c:v>
                </c:pt>
                <c:pt idx="699">
                  <c:v>46003</c:v>
                </c:pt>
                <c:pt idx="700">
                  <c:v>46004</c:v>
                </c:pt>
                <c:pt idx="701">
                  <c:v>46006</c:v>
                </c:pt>
                <c:pt idx="702">
                  <c:v>46007</c:v>
                </c:pt>
                <c:pt idx="703">
                  <c:v>46008</c:v>
                </c:pt>
                <c:pt idx="704">
                  <c:v>46009</c:v>
                </c:pt>
                <c:pt idx="705">
                  <c:v>46010</c:v>
                </c:pt>
                <c:pt idx="706">
                  <c:v>46011</c:v>
                </c:pt>
                <c:pt idx="707">
                  <c:v>46012</c:v>
                </c:pt>
                <c:pt idx="708">
                  <c:v>46013</c:v>
                </c:pt>
                <c:pt idx="709">
                  <c:v>46014</c:v>
                </c:pt>
                <c:pt idx="710">
                  <c:v>46015</c:v>
                </c:pt>
                <c:pt idx="711">
                  <c:v>46016</c:v>
                </c:pt>
                <c:pt idx="712">
                  <c:v>46022</c:v>
                </c:pt>
                <c:pt idx="713">
                  <c:v>46024</c:v>
                </c:pt>
                <c:pt idx="714">
                  <c:v>46025</c:v>
                </c:pt>
                <c:pt idx="715">
                  <c:v>46026</c:v>
                </c:pt>
                <c:pt idx="716">
                  <c:v>46027</c:v>
                </c:pt>
                <c:pt idx="717">
                  <c:v>46029</c:v>
                </c:pt>
                <c:pt idx="718">
                  <c:v>46030</c:v>
                </c:pt>
                <c:pt idx="719">
                  <c:v>46031</c:v>
                </c:pt>
                <c:pt idx="720">
                  <c:v>46032</c:v>
                </c:pt>
                <c:pt idx="721">
                  <c:v>46033</c:v>
                </c:pt>
                <c:pt idx="722">
                  <c:v>46034</c:v>
                </c:pt>
                <c:pt idx="723">
                  <c:v>46039</c:v>
                </c:pt>
                <c:pt idx="724">
                  <c:v>46040</c:v>
                </c:pt>
                <c:pt idx="725">
                  <c:v>46041</c:v>
                </c:pt>
                <c:pt idx="726">
                  <c:v>46042</c:v>
                </c:pt>
                <c:pt idx="727">
                  <c:v>46044</c:v>
                </c:pt>
                <c:pt idx="728">
                  <c:v>46045</c:v>
                </c:pt>
                <c:pt idx="729">
                  <c:v>46046</c:v>
                </c:pt>
                <c:pt idx="730">
                  <c:v>46047</c:v>
                </c:pt>
                <c:pt idx="731">
                  <c:v>46054</c:v>
                </c:pt>
                <c:pt idx="732">
                  <c:v>46055</c:v>
                </c:pt>
                <c:pt idx="733">
                  <c:v>46056</c:v>
                </c:pt>
                <c:pt idx="734">
                  <c:v>46057</c:v>
                </c:pt>
                <c:pt idx="735">
                  <c:v>46058</c:v>
                </c:pt>
                <c:pt idx="736">
                  <c:v>46059</c:v>
                </c:pt>
                <c:pt idx="737">
                  <c:v>46060</c:v>
                </c:pt>
                <c:pt idx="738">
                  <c:v>46061</c:v>
                </c:pt>
                <c:pt idx="739">
                  <c:v>46062</c:v>
                </c:pt>
                <c:pt idx="740">
                  <c:v>46063</c:v>
                </c:pt>
                <c:pt idx="741">
                  <c:v>46066</c:v>
                </c:pt>
                <c:pt idx="742">
                  <c:v>46067</c:v>
                </c:pt>
                <c:pt idx="743">
                  <c:v>46068</c:v>
                </c:pt>
                <c:pt idx="744">
                  <c:v>46069</c:v>
                </c:pt>
                <c:pt idx="745">
                  <c:v>46070</c:v>
                </c:pt>
                <c:pt idx="746">
                  <c:v>46071</c:v>
                </c:pt>
                <c:pt idx="747">
                  <c:v>46072</c:v>
                </c:pt>
                <c:pt idx="748">
                  <c:v>46073</c:v>
                </c:pt>
                <c:pt idx="749">
                  <c:v>46074</c:v>
                </c:pt>
                <c:pt idx="750">
                  <c:v>46075</c:v>
                </c:pt>
                <c:pt idx="751">
                  <c:v>46076</c:v>
                </c:pt>
                <c:pt idx="752">
                  <c:v>46079</c:v>
                </c:pt>
                <c:pt idx="753">
                  <c:v>46080</c:v>
                </c:pt>
                <c:pt idx="754">
                  <c:v>46081</c:v>
                </c:pt>
                <c:pt idx="755">
                  <c:v>46082</c:v>
                </c:pt>
                <c:pt idx="756">
                  <c:v>46083</c:v>
                </c:pt>
                <c:pt idx="757">
                  <c:v>46084</c:v>
                </c:pt>
                <c:pt idx="758">
                  <c:v>46088</c:v>
                </c:pt>
                <c:pt idx="759">
                  <c:v>46089</c:v>
                </c:pt>
                <c:pt idx="760">
                  <c:v>46090</c:v>
                </c:pt>
                <c:pt idx="761">
                  <c:v>46091</c:v>
                </c:pt>
                <c:pt idx="762">
                  <c:v>46092</c:v>
                </c:pt>
                <c:pt idx="763">
                  <c:v>46093</c:v>
                </c:pt>
                <c:pt idx="764">
                  <c:v>46094</c:v>
                </c:pt>
                <c:pt idx="765">
                  <c:v>46096</c:v>
                </c:pt>
                <c:pt idx="766">
                  <c:v>46097</c:v>
                </c:pt>
                <c:pt idx="767">
                  <c:v>46101</c:v>
                </c:pt>
                <c:pt idx="768">
                  <c:v>46102</c:v>
                </c:pt>
                <c:pt idx="769">
                  <c:v>46103</c:v>
                </c:pt>
                <c:pt idx="770">
                  <c:v>46104</c:v>
                </c:pt>
                <c:pt idx="771">
                  <c:v>46116</c:v>
                </c:pt>
                <c:pt idx="772">
                  <c:v>46117</c:v>
                </c:pt>
                <c:pt idx="773">
                  <c:v>46118</c:v>
                </c:pt>
                <c:pt idx="774">
                  <c:v>46119</c:v>
                </c:pt>
                <c:pt idx="775">
                  <c:v>46120</c:v>
                </c:pt>
                <c:pt idx="776">
                  <c:v>46121</c:v>
                </c:pt>
                <c:pt idx="777">
                  <c:v>46122</c:v>
                </c:pt>
                <c:pt idx="778">
                  <c:v>46123</c:v>
                </c:pt>
                <c:pt idx="779">
                  <c:v>46124</c:v>
                </c:pt>
                <c:pt idx="780">
                  <c:v>46125</c:v>
                </c:pt>
                <c:pt idx="781">
                  <c:v>46126</c:v>
                </c:pt>
                <c:pt idx="782">
                  <c:v>46127</c:v>
                </c:pt>
                <c:pt idx="783">
                  <c:v>46128</c:v>
                </c:pt>
                <c:pt idx="784">
                  <c:v>46129</c:v>
                </c:pt>
                <c:pt idx="785">
                  <c:v>46135</c:v>
                </c:pt>
                <c:pt idx="786">
                  <c:v>46136</c:v>
                </c:pt>
                <c:pt idx="787">
                  <c:v>46137</c:v>
                </c:pt>
                <c:pt idx="788">
                  <c:v>46138</c:v>
                </c:pt>
                <c:pt idx="789">
                  <c:v>46139</c:v>
                </c:pt>
                <c:pt idx="790">
                  <c:v>46140</c:v>
                </c:pt>
                <c:pt idx="791">
                  <c:v>46141</c:v>
                </c:pt>
                <c:pt idx="792">
                  <c:v>46142</c:v>
                </c:pt>
                <c:pt idx="793">
                  <c:v>46143</c:v>
                </c:pt>
                <c:pt idx="794">
                  <c:v>46144</c:v>
                </c:pt>
                <c:pt idx="795">
                  <c:v>46147</c:v>
                </c:pt>
                <c:pt idx="796">
                  <c:v>46148</c:v>
                </c:pt>
              </c:numCache>
            </c:numRef>
          </c:xVal>
          <c:yVal>
            <c:numRef>
              <c:f>Pesos_R!$R$2:$R$798</c:f>
              <c:numCache>
                <c:formatCode>_(* #,##0.00_);_(* \(#,##0.00\);_(* "-"??_);_(@_)</c:formatCode>
                <c:ptCount val="797"/>
                <c:pt idx="0">
                  <c:v>24.015249999999998</c:v>
                </c:pt>
                <c:pt idx="1">
                  <c:v>24.02999999999999</c:v>
                </c:pt>
                <c:pt idx="2">
                  <c:v>24.851600000000001</c:v>
                </c:pt>
                <c:pt idx="3">
                  <c:v>24.26</c:v>
                </c:pt>
                <c:pt idx="4">
                  <c:v>23.749749999999995</c:v>
                </c:pt>
                <c:pt idx="5">
                  <c:v>23.680850000000003</c:v>
                </c:pt>
                <c:pt idx="6">
                  <c:v>23.862500000000001</c:v>
                </c:pt>
                <c:pt idx="7">
                  <c:v>23.516500000000004</c:v>
                </c:pt>
                <c:pt idx="8">
                  <c:v>24.099199999999993</c:v>
                </c:pt>
                <c:pt idx="9">
                  <c:v>24.207700000000006</c:v>
                </c:pt>
                <c:pt idx="10">
                  <c:v>24.510649999999988</c:v>
                </c:pt>
                <c:pt idx="11">
                  <c:v>23.6831</c:v>
                </c:pt>
                <c:pt idx="12">
                  <c:v>23.900600000000001</c:v>
                </c:pt>
                <c:pt idx="13">
                  <c:v>24.290000000000003</c:v>
                </c:pt>
                <c:pt idx="14">
                  <c:v>23.862500000000001</c:v>
                </c:pt>
                <c:pt idx="15">
                  <c:v>24.33499999999999</c:v>
                </c:pt>
                <c:pt idx="16">
                  <c:v>23.675000000000001</c:v>
                </c:pt>
                <c:pt idx="17">
                  <c:v>23.56</c:v>
                </c:pt>
                <c:pt idx="18">
                  <c:v>24.02999999999999</c:v>
                </c:pt>
                <c:pt idx="19">
                  <c:v>24.663200000000007</c:v>
                </c:pt>
                <c:pt idx="20">
                  <c:v>24.277950000000001</c:v>
                </c:pt>
                <c:pt idx="21">
                  <c:v>23.715499999999995</c:v>
                </c:pt>
                <c:pt idx="22">
                  <c:v>22.784249999999997</c:v>
                </c:pt>
                <c:pt idx="23">
                  <c:v>23.887199999999996</c:v>
                </c:pt>
                <c:pt idx="24">
                  <c:v>23.27815</c:v>
                </c:pt>
                <c:pt idx="25">
                  <c:v>23.314400000000003</c:v>
                </c:pt>
                <c:pt idx="26">
                  <c:v>23.607599999999994</c:v>
                </c:pt>
                <c:pt idx="27">
                  <c:v>23.831900000000001</c:v>
                </c:pt>
                <c:pt idx="28">
                  <c:v>23.680849999999996</c:v>
                </c:pt>
                <c:pt idx="29">
                  <c:v>23.568549999999998</c:v>
                </c:pt>
                <c:pt idx="30">
                  <c:v>23.677200000000003</c:v>
                </c:pt>
                <c:pt idx="31">
                  <c:v>23.985749999999999</c:v>
                </c:pt>
                <c:pt idx="32">
                  <c:v>23.941500000000001</c:v>
                </c:pt>
                <c:pt idx="33">
                  <c:v>24.181749999999997</c:v>
                </c:pt>
                <c:pt idx="34">
                  <c:v>24.450400000000005</c:v>
                </c:pt>
                <c:pt idx="35">
                  <c:v>24.9682</c:v>
                </c:pt>
                <c:pt idx="36">
                  <c:v>24.253249999999998</c:v>
                </c:pt>
                <c:pt idx="37">
                  <c:v>24.145700000000009</c:v>
                </c:pt>
                <c:pt idx="38">
                  <c:v>22.867999999999999</c:v>
                </c:pt>
                <c:pt idx="39">
                  <c:v>23.606000000000005</c:v>
                </c:pt>
                <c:pt idx="40">
                  <c:v>23.421500000000005</c:v>
                </c:pt>
                <c:pt idx="41">
                  <c:v>23.576400000000003</c:v>
                </c:pt>
                <c:pt idx="42">
                  <c:v>23.735000000000003</c:v>
                </c:pt>
                <c:pt idx="43">
                  <c:v>23.645849999999999</c:v>
                </c:pt>
                <c:pt idx="44">
                  <c:v>22.907499999999995</c:v>
                </c:pt>
                <c:pt idx="45">
                  <c:v>23.583749999999998</c:v>
                </c:pt>
                <c:pt idx="46">
                  <c:v>23.994400000000002</c:v>
                </c:pt>
                <c:pt idx="47">
                  <c:v>23.964000000000002</c:v>
                </c:pt>
                <c:pt idx="48">
                  <c:v>23.386400000000005</c:v>
                </c:pt>
                <c:pt idx="49">
                  <c:v>23.842700000000004</c:v>
                </c:pt>
                <c:pt idx="50">
                  <c:v>23.842399999999994</c:v>
                </c:pt>
                <c:pt idx="51">
                  <c:v>23.445799999999995</c:v>
                </c:pt>
                <c:pt idx="52">
                  <c:v>24.039750000000009</c:v>
                </c:pt>
                <c:pt idx="53">
                  <c:v>24.024499999999993</c:v>
                </c:pt>
                <c:pt idx="54">
                  <c:v>23.566999999999997</c:v>
                </c:pt>
                <c:pt idx="55">
                  <c:v>23.445800000000002</c:v>
                </c:pt>
                <c:pt idx="56">
                  <c:v>22.9742</c:v>
                </c:pt>
                <c:pt idx="57">
                  <c:v>23.534899999999997</c:v>
                </c:pt>
                <c:pt idx="58">
                  <c:v>23.645849999999999</c:v>
                </c:pt>
                <c:pt idx="59">
                  <c:v>23.553850000000001</c:v>
                </c:pt>
                <c:pt idx="60">
                  <c:v>22.859100000000002</c:v>
                </c:pt>
                <c:pt idx="61">
                  <c:v>23.477600000000006</c:v>
                </c:pt>
                <c:pt idx="62">
                  <c:v>23.568800000000007</c:v>
                </c:pt>
                <c:pt idx="63">
                  <c:v>23.024600000000003</c:v>
                </c:pt>
                <c:pt idx="64">
                  <c:v>24.084799999999991</c:v>
                </c:pt>
                <c:pt idx="65">
                  <c:v>24.551600000000004</c:v>
                </c:pt>
                <c:pt idx="66">
                  <c:v>22.1876</c:v>
                </c:pt>
                <c:pt idx="67">
                  <c:v>22.897400000000001</c:v>
                </c:pt>
                <c:pt idx="68">
                  <c:v>24.115400000000005</c:v>
                </c:pt>
                <c:pt idx="69">
                  <c:v>24.579550000000001</c:v>
                </c:pt>
                <c:pt idx="70">
                  <c:v>24.190949999999997</c:v>
                </c:pt>
                <c:pt idx="71">
                  <c:v>23.142199999999999</c:v>
                </c:pt>
                <c:pt idx="72">
                  <c:v>23.6007</c:v>
                </c:pt>
                <c:pt idx="73">
                  <c:v>23.782</c:v>
                </c:pt>
                <c:pt idx="74">
                  <c:v>23.477600000000006</c:v>
                </c:pt>
                <c:pt idx="75">
                  <c:v>23.797250000000002</c:v>
                </c:pt>
                <c:pt idx="76">
                  <c:v>23.751200000000001</c:v>
                </c:pt>
                <c:pt idx="77">
                  <c:v>24.262000000000004</c:v>
                </c:pt>
                <c:pt idx="78">
                  <c:v>23.856749999999995</c:v>
                </c:pt>
                <c:pt idx="79">
                  <c:v>23.464999999999993</c:v>
                </c:pt>
                <c:pt idx="80">
                  <c:v>23.933000000000003</c:v>
                </c:pt>
                <c:pt idx="81">
                  <c:v>24.069499999999987</c:v>
                </c:pt>
                <c:pt idx="82">
                  <c:v>23.827199999999994</c:v>
                </c:pt>
                <c:pt idx="83">
                  <c:v>24.069500000000001</c:v>
                </c:pt>
                <c:pt idx="84">
                  <c:v>23.630799999999997</c:v>
                </c:pt>
                <c:pt idx="85">
                  <c:v>23.963999999999995</c:v>
                </c:pt>
                <c:pt idx="86">
                  <c:v>24.023599999999991</c:v>
                </c:pt>
                <c:pt idx="87">
                  <c:v>23.977700000000002</c:v>
                </c:pt>
                <c:pt idx="88">
                  <c:v>23.660900000000002</c:v>
                </c:pt>
                <c:pt idx="89">
                  <c:v>23.208200000000001</c:v>
                </c:pt>
                <c:pt idx="90">
                  <c:v>23.284750000000006</c:v>
                </c:pt>
                <c:pt idx="91">
                  <c:v>24.091500000000007</c:v>
                </c:pt>
                <c:pt idx="92">
                  <c:v>24.445250000000005</c:v>
                </c:pt>
                <c:pt idx="93">
                  <c:v>22.965799999999998</c:v>
                </c:pt>
                <c:pt idx="94">
                  <c:v>22.708250000000003</c:v>
                </c:pt>
                <c:pt idx="95">
                  <c:v>22.938500000000008</c:v>
                </c:pt>
                <c:pt idx="96">
                  <c:v>22.772549999999992</c:v>
                </c:pt>
                <c:pt idx="97">
                  <c:v>24.00675</c:v>
                </c:pt>
                <c:pt idx="98">
                  <c:v>24.476750000000006</c:v>
                </c:pt>
                <c:pt idx="99">
                  <c:v>24.187249999999995</c:v>
                </c:pt>
                <c:pt idx="100">
                  <c:v>22.933700000000005</c:v>
                </c:pt>
                <c:pt idx="101">
                  <c:v>22.704500000000007</c:v>
                </c:pt>
                <c:pt idx="102">
                  <c:v>23.872000000000003</c:v>
                </c:pt>
                <c:pt idx="103">
                  <c:v>24.492500000000003</c:v>
                </c:pt>
                <c:pt idx="104">
                  <c:v>24.258900000000001</c:v>
                </c:pt>
                <c:pt idx="105">
                  <c:v>24.08785</c:v>
                </c:pt>
                <c:pt idx="106">
                  <c:v>23.855299999999996</c:v>
                </c:pt>
                <c:pt idx="107">
                  <c:v>23.176799999999989</c:v>
                </c:pt>
                <c:pt idx="108">
                  <c:v>23.50899999999999</c:v>
                </c:pt>
                <c:pt idx="109">
                  <c:v>24.354999999999993</c:v>
                </c:pt>
                <c:pt idx="110">
                  <c:v>23.960699999999999</c:v>
                </c:pt>
                <c:pt idx="111">
                  <c:v>24.308499999999999</c:v>
                </c:pt>
                <c:pt idx="112">
                  <c:v>23.283900000000006</c:v>
                </c:pt>
                <c:pt idx="113">
                  <c:v>23.450200000000006</c:v>
                </c:pt>
                <c:pt idx="114">
                  <c:v>23.690399999999993</c:v>
                </c:pt>
                <c:pt idx="115">
                  <c:v>23.540400000000002</c:v>
                </c:pt>
                <c:pt idx="116">
                  <c:v>23.585699999999999</c:v>
                </c:pt>
                <c:pt idx="117">
                  <c:v>24.127799999999997</c:v>
                </c:pt>
                <c:pt idx="118">
                  <c:v>23.434999999999999</c:v>
                </c:pt>
                <c:pt idx="119">
                  <c:v>23.842399999999987</c:v>
                </c:pt>
                <c:pt idx="120">
                  <c:v>24.008300000000002</c:v>
                </c:pt>
                <c:pt idx="121">
                  <c:v>24.160250000000001</c:v>
                </c:pt>
                <c:pt idx="122">
                  <c:v>24.258900000000001</c:v>
                </c:pt>
                <c:pt idx="123">
                  <c:v>24.227799999999991</c:v>
                </c:pt>
                <c:pt idx="124">
                  <c:v>23.389999999999997</c:v>
                </c:pt>
                <c:pt idx="125">
                  <c:v>23.688999999999997</c:v>
                </c:pt>
                <c:pt idx="126">
                  <c:v>23.704250000000005</c:v>
                </c:pt>
                <c:pt idx="127">
                  <c:v>23.388200000000008</c:v>
                </c:pt>
                <c:pt idx="128">
                  <c:v>23.600800000000003</c:v>
                </c:pt>
                <c:pt idx="129">
                  <c:v>23.360000000000003</c:v>
                </c:pt>
                <c:pt idx="130">
                  <c:v>23.994549999999993</c:v>
                </c:pt>
                <c:pt idx="131">
                  <c:v>24.14599999999999</c:v>
                </c:pt>
                <c:pt idx="132">
                  <c:v>23.807199999999991</c:v>
                </c:pt>
                <c:pt idx="133">
                  <c:v>22.999200000000005</c:v>
                </c:pt>
                <c:pt idx="134">
                  <c:v>23.328999999999997</c:v>
                </c:pt>
                <c:pt idx="135">
                  <c:v>23.582250000000005</c:v>
                </c:pt>
                <c:pt idx="136">
                  <c:v>24.114799999999999</c:v>
                </c:pt>
                <c:pt idx="137">
                  <c:v>23.089400000000008</c:v>
                </c:pt>
                <c:pt idx="138">
                  <c:v>23.435149999999997</c:v>
                </c:pt>
                <c:pt idx="139">
                  <c:v>23.479999999999993</c:v>
                </c:pt>
                <c:pt idx="140">
                  <c:v>23.730449999999994</c:v>
                </c:pt>
                <c:pt idx="141">
                  <c:v>24.067999999999994</c:v>
                </c:pt>
                <c:pt idx="142">
                  <c:v>22.911199999999997</c:v>
                </c:pt>
                <c:pt idx="143">
                  <c:v>23.28465000000001</c:v>
                </c:pt>
                <c:pt idx="144">
                  <c:v>23.553599999999999</c:v>
                </c:pt>
                <c:pt idx="145">
                  <c:v>23.807199999999991</c:v>
                </c:pt>
                <c:pt idx="146">
                  <c:v>23.074549999999999</c:v>
                </c:pt>
                <c:pt idx="147">
                  <c:v>22.755199999999991</c:v>
                </c:pt>
                <c:pt idx="148">
                  <c:v>23.224949999999989</c:v>
                </c:pt>
                <c:pt idx="149">
                  <c:v>22.049749999999992</c:v>
                </c:pt>
                <c:pt idx="150">
                  <c:v>22.646500000000007</c:v>
                </c:pt>
                <c:pt idx="151">
                  <c:v>23.510000000000009</c:v>
                </c:pt>
                <c:pt idx="152">
                  <c:v>23.661199999999997</c:v>
                </c:pt>
                <c:pt idx="153">
                  <c:v>24.084800000000005</c:v>
                </c:pt>
                <c:pt idx="154">
                  <c:v>24.442400000000003</c:v>
                </c:pt>
                <c:pt idx="155">
                  <c:v>24.286400000000004</c:v>
                </c:pt>
                <c:pt idx="156">
                  <c:v>24.199999999999992</c:v>
                </c:pt>
                <c:pt idx="157">
                  <c:v>23.690399999999993</c:v>
                </c:pt>
                <c:pt idx="158">
                  <c:v>22.999199999999991</c:v>
                </c:pt>
                <c:pt idx="159">
                  <c:v>23.193349999999992</c:v>
                </c:pt>
                <c:pt idx="160">
                  <c:v>23.615450000000006</c:v>
                </c:pt>
                <c:pt idx="161">
                  <c:v>24.067999999999994</c:v>
                </c:pt>
                <c:pt idx="162">
                  <c:v>23.521250000000006</c:v>
                </c:pt>
                <c:pt idx="163">
                  <c:v>23.239899999999988</c:v>
                </c:pt>
                <c:pt idx="164">
                  <c:v>23.419599999999992</c:v>
                </c:pt>
                <c:pt idx="165">
                  <c:v>23.165000000000003</c:v>
                </c:pt>
                <c:pt idx="166">
                  <c:v>23.6966</c:v>
                </c:pt>
                <c:pt idx="167">
                  <c:v>23.460249999999991</c:v>
                </c:pt>
                <c:pt idx="168">
                  <c:v>23.564600000000002</c:v>
                </c:pt>
                <c:pt idx="169">
                  <c:v>23.179300000000001</c:v>
                </c:pt>
                <c:pt idx="170">
                  <c:v>23.653699999999997</c:v>
                </c:pt>
                <c:pt idx="171">
                  <c:v>23.1647</c:v>
                </c:pt>
                <c:pt idx="172">
                  <c:v>23.224999999999998</c:v>
                </c:pt>
                <c:pt idx="173">
                  <c:v>24.036799999999996</c:v>
                </c:pt>
                <c:pt idx="174">
                  <c:v>24.43579999999999</c:v>
                </c:pt>
                <c:pt idx="175">
                  <c:v>24.057599999999997</c:v>
                </c:pt>
                <c:pt idx="176">
                  <c:v>23.282149999999991</c:v>
                </c:pt>
                <c:pt idx="177">
                  <c:v>23.000700000000013</c:v>
                </c:pt>
                <c:pt idx="178">
                  <c:v>22.657099999999996</c:v>
                </c:pt>
                <c:pt idx="179">
                  <c:v>22.970600000000001</c:v>
                </c:pt>
                <c:pt idx="180">
                  <c:v>22.8216</c:v>
                </c:pt>
                <c:pt idx="181">
                  <c:v>23.500199999999996</c:v>
                </c:pt>
                <c:pt idx="182">
                  <c:v>23.355999999999991</c:v>
                </c:pt>
                <c:pt idx="183">
                  <c:v>23.327599999999993</c:v>
                </c:pt>
                <c:pt idx="184">
                  <c:v>23.4755</c:v>
                </c:pt>
                <c:pt idx="185">
                  <c:v>23.827999999999999</c:v>
                </c:pt>
                <c:pt idx="186">
                  <c:v>23.401600000000006</c:v>
                </c:pt>
                <c:pt idx="187">
                  <c:v>22.925949999999997</c:v>
                </c:pt>
                <c:pt idx="188">
                  <c:v>22.792000000000005</c:v>
                </c:pt>
                <c:pt idx="189">
                  <c:v>22.985749999999992</c:v>
                </c:pt>
                <c:pt idx="190">
                  <c:v>24.161749999999994</c:v>
                </c:pt>
                <c:pt idx="191">
                  <c:v>24.211850000000002</c:v>
                </c:pt>
                <c:pt idx="192">
                  <c:v>24.085050000000006</c:v>
                </c:pt>
                <c:pt idx="193">
                  <c:v>23.799099999999989</c:v>
                </c:pt>
                <c:pt idx="194">
                  <c:v>23.434799999999999</c:v>
                </c:pt>
                <c:pt idx="195">
                  <c:v>22.816649999999989</c:v>
                </c:pt>
                <c:pt idx="196">
                  <c:v>22.866649999999989</c:v>
                </c:pt>
                <c:pt idx="197">
                  <c:v>23.761300000000002</c:v>
                </c:pt>
                <c:pt idx="198">
                  <c:v>23.719500000000007</c:v>
                </c:pt>
                <c:pt idx="199">
                  <c:v>23.884899999999998</c:v>
                </c:pt>
                <c:pt idx="200">
                  <c:v>23.100349999999995</c:v>
                </c:pt>
                <c:pt idx="201">
                  <c:v>23.117599999999992</c:v>
                </c:pt>
                <c:pt idx="202">
                  <c:v>23.588800000000003</c:v>
                </c:pt>
                <c:pt idx="203">
                  <c:v>23.8279</c:v>
                </c:pt>
                <c:pt idx="204">
                  <c:v>23.581399999999995</c:v>
                </c:pt>
                <c:pt idx="205">
                  <c:v>23.414750000000002</c:v>
                </c:pt>
                <c:pt idx="206">
                  <c:v>23.606399999999994</c:v>
                </c:pt>
                <c:pt idx="207">
                  <c:v>23.519200000000005</c:v>
                </c:pt>
                <c:pt idx="208">
                  <c:v>23.085199999999997</c:v>
                </c:pt>
                <c:pt idx="209">
                  <c:v>23.668000000000003</c:v>
                </c:pt>
                <c:pt idx="210">
                  <c:v>23.5335</c:v>
                </c:pt>
                <c:pt idx="211">
                  <c:v>23.457799999999992</c:v>
                </c:pt>
                <c:pt idx="212">
                  <c:v>23.043849999999988</c:v>
                </c:pt>
                <c:pt idx="213">
                  <c:v>23.828350000000004</c:v>
                </c:pt>
                <c:pt idx="214">
                  <c:v>22.998699999999996</c:v>
                </c:pt>
                <c:pt idx="215">
                  <c:v>23.282149999999991</c:v>
                </c:pt>
                <c:pt idx="216">
                  <c:v>23.626500000000004</c:v>
                </c:pt>
                <c:pt idx="217">
                  <c:v>24.236299999999996</c:v>
                </c:pt>
                <c:pt idx="218">
                  <c:v>23.957000000000004</c:v>
                </c:pt>
                <c:pt idx="219">
                  <c:v>23.197600000000001</c:v>
                </c:pt>
                <c:pt idx="220">
                  <c:v>22.86</c:v>
                </c:pt>
                <c:pt idx="221">
                  <c:v>23.216249999999999</c:v>
                </c:pt>
                <c:pt idx="222">
                  <c:v>23.312700000000014</c:v>
                </c:pt>
                <c:pt idx="223">
                  <c:v>23.475499999999993</c:v>
                </c:pt>
                <c:pt idx="224">
                  <c:v>23.674699999999994</c:v>
                </c:pt>
                <c:pt idx="225">
                  <c:v>23.906399999999991</c:v>
                </c:pt>
                <c:pt idx="226">
                  <c:v>23.408100000000001</c:v>
                </c:pt>
                <c:pt idx="227">
                  <c:v>23.588799999999996</c:v>
                </c:pt>
                <c:pt idx="228">
                  <c:v>22.994299999999992</c:v>
                </c:pt>
                <c:pt idx="229">
                  <c:v>21.82200000000001</c:v>
                </c:pt>
                <c:pt idx="230">
                  <c:v>23.839050000000004</c:v>
                </c:pt>
                <c:pt idx="231">
                  <c:v>24.092199999999995</c:v>
                </c:pt>
                <c:pt idx="232">
                  <c:v>24.220399999999994</c:v>
                </c:pt>
                <c:pt idx="233">
                  <c:v>23.916299999999996</c:v>
                </c:pt>
                <c:pt idx="234">
                  <c:v>23.19125</c:v>
                </c:pt>
                <c:pt idx="235">
                  <c:v>23.074999999999999</c:v>
                </c:pt>
                <c:pt idx="236">
                  <c:v>23.119999999999994</c:v>
                </c:pt>
                <c:pt idx="237">
                  <c:v>22.5807</c:v>
                </c:pt>
                <c:pt idx="238">
                  <c:v>22.955850000000016</c:v>
                </c:pt>
                <c:pt idx="239">
                  <c:v>23.322999999999997</c:v>
                </c:pt>
                <c:pt idx="240">
                  <c:v>23.355999999999998</c:v>
                </c:pt>
                <c:pt idx="241">
                  <c:v>23.045000000000005</c:v>
                </c:pt>
                <c:pt idx="242">
                  <c:v>23.411599999999996</c:v>
                </c:pt>
                <c:pt idx="243">
                  <c:v>23.906599999999994</c:v>
                </c:pt>
                <c:pt idx="244">
                  <c:v>23.277249999999999</c:v>
                </c:pt>
                <c:pt idx="245">
                  <c:v>22.451300000000007</c:v>
                </c:pt>
                <c:pt idx="246">
                  <c:v>21.989600000000014</c:v>
                </c:pt>
                <c:pt idx="247">
                  <c:v>23.327999999999989</c:v>
                </c:pt>
                <c:pt idx="248">
                  <c:v>22.538149999999998</c:v>
                </c:pt>
                <c:pt idx="249">
                  <c:v>23.253499999999999</c:v>
                </c:pt>
                <c:pt idx="250">
                  <c:v>23.823499999999992</c:v>
                </c:pt>
                <c:pt idx="251">
                  <c:v>24.236299999999996</c:v>
                </c:pt>
                <c:pt idx="252">
                  <c:v>23.721349999999987</c:v>
                </c:pt>
                <c:pt idx="253">
                  <c:v>23.912699999999994</c:v>
                </c:pt>
                <c:pt idx="254">
                  <c:v>23.151999999999994</c:v>
                </c:pt>
                <c:pt idx="255">
                  <c:v>23.057199999999991</c:v>
                </c:pt>
                <c:pt idx="256">
                  <c:v>22.806349999999998</c:v>
                </c:pt>
                <c:pt idx="257">
                  <c:v>23.549000000000003</c:v>
                </c:pt>
                <c:pt idx="258">
                  <c:v>23.746800000000007</c:v>
                </c:pt>
                <c:pt idx="259">
                  <c:v>23.003399999999992</c:v>
                </c:pt>
                <c:pt idx="260">
                  <c:v>23.157199999999996</c:v>
                </c:pt>
                <c:pt idx="261">
                  <c:v>23.408100000000008</c:v>
                </c:pt>
                <c:pt idx="262">
                  <c:v>23.028799999999993</c:v>
                </c:pt>
                <c:pt idx="263">
                  <c:v>23.669249999999998</c:v>
                </c:pt>
                <c:pt idx="264">
                  <c:v>23.4269</c:v>
                </c:pt>
                <c:pt idx="265">
                  <c:v>23.812499999999989</c:v>
                </c:pt>
                <c:pt idx="266">
                  <c:v>24.130250000000007</c:v>
                </c:pt>
                <c:pt idx="267">
                  <c:v>24.057600000000004</c:v>
                </c:pt>
                <c:pt idx="268">
                  <c:v>23.524999999999991</c:v>
                </c:pt>
                <c:pt idx="269">
                  <c:v>23.445649999999997</c:v>
                </c:pt>
                <c:pt idx="270">
                  <c:v>23.160950000000003</c:v>
                </c:pt>
                <c:pt idx="271">
                  <c:v>23.519399999999997</c:v>
                </c:pt>
                <c:pt idx="272">
                  <c:v>22.89139999999999</c:v>
                </c:pt>
                <c:pt idx="273">
                  <c:v>23.160950000000003</c:v>
                </c:pt>
                <c:pt idx="274">
                  <c:v>23.530899999999999</c:v>
                </c:pt>
                <c:pt idx="275">
                  <c:v>23.408100000000001</c:v>
                </c:pt>
                <c:pt idx="276">
                  <c:v>23.756000000000004</c:v>
                </c:pt>
                <c:pt idx="277">
                  <c:v>23.354599999999998</c:v>
                </c:pt>
                <c:pt idx="278">
                  <c:v>23.227999999999998</c:v>
                </c:pt>
                <c:pt idx="279">
                  <c:v>22.137500000000003</c:v>
                </c:pt>
                <c:pt idx="280">
                  <c:v>22.564899999999987</c:v>
                </c:pt>
                <c:pt idx="281">
                  <c:v>23.600150000000003</c:v>
                </c:pt>
                <c:pt idx="282">
                  <c:v>24.100899999999992</c:v>
                </c:pt>
                <c:pt idx="283">
                  <c:v>24.139600000000005</c:v>
                </c:pt>
                <c:pt idx="284">
                  <c:v>23.590250000000001</c:v>
                </c:pt>
                <c:pt idx="285">
                  <c:v>23.715599999999995</c:v>
                </c:pt>
                <c:pt idx="286">
                  <c:v>23.033699999999996</c:v>
                </c:pt>
                <c:pt idx="287">
                  <c:v>22.918099999999995</c:v>
                </c:pt>
                <c:pt idx="288">
                  <c:v>22.658099999999994</c:v>
                </c:pt>
                <c:pt idx="289">
                  <c:v>22.654799999999994</c:v>
                </c:pt>
                <c:pt idx="290">
                  <c:v>23.538349999999998</c:v>
                </c:pt>
                <c:pt idx="291">
                  <c:v>23.008399999999995</c:v>
                </c:pt>
                <c:pt idx="292">
                  <c:v>23.282149999999991</c:v>
                </c:pt>
                <c:pt idx="293">
                  <c:v>23.890949999999993</c:v>
                </c:pt>
                <c:pt idx="294">
                  <c:v>23.807949999999995</c:v>
                </c:pt>
                <c:pt idx="295">
                  <c:v>23.492000000000001</c:v>
                </c:pt>
                <c:pt idx="296">
                  <c:v>23.561099999999989</c:v>
                </c:pt>
                <c:pt idx="297">
                  <c:v>22.789999999999996</c:v>
                </c:pt>
                <c:pt idx="298">
                  <c:v>23.170500000000001</c:v>
                </c:pt>
                <c:pt idx="299">
                  <c:v>23.2546</c:v>
                </c:pt>
                <c:pt idx="300">
                  <c:v>23.502500000000001</c:v>
                </c:pt>
                <c:pt idx="301">
                  <c:v>23.652449999999998</c:v>
                </c:pt>
                <c:pt idx="302">
                  <c:v>23.239250000000002</c:v>
                </c:pt>
                <c:pt idx="303">
                  <c:v>21.876499999999989</c:v>
                </c:pt>
                <c:pt idx="304">
                  <c:v>22.230500000000003</c:v>
                </c:pt>
                <c:pt idx="305">
                  <c:v>23.143199999999997</c:v>
                </c:pt>
                <c:pt idx="306">
                  <c:v>23.203999999999997</c:v>
                </c:pt>
                <c:pt idx="307">
                  <c:v>24.140899999999998</c:v>
                </c:pt>
                <c:pt idx="308">
                  <c:v>23.781400000000001</c:v>
                </c:pt>
                <c:pt idx="309">
                  <c:v>23.553799999999992</c:v>
                </c:pt>
                <c:pt idx="310">
                  <c:v>23.401599999999991</c:v>
                </c:pt>
                <c:pt idx="311">
                  <c:v>23.549299999999992</c:v>
                </c:pt>
                <c:pt idx="312">
                  <c:v>23.7195</c:v>
                </c:pt>
                <c:pt idx="313">
                  <c:v>23.185749999999995</c:v>
                </c:pt>
                <c:pt idx="314">
                  <c:v>24.100850000000005</c:v>
                </c:pt>
                <c:pt idx="315">
                  <c:v>23.097599999999996</c:v>
                </c:pt>
                <c:pt idx="316">
                  <c:v>23.365699999999993</c:v>
                </c:pt>
                <c:pt idx="317">
                  <c:v>23.381000000000004</c:v>
                </c:pt>
                <c:pt idx="318">
                  <c:v>23.145799999999991</c:v>
                </c:pt>
                <c:pt idx="319">
                  <c:v>22.309999999999992</c:v>
                </c:pt>
                <c:pt idx="320">
                  <c:v>23.592300000000005</c:v>
                </c:pt>
                <c:pt idx="321">
                  <c:v>22.822099999999988</c:v>
                </c:pt>
                <c:pt idx="322">
                  <c:v>23.217599999999997</c:v>
                </c:pt>
                <c:pt idx="323">
                  <c:v>23.708299999999998</c:v>
                </c:pt>
                <c:pt idx="324">
                  <c:v>23.484849999999998</c:v>
                </c:pt>
                <c:pt idx="325">
                  <c:v>23.802800000000001</c:v>
                </c:pt>
                <c:pt idx="326">
                  <c:v>22.846549999999993</c:v>
                </c:pt>
                <c:pt idx="327">
                  <c:v>23.170049999999996</c:v>
                </c:pt>
                <c:pt idx="328">
                  <c:v>23.098699999999994</c:v>
                </c:pt>
                <c:pt idx="329">
                  <c:v>23.245799999999996</c:v>
                </c:pt>
                <c:pt idx="330">
                  <c:v>23.496299999999991</c:v>
                </c:pt>
                <c:pt idx="331">
                  <c:v>23.993999999999993</c:v>
                </c:pt>
                <c:pt idx="332">
                  <c:v>23.803150000000002</c:v>
                </c:pt>
                <c:pt idx="333">
                  <c:v>23.610999999999994</c:v>
                </c:pt>
                <c:pt idx="334">
                  <c:v>23.070049999999998</c:v>
                </c:pt>
                <c:pt idx="335">
                  <c:v>22.714199999999998</c:v>
                </c:pt>
                <c:pt idx="336">
                  <c:v>23.066599999999994</c:v>
                </c:pt>
                <c:pt idx="337">
                  <c:v>23.189</c:v>
                </c:pt>
                <c:pt idx="338">
                  <c:v>23.113749999999989</c:v>
                </c:pt>
                <c:pt idx="339">
                  <c:v>22.851799999999994</c:v>
                </c:pt>
                <c:pt idx="340">
                  <c:v>23.546250000000004</c:v>
                </c:pt>
                <c:pt idx="341">
                  <c:v>23.809199999999997</c:v>
                </c:pt>
                <c:pt idx="342">
                  <c:v>23.555999999999997</c:v>
                </c:pt>
                <c:pt idx="343">
                  <c:v>23.425600000000003</c:v>
                </c:pt>
                <c:pt idx="344">
                  <c:v>23.206399999999999</c:v>
                </c:pt>
                <c:pt idx="345">
                  <c:v>22.842849999999984</c:v>
                </c:pt>
                <c:pt idx="346">
                  <c:v>23.334600000000002</c:v>
                </c:pt>
                <c:pt idx="347">
                  <c:v>23.288399999999996</c:v>
                </c:pt>
                <c:pt idx="348">
                  <c:v>23.134399999999992</c:v>
                </c:pt>
                <c:pt idx="349">
                  <c:v>22.960799999999999</c:v>
                </c:pt>
                <c:pt idx="350">
                  <c:v>23.465999999999994</c:v>
                </c:pt>
                <c:pt idx="351">
                  <c:v>22.940149999999996</c:v>
                </c:pt>
                <c:pt idx="352">
                  <c:v>22.19189999999999</c:v>
                </c:pt>
                <c:pt idx="353">
                  <c:v>22.598499999999994</c:v>
                </c:pt>
                <c:pt idx="354">
                  <c:v>21.991249999999994</c:v>
                </c:pt>
                <c:pt idx="355">
                  <c:v>23.1995</c:v>
                </c:pt>
                <c:pt idx="356">
                  <c:v>23.356899999999996</c:v>
                </c:pt>
                <c:pt idx="357">
                  <c:v>22.236599999999989</c:v>
                </c:pt>
                <c:pt idx="358">
                  <c:v>22.533749999999991</c:v>
                </c:pt>
                <c:pt idx="359">
                  <c:v>23.584499999999998</c:v>
                </c:pt>
                <c:pt idx="360">
                  <c:v>21.760199999999998</c:v>
                </c:pt>
                <c:pt idx="361">
                  <c:v>22.398049999999991</c:v>
                </c:pt>
                <c:pt idx="362">
                  <c:v>22.782499999999992</c:v>
                </c:pt>
                <c:pt idx="363">
                  <c:v>22.300000000000004</c:v>
                </c:pt>
                <c:pt idx="364">
                  <c:v>23.195999999999998</c:v>
                </c:pt>
                <c:pt idx="365">
                  <c:v>23.647500000000001</c:v>
                </c:pt>
                <c:pt idx="366">
                  <c:v>23.474249999999991</c:v>
                </c:pt>
                <c:pt idx="367">
                  <c:v>22.924799999999998</c:v>
                </c:pt>
                <c:pt idx="368">
                  <c:v>22.868999999999993</c:v>
                </c:pt>
                <c:pt idx="369">
                  <c:v>22.675749999999994</c:v>
                </c:pt>
                <c:pt idx="370">
                  <c:v>23.185199999999995</c:v>
                </c:pt>
                <c:pt idx="371">
                  <c:v>23.426999999999992</c:v>
                </c:pt>
                <c:pt idx="372">
                  <c:v>22.725249999999988</c:v>
                </c:pt>
                <c:pt idx="373">
                  <c:v>23.021599999999992</c:v>
                </c:pt>
                <c:pt idx="374">
                  <c:v>22.773149999999994</c:v>
                </c:pt>
                <c:pt idx="375">
                  <c:v>22.819499999999998</c:v>
                </c:pt>
                <c:pt idx="376">
                  <c:v>22.5184</c:v>
                </c:pt>
                <c:pt idx="377">
                  <c:v>22.556399999999996</c:v>
                </c:pt>
                <c:pt idx="378">
                  <c:v>22.834949999999992</c:v>
                </c:pt>
                <c:pt idx="379">
                  <c:v>22.904400000000003</c:v>
                </c:pt>
                <c:pt idx="380">
                  <c:v>22.492800000000003</c:v>
                </c:pt>
                <c:pt idx="381">
                  <c:v>22.296500000000002</c:v>
                </c:pt>
                <c:pt idx="382">
                  <c:v>22.989350000000002</c:v>
                </c:pt>
                <c:pt idx="383">
                  <c:v>23.011499999999991</c:v>
                </c:pt>
                <c:pt idx="384">
                  <c:v>23.090000000000003</c:v>
                </c:pt>
                <c:pt idx="385">
                  <c:v>23.04869999999999</c:v>
                </c:pt>
                <c:pt idx="386">
                  <c:v>22.556399999999996</c:v>
                </c:pt>
                <c:pt idx="387">
                  <c:v>21.803999999999988</c:v>
                </c:pt>
                <c:pt idx="388">
                  <c:v>22.379999999999995</c:v>
                </c:pt>
                <c:pt idx="389">
                  <c:v>22.70624999999999</c:v>
                </c:pt>
                <c:pt idx="390">
                  <c:v>23.185199999999988</c:v>
                </c:pt>
                <c:pt idx="391">
                  <c:v>22.58424999999999</c:v>
                </c:pt>
                <c:pt idx="392">
                  <c:v>22.311099999999996</c:v>
                </c:pt>
                <c:pt idx="393">
                  <c:v>22.980399999999996</c:v>
                </c:pt>
                <c:pt idx="394">
                  <c:v>22.442849999999993</c:v>
                </c:pt>
                <c:pt idx="395">
                  <c:v>21.597999999999992</c:v>
                </c:pt>
                <c:pt idx="396">
                  <c:v>22.402199999999993</c:v>
                </c:pt>
                <c:pt idx="397">
                  <c:v>22.154999999999994</c:v>
                </c:pt>
                <c:pt idx="398">
                  <c:v>22.578299999999999</c:v>
                </c:pt>
                <c:pt idx="399">
                  <c:v>22.382249999999999</c:v>
                </c:pt>
                <c:pt idx="400">
                  <c:v>22.648499999999999</c:v>
                </c:pt>
                <c:pt idx="401">
                  <c:v>21.979449999999986</c:v>
                </c:pt>
                <c:pt idx="402">
                  <c:v>22.245899999999999</c:v>
                </c:pt>
                <c:pt idx="403">
                  <c:v>22.742249999999991</c:v>
                </c:pt>
                <c:pt idx="404">
                  <c:v>22.60244999999999</c:v>
                </c:pt>
                <c:pt idx="405">
                  <c:v>23.051949999999998</c:v>
                </c:pt>
                <c:pt idx="406">
                  <c:v>23.180999999999997</c:v>
                </c:pt>
                <c:pt idx="407">
                  <c:v>23.159249999999993</c:v>
                </c:pt>
                <c:pt idx="408">
                  <c:v>22.045949999999991</c:v>
                </c:pt>
                <c:pt idx="409">
                  <c:v>22.865849999999995</c:v>
                </c:pt>
                <c:pt idx="410">
                  <c:v>22.897199999999998</c:v>
                </c:pt>
                <c:pt idx="411">
                  <c:v>22.372649999999993</c:v>
                </c:pt>
                <c:pt idx="412">
                  <c:v>23.032249999999991</c:v>
                </c:pt>
                <c:pt idx="413">
                  <c:v>23.802100000000003</c:v>
                </c:pt>
                <c:pt idx="414">
                  <c:v>23.316749999999992</c:v>
                </c:pt>
                <c:pt idx="415">
                  <c:v>22.755949999999991</c:v>
                </c:pt>
                <c:pt idx="416">
                  <c:v>21.774799999999999</c:v>
                </c:pt>
                <c:pt idx="417">
                  <c:v>22.398049999999998</c:v>
                </c:pt>
                <c:pt idx="418">
                  <c:v>22.857199999999999</c:v>
                </c:pt>
                <c:pt idx="419">
                  <c:v>23.021599999999985</c:v>
                </c:pt>
                <c:pt idx="420">
                  <c:v>22.826399999999992</c:v>
                </c:pt>
                <c:pt idx="421">
                  <c:v>22.639500000000005</c:v>
                </c:pt>
                <c:pt idx="422">
                  <c:v>22.99799999999999</c:v>
                </c:pt>
                <c:pt idx="423">
                  <c:v>21.76019999999999</c:v>
                </c:pt>
                <c:pt idx="424">
                  <c:v>22.2361</c:v>
                </c:pt>
                <c:pt idx="425">
                  <c:v>22.594349999999999</c:v>
                </c:pt>
                <c:pt idx="426">
                  <c:v>22.316099999999999</c:v>
                </c:pt>
                <c:pt idx="427">
                  <c:v>22.427699999999994</c:v>
                </c:pt>
                <c:pt idx="428">
                  <c:v>22.687800000000003</c:v>
                </c:pt>
                <c:pt idx="429">
                  <c:v>22.639499999999998</c:v>
                </c:pt>
                <c:pt idx="430">
                  <c:v>22.213199999999993</c:v>
                </c:pt>
                <c:pt idx="431">
                  <c:v>22.58339999999999</c:v>
                </c:pt>
                <c:pt idx="432">
                  <c:v>22.853699999999996</c:v>
                </c:pt>
                <c:pt idx="433">
                  <c:v>23.208199999999991</c:v>
                </c:pt>
                <c:pt idx="434">
                  <c:v>22.99799999999999</c:v>
                </c:pt>
                <c:pt idx="435">
                  <c:v>22.492799999999988</c:v>
                </c:pt>
                <c:pt idx="436">
                  <c:v>22.538099999999993</c:v>
                </c:pt>
                <c:pt idx="437">
                  <c:v>22.853699999999996</c:v>
                </c:pt>
                <c:pt idx="438">
                  <c:v>23.286699999999996</c:v>
                </c:pt>
                <c:pt idx="439">
                  <c:v>22.807799999999986</c:v>
                </c:pt>
                <c:pt idx="440">
                  <c:v>22.771299999999997</c:v>
                </c:pt>
                <c:pt idx="441">
                  <c:v>23.090999999999994</c:v>
                </c:pt>
                <c:pt idx="442">
                  <c:v>22.949600000000004</c:v>
                </c:pt>
                <c:pt idx="443">
                  <c:v>22.761899999999997</c:v>
                </c:pt>
                <c:pt idx="444">
                  <c:v>23.208449999999992</c:v>
                </c:pt>
                <c:pt idx="445">
                  <c:v>22.687799999999989</c:v>
                </c:pt>
                <c:pt idx="446">
                  <c:v>23.291599999999988</c:v>
                </c:pt>
                <c:pt idx="447">
                  <c:v>22.276199999999996</c:v>
                </c:pt>
                <c:pt idx="448">
                  <c:v>21.570399999999992</c:v>
                </c:pt>
                <c:pt idx="449">
                  <c:v>22.431749999999987</c:v>
                </c:pt>
                <c:pt idx="450">
                  <c:v>22.765499999999996</c:v>
                </c:pt>
                <c:pt idx="451">
                  <c:v>22.866099999999989</c:v>
                </c:pt>
                <c:pt idx="452">
                  <c:v>22.958049999999993</c:v>
                </c:pt>
                <c:pt idx="453">
                  <c:v>23.011499999999998</c:v>
                </c:pt>
                <c:pt idx="454">
                  <c:v>22.74839999999999</c:v>
                </c:pt>
                <c:pt idx="455">
                  <c:v>22.954499999999989</c:v>
                </c:pt>
                <c:pt idx="456">
                  <c:v>22.200449999999996</c:v>
                </c:pt>
                <c:pt idx="457">
                  <c:v>22.440599999999989</c:v>
                </c:pt>
                <c:pt idx="458">
                  <c:v>22.100199999999987</c:v>
                </c:pt>
                <c:pt idx="459">
                  <c:v>23.033249999999995</c:v>
                </c:pt>
                <c:pt idx="460">
                  <c:v>23.576799999999999</c:v>
                </c:pt>
                <c:pt idx="461">
                  <c:v>23.196799999999989</c:v>
                </c:pt>
                <c:pt idx="462">
                  <c:v>22.487599999999993</c:v>
                </c:pt>
                <c:pt idx="463">
                  <c:v>22.641500000000001</c:v>
                </c:pt>
                <c:pt idx="464">
                  <c:v>22.256999999999998</c:v>
                </c:pt>
                <c:pt idx="465">
                  <c:v>22.294499999999992</c:v>
                </c:pt>
                <c:pt idx="466">
                  <c:v>22.285599999999995</c:v>
                </c:pt>
                <c:pt idx="467">
                  <c:v>22.431749999999994</c:v>
                </c:pt>
                <c:pt idx="468">
                  <c:v>22.770249999999997</c:v>
                </c:pt>
                <c:pt idx="469">
                  <c:v>22.410000000000004</c:v>
                </c:pt>
                <c:pt idx="470">
                  <c:v>22.487599999999993</c:v>
                </c:pt>
                <c:pt idx="471">
                  <c:v>22.832850000000001</c:v>
                </c:pt>
                <c:pt idx="472">
                  <c:v>22.598099999999995</c:v>
                </c:pt>
                <c:pt idx="473">
                  <c:v>22.042399999999994</c:v>
                </c:pt>
                <c:pt idx="474">
                  <c:v>22.706999999999994</c:v>
                </c:pt>
                <c:pt idx="475">
                  <c:v>22.849400000000003</c:v>
                </c:pt>
                <c:pt idx="476">
                  <c:v>20.628549999999997</c:v>
                </c:pt>
                <c:pt idx="477">
                  <c:v>20.769399999999997</c:v>
                </c:pt>
                <c:pt idx="478">
                  <c:v>20.648400000000002</c:v>
                </c:pt>
                <c:pt idx="479">
                  <c:v>21.912400000000005</c:v>
                </c:pt>
                <c:pt idx="480">
                  <c:v>21.38239999999999</c:v>
                </c:pt>
                <c:pt idx="481">
                  <c:v>21.551199999999994</c:v>
                </c:pt>
                <c:pt idx="482">
                  <c:v>20.466799999999999</c:v>
                </c:pt>
                <c:pt idx="483">
                  <c:v>21.558249999999994</c:v>
                </c:pt>
                <c:pt idx="484">
                  <c:v>21.720050000000008</c:v>
                </c:pt>
                <c:pt idx="485">
                  <c:v>21.212350000000001</c:v>
                </c:pt>
                <c:pt idx="486">
                  <c:v>21.43784999999999</c:v>
                </c:pt>
                <c:pt idx="487">
                  <c:v>20.885799999999989</c:v>
                </c:pt>
                <c:pt idx="488">
                  <c:v>21.254949999999987</c:v>
                </c:pt>
                <c:pt idx="489">
                  <c:v>21.433150000000005</c:v>
                </c:pt>
                <c:pt idx="490">
                  <c:v>22.125599999999999</c:v>
                </c:pt>
                <c:pt idx="491">
                  <c:v>21.686399999999999</c:v>
                </c:pt>
                <c:pt idx="492">
                  <c:v>21.677749999999989</c:v>
                </c:pt>
                <c:pt idx="493">
                  <c:v>21.42165</c:v>
                </c:pt>
                <c:pt idx="494">
                  <c:v>22.0486</c:v>
                </c:pt>
                <c:pt idx="495">
                  <c:v>22.105999999999987</c:v>
                </c:pt>
                <c:pt idx="496">
                  <c:v>21.738749999999996</c:v>
                </c:pt>
                <c:pt idx="497">
                  <c:v>22.136999999999993</c:v>
                </c:pt>
                <c:pt idx="498">
                  <c:v>22.408749999999991</c:v>
                </c:pt>
                <c:pt idx="499">
                  <c:v>21.656599999999997</c:v>
                </c:pt>
                <c:pt idx="500">
                  <c:v>21.633499999999991</c:v>
                </c:pt>
                <c:pt idx="501">
                  <c:v>22.416400000000003</c:v>
                </c:pt>
                <c:pt idx="502">
                  <c:v>22.467799999999997</c:v>
                </c:pt>
                <c:pt idx="503">
                  <c:v>22.110849999999999</c:v>
                </c:pt>
                <c:pt idx="504">
                  <c:v>22.349199999999989</c:v>
                </c:pt>
                <c:pt idx="505">
                  <c:v>22.038850000000004</c:v>
                </c:pt>
                <c:pt idx="506">
                  <c:v>22.198999999999991</c:v>
                </c:pt>
                <c:pt idx="507">
                  <c:v>21.934950000000001</c:v>
                </c:pt>
                <c:pt idx="508">
                  <c:v>22.233399999999996</c:v>
                </c:pt>
                <c:pt idx="509">
                  <c:v>21.701899999999995</c:v>
                </c:pt>
                <c:pt idx="510">
                  <c:v>21.868799999999993</c:v>
                </c:pt>
                <c:pt idx="511">
                  <c:v>22.779299999999992</c:v>
                </c:pt>
                <c:pt idx="512">
                  <c:v>20.794550000000001</c:v>
                </c:pt>
                <c:pt idx="513">
                  <c:v>21.6937</c:v>
                </c:pt>
                <c:pt idx="514">
                  <c:v>22.185099999999998</c:v>
                </c:pt>
                <c:pt idx="515">
                  <c:v>22.649549999999991</c:v>
                </c:pt>
                <c:pt idx="516">
                  <c:v>23.531899999999993</c:v>
                </c:pt>
                <c:pt idx="517">
                  <c:v>23.048750000000005</c:v>
                </c:pt>
                <c:pt idx="518">
                  <c:v>22.577349999999996</c:v>
                </c:pt>
                <c:pt idx="519">
                  <c:v>22.502349999999993</c:v>
                </c:pt>
                <c:pt idx="520">
                  <c:v>22.630000000000003</c:v>
                </c:pt>
                <c:pt idx="521">
                  <c:v>22.347849999999994</c:v>
                </c:pt>
                <c:pt idx="522">
                  <c:v>21.899199999999993</c:v>
                </c:pt>
                <c:pt idx="523">
                  <c:v>21.826139999999988</c:v>
                </c:pt>
                <c:pt idx="524">
                  <c:v>22.104749999999996</c:v>
                </c:pt>
                <c:pt idx="525">
                  <c:v>21.7044</c:v>
                </c:pt>
                <c:pt idx="526">
                  <c:v>22.096900000000005</c:v>
                </c:pt>
                <c:pt idx="527">
                  <c:v>22.257300000000008</c:v>
                </c:pt>
                <c:pt idx="528">
                  <c:v>21.975200000000001</c:v>
                </c:pt>
                <c:pt idx="529">
                  <c:v>21.36849999999999</c:v>
                </c:pt>
                <c:pt idx="530">
                  <c:v>21.456999999999987</c:v>
                </c:pt>
                <c:pt idx="531">
                  <c:v>22.517800000000001</c:v>
                </c:pt>
                <c:pt idx="532">
                  <c:v>22.325799999999994</c:v>
                </c:pt>
                <c:pt idx="533">
                  <c:v>22.009599999999992</c:v>
                </c:pt>
                <c:pt idx="534">
                  <c:v>23.001599999999996</c:v>
                </c:pt>
                <c:pt idx="535">
                  <c:v>23.164299999999997</c:v>
                </c:pt>
                <c:pt idx="536">
                  <c:v>22.792000000000002</c:v>
                </c:pt>
                <c:pt idx="537">
                  <c:v>22.371999999999993</c:v>
                </c:pt>
                <c:pt idx="538">
                  <c:v>22.651149999999994</c:v>
                </c:pt>
                <c:pt idx="539">
                  <c:v>22.707650000000001</c:v>
                </c:pt>
                <c:pt idx="540">
                  <c:v>22.592399999999991</c:v>
                </c:pt>
                <c:pt idx="541">
                  <c:v>22.651150000000001</c:v>
                </c:pt>
                <c:pt idx="542">
                  <c:v>22.515149999999998</c:v>
                </c:pt>
                <c:pt idx="543">
                  <c:v>22.409649999999999</c:v>
                </c:pt>
                <c:pt idx="544">
                  <c:v>22.104750000000003</c:v>
                </c:pt>
                <c:pt idx="545">
                  <c:v>22.294999999999995</c:v>
                </c:pt>
                <c:pt idx="546">
                  <c:v>21.695899999999995</c:v>
                </c:pt>
                <c:pt idx="547">
                  <c:v>23.042900000000003</c:v>
                </c:pt>
                <c:pt idx="548">
                  <c:v>23.228400000000001</c:v>
                </c:pt>
                <c:pt idx="549">
                  <c:v>22.832850000000001</c:v>
                </c:pt>
                <c:pt idx="550">
                  <c:v>22.641500000000001</c:v>
                </c:pt>
                <c:pt idx="551">
                  <c:v>22.670400000000001</c:v>
                </c:pt>
                <c:pt idx="552">
                  <c:v>22.692400000000006</c:v>
                </c:pt>
                <c:pt idx="553">
                  <c:v>22.088349999999998</c:v>
                </c:pt>
                <c:pt idx="554">
                  <c:v>22.302900000000001</c:v>
                </c:pt>
                <c:pt idx="555">
                  <c:v>22.118399999999994</c:v>
                </c:pt>
                <c:pt idx="556">
                  <c:v>22.660699999999999</c:v>
                </c:pt>
                <c:pt idx="557">
                  <c:v>21.973199999999999</c:v>
                </c:pt>
                <c:pt idx="558">
                  <c:v>22.623599999999996</c:v>
                </c:pt>
                <c:pt idx="559">
                  <c:v>22.873499999999993</c:v>
                </c:pt>
                <c:pt idx="560">
                  <c:v>22.249400000000001</c:v>
                </c:pt>
                <c:pt idx="561">
                  <c:v>23.275799999999997</c:v>
                </c:pt>
                <c:pt idx="562">
                  <c:v>23.273599999999995</c:v>
                </c:pt>
                <c:pt idx="563">
                  <c:v>22.582449999999994</c:v>
                </c:pt>
                <c:pt idx="564">
                  <c:v>22.089500000000001</c:v>
                </c:pt>
                <c:pt idx="565">
                  <c:v>21.996899999999997</c:v>
                </c:pt>
                <c:pt idx="566">
                  <c:v>22.593399999999995</c:v>
                </c:pt>
                <c:pt idx="567">
                  <c:v>22.966449999999995</c:v>
                </c:pt>
                <c:pt idx="568">
                  <c:v>22.762199999999993</c:v>
                </c:pt>
                <c:pt idx="569">
                  <c:v>22.167999999999985</c:v>
                </c:pt>
                <c:pt idx="570">
                  <c:v>21.775999999999996</c:v>
                </c:pt>
                <c:pt idx="571">
                  <c:v>22.007949999999987</c:v>
                </c:pt>
                <c:pt idx="572">
                  <c:v>22.389299999999992</c:v>
                </c:pt>
                <c:pt idx="573">
                  <c:v>20.980149999999995</c:v>
                </c:pt>
                <c:pt idx="574">
                  <c:v>21.601049999999994</c:v>
                </c:pt>
                <c:pt idx="575">
                  <c:v>21.421649999999985</c:v>
                </c:pt>
                <c:pt idx="576">
                  <c:v>22.042399999999994</c:v>
                </c:pt>
                <c:pt idx="577">
                  <c:v>21.372399999999999</c:v>
                </c:pt>
                <c:pt idx="578">
                  <c:v>22.048599999999993</c:v>
                </c:pt>
                <c:pt idx="579">
                  <c:v>22.472899999999996</c:v>
                </c:pt>
                <c:pt idx="580">
                  <c:v>21.633499999999998</c:v>
                </c:pt>
                <c:pt idx="581">
                  <c:v>22.065750000000001</c:v>
                </c:pt>
                <c:pt idx="582">
                  <c:v>22.056399999999989</c:v>
                </c:pt>
                <c:pt idx="583">
                  <c:v>22.430699999999995</c:v>
                </c:pt>
                <c:pt idx="584">
                  <c:v>21.005000000000003</c:v>
                </c:pt>
                <c:pt idx="585">
                  <c:v>22.302799999999991</c:v>
                </c:pt>
                <c:pt idx="586">
                  <c:v>22.149899999999995</c:v>
                </c:pt>
                <c:pt idx="587">
                  <c:v>21.466799999999992</c:v>
                </c:pt>
                <c:pt idx="588">
                  <c:v>22.363300000000002</c:v>
                </c:pt>
                <c:pt idx="589">
                  <c:v>23.222599999999986</c:v>
                </c:pt>
                <c:pt idx="590">
                  <c:v>21.144799999999996</c:v>
                </c:pt>
                <c:pt idx="591">
                  <c:v>22.495049999999992</c:v>
                </c:pt>
                <c:pt idx="592">
                  <c:v>23.138949999999994</c:v>
                </c:pt>
                <c:pt idx="593">
                  <c:v>22.348799999999997</c:v>
                </c:pt>
                <c:pt idx="594">
                  <c:v>23.396099999999997</c:v>
                </c:pt>
                <c:pt idx="595">
                  <c:v>23.415800000000004</c:v>
                </c:pt>
                <c:pt idx="596">
                  <c:v>22.723600000000005</c:v>
                </c:pt>
                <c:pt idx="597">
                  <c:v>21.795399999999994</c:v>
                </c:pt>
                <c:pt idx="598">
                  <c:v>22.364750000000001</c:v>
                </c:pt>
                <c:pt idx="599">
                  <c:v>21.363599999999991</c:v>
                </c:pt>
                <c:pt idx="600">
                  <c:v>23.235599999999991</c:v>
                </c:pt>
                <c:pt idx="601">
                  <c:v>23.17199999999999</c:v>
                </c:pt>
                <c:pt idx="602">
                  <c:v>22.645049999999991</c:v>
                </c:pt>
                <c:pt idx="603">
                  <c:v>22.378</c:v>
                </c:pt>
                <c:pt idx="604">
                  <c:v>22.036000000000001</c:v>
                </c:pt>
                <c:pt idx="605">
                  <c:v>22.096799999999995</c:v>
                </c:pt>
                <c:pt idx="606">
                  <c:v>21.765499999999996</c:v>
                </c:pt>
                <c:pt idx="607">
                  <c:v>22.639499999999998</c:v>
                </c:pt>
                <c:pt idx="608">
                  <c:v>22.811</c:v>
                </c:pt>
                <c:pt idx="609">
                  <c:v>22.338499999999996</c:v>
                </c:pt>
                <c:pt idx="610">
                  <c:v>22.940799999999989</c:v>
                </c:pt>
                <c:pt idx="611">
                  <c:v>22.806999999999988</c:v>
                </c:pt>
                <c:pt idx="612">
                  <c:v>21.586100000000002</c:v>
                </c:pt>
                <c:pt idx="613">
                  <c:v>21.704999999999991</c:v>
                </c:pt>
                <c:pt idx="614">
                  <c:v>22.155149999999992</c:v>
                </c:pt>
                <c:pt idx="615">
                  <c:v>22.717199999999991</c:v>
                </c:pt>
                <c:pt idx="616">
                  <c:v>23.195999999999991</c:v>
                </c:pt>
                <c:pt idx="617">
                  <c:v>23.087999999999994</c:v>
                </c:pt>
                <c:pt idx="618">
                  <c:v>22.439999999999991</c:v>
                </c:pt>
                <c:pt idx="619">
                  <c:v>21.257699999999993</c:v>
                </c:pt>
                <c:pt idx="620">
                  <c:v>22.430700000000002</c:v>
                </c:pt>
                <c:pt idx="621">
                  <c:v>22.530699999999996</c:v>
                </c:pt>
                <c:pt idx="622">
                  <c:v>22.042399999999994</c:v>
                </c:pt>
                <c:pt idx="623">
                  <c:v>22.408999999999985</c:v>
                </c:pt>
                <c:pt idx="624">
                  <c:v>22.905299999999997</c:v>
                </c:pt>
                <c:pt idx="625">
                  <c:v>21.22045</c:v>
                </c:pt>
                <c:pt idx="626">
                  <c:v>22.326149999999998</c:v>
                </c:pt>
                <c:pt idx="627">
                  <c:v>22.791699999999992</c:v>
                </c:pt>
                <c:pt idx="628">
                  <c:v>23.187449999999991</c:v>
                </c:pt>
                <c:pt idx="629">
                  <c:v>22.697499999999991</c:v>
                </c:pt>
                <c:pt idx="630">
                  <c:v>22.300499999999985</c:v>
                </c:pt>
                <c:pt idx="631">
                  <c:v>22.770199999999996</c:v>
                </c:pt>
                <c:pt idx="632">
                  <c:v>22.873499999999993</c:v>
                </c:pt>
                <c:pt idx="633">
                  <c:v>22.738599999999991</c:v>
                </c:pt>
                <c:pt idx="634">
                  <c:v>22.52924999999999</c:v>
                </c:pt>
                <c:pt idx="635">
                  <c:v>22.710999999999991</c:v>
                </c:pt>
                <c:pt idx="636">
                  <c:v>22.483199999999989</c:v>
                </c:pt>
                <c:pt idx="637">
                  <c:v>21.665499999999994</c:v>
                </c:pt>
                <c:pt idx="638">
                  <c:v>21.828399999999995</c:v>
                </c:pt>
                <c:pt idx="639">
                  <c:v>22.645049999999998</c:v>
                </c:pt>
                <c:pt idx="640">
                  <c:v>23.087999999999994</c:v>
                </c:pt>
                <c:pt idx="641">
                  <c:v>23.107199999999999</c:v>
                </c:pt>
                <c:pt idx="642">
                  <c:v>22.846299999999992</c:v>
                </c:pt>
                <c:pt idx="643">
                  <c:v>22.406299999999995</c:v>
                </c:pt>
                <c:pt idx="644">
                  <c:v>21.570750000000004</c:v>
                </c:pt>
                <c:pt idx="645">
                  <c:v>22.241199999999985</c:v>
                </c:pt>
                <c:pt idx="646">
                  <c:v>22.430699999999995</c:v>
                </c:pt>
                <c:pt idx="647">
                  <c:v>22.921199999999999</c:v>
                </c:pt>
                <c:pt idx="648">
                  <c:v>22.99199999999999</c:v>
                </c:pt>
                <c:pt idx="649">
                  <c:v>22.96</c:v>
                </c:pt>
                <c:pt idx="650">
                  <c:v>22.592249999999993</c:v>
                </c:pt>
                <c:pt idx="651">
                  <c:v>22.633200000000002</c:v>
                </c:pt>
                <c:pt idx="652">
                  <c:v>22.876999999999995</c:v>
                </c:pt>
                <c:pt idx="653">
                  <c:v>22.9</c:v>
                </c:pt>
                <c:pt idx="654">
                  <c:v>22.701549999999997</c:v>
                </c:pt>
                <c:pt idx="655">
                  <c:v>22.834349999999986</c:v>
                </c:pt>
                <c:pt idx="656">
                  <c:v>23.013299999999994</c:v>
                </c:pt>
                <c:pt idx="657">
                  <c:v>22.212949999999992</c:v>
                </c:pt>
                <c:pt idx="658">
                  <c:v>22.733449999999991</c:v>
                </c:pt>
                <c:pt idx="659">
                  <c:v>23.213499999999996</c:v>
                </c:pt>
                <c:pt idx="660">
                  <c:v>23.148299999999992</c:v>
                </c:pt>
                <c:pt idx="661">
                  <c:v>22.757800000000003</c:v>
                </c:pt>
                <c:pt idx="662">
                  <c:v>22.701549999999997</c:v>
                </c:pt>
                <c:pt idx="663">
                  <c:v>22.642049999999998</c:v>
                </c:pt>
                <c:pt idx="664">
                  <c:v>21.806200000000004</c:v>
                </c:pt>
                <c:pt idx="665">
                  <c:v>22.155599999999986</c:v>
                </c:pt>
                <c:pt idx="666">
                  <c:v>22.600049999999996</c:v>
                </c:pt>
                <c:pt idx="667">
                  <c:v>22.671999999999997</c:v>
                </c:pt>
                <c:pt idx="668">
                  <c:v>23.049999999999997</c:v>
                </c:pt>
                <c:pt idx="669">
                  <c:v>22.359399999999994</c:v>
                </c:pt>
                <c:pt idx="670">
                  <c:v>23.049999999999997</c:v>
                </c:pt>
                <c:pt idx="671">
                  <c:v>21.085250000000009</c:v>
                </c:pt>
                <c:pt idx="672">
                  <c:v>22.253799999999991</c:v>
                </c:pt>
                <c:pt idx="673">
                  <c:v>22.117999999999988</c:v>
                </c:pt>
                <c:pt idx="674">
                  <c:v>22.847999999999992</c:v>
                </c:pt>
                <c:pt idx="675">
                  <c:v>22.264799999999994</c:v>
                </c:pt>
                <c:pt idx="676">
                  <c:v>23.49315</c:v>
                </c:pt>
                <c:pt idx="677">
                  <c:v>22.580599999999997</c:v>
                </c:pt>
                <c:pt idx="678">
                  <c:v>22.612200000000001</c:v>
                </c:pt>
                <c:pt idx="679">
                  <c:v>22.160999999999994</c:v>
                </c:pt>
                <c:pt idx="680">
                  <c:v>22.425699999999992</c:v>
                </c:pt>
                <c:pt idx="681">
                  <c:v>21.948600000000006</c:v>
                </c:pt>
                <c:pt idx="682">
                  <c:v>23.133749999999992</c:v>
                </c:pt>
                <c:pt idx="683">
                  <c:v>22.721999999999994</c:v>
                </c:pt>
                <c:pt idx="684">
                  <c:v>22.454199999999993</c:v>
                </c:pt>
                <c:pt idx="685">
                  <c:v>22.571399999999997</c:v>
                </c:pt>
                <c:pt idx="686">
                  <c:v>22.673849999999995</c:v>
                </c:pt>
                <c:pt idx="687">
                  <c:v>21.277650000000008</c:v>
                </c:pt>
                <c:pt idx="688">
                  <c:v>22.3752</c:v>
                </c:pt>
                <c:pt idx="689">
                  <c:v>22.739599999999996</c:v>
                </c:pt>
                <c:pt idx="690">
                  <c:v>23.066400000000002</c:v>
                </c:pt>
                <c:pt idx="691">
                  <c:v>21.9953</c:v>
                </c:pt>
                <c:pt idx="692">
                  <c:v>22.248800000000003</c:v>
                </c:pt>
                <c:pt idx="693">
                  <c:v>22.776400000000002</c:v>
                </c:pt>
                <c:pt idx="694">
                  <c:v>22.903349999999996</c:v>
                </c:pt>
                <c:pt idx="695">
                  <c:v>22.417049999999996</c:v>
                </c:pt>
                <c:pt idx="696">
                  <c:v>22.366599999999998</c:v>
                </c:pt>
                <c:pt idx="697">
                  <c:v>22.177000000000007</c:v>
                </c:pt>
                <c:pt idx="698">
                  <c:v>22.627800000000008</c:v>
                </c:pt>
                <c:pt idx="699">
                  <c:v>21.83550000000001</c:v>
                </c:pt>
                <c:pt idx="700">
                  <c:v>22.21425</c:v>
                </c:pt>
                <c:pt idx="701">
                  <c:v>22.805249999999994</c:v>
                </c:pt>
                <c:pt idx="702">
                  <c:v>23.339699999999993</c:v>
                </c:pt>
                <c:pt idx="703">
                  <c:v>22.790000000000006</c:v>
                </c:pt>
                <c:pt idx="704">
                  <c:v>22.855000000000011</c:v>
                </c:pt>
                <c:pt idx="705">
                  <c:v>21.397599999999997</c:v>
                </c:pt>
                <c:pt idx="706">
                  <c:v>21.851000000000006</c:v>
                </c:pt>
                <c:pt idx="707">
                  <c:v>21.760750000000009</c:v>
                </c:pt>
                <c:pt idx="708">
                  <c:v>22.738049999999987</c:v>
                </c:pt>
                <c:pt idx="709">
                  <c:v>23.213499999999996</c:v>
                </c:pt>
                <c:pt idx="710">
                  <c:v>22.317200000000007</c:v>
                </c:pt>
                <c:pt idx="711">
                  <c:v>22.414450000000009</c:v>
                </c:pt>
                <c:pt idx="712">
                  <c:v>21.814999999999998</c:v>
                </c:pt>
                <c:pt idx="713">
                  <c:v>22.430599999999998</c:v>
                </c:pt>
                <c:pt idx="714">
                  <c:v>22.698599999999985</c:v>
                </c:pt>
                <c:pt idx="715">
                  <c:v>23.476499999999994</c:v>
                </c:pt>
                <c:pt idx="716">
                  <c:v>22.48579999999999</c:v>
                </c:pt>
                <c:pt idx="717">
                  <c:v>22.300750000000001</c:v>
                </c:pt>
                <c:pt idx="718">
                  <c:v>22.737749999999991</c:v>
                </c:pt>
                <c:pt idx="719">
                  <c:v>22.39889999999999</c:v>
                </c:pt>
                <c:pt idx="720">
                  <c:v>22.459400000000002</c:v>
                </c:pt>
                <c:pt idx="721">
                  <c:v>21.760300000000008</c:v>
                </c:pt>
                <c:pt idx="722">
                  <c:v>22.217999999999996</c:v>
                </c:pt>
                <c:pt idx="723">
                  <c:v>23.920249999999996</c:v>
                </c:pt>
                <c:pt idx="724">
                  <c:v>23.656049999999993</c:v>
                </c:pt>
                <c:pt idx="725">
                  <c:v>22.733449999999998</c:v>
                </c:pt>
                <c:pt idx="726">
                  <c:v>22.719999999999992</c:v>
                </c:pt>
                <c:pt idx="727">
                  <c:v>20.643200000000007</c:v>
                </c:pt>
                <c:pt idx="728">
                  <c:v>21.533850000000001</c:v>
                </c:pt>
                <c:pt idx="729">
                  <c:v>21.867399999999996</c:v>
                </c:pt>
                <c:pt idx="730">
                  <c:v>22.306849999999997</c:v>
                </c:pt>
                <c:pt idx="731">
                  <c:v>21.928400000000003</c:v>
                </c:pt>
                <c:pt idx="732">
                  <c:v>22.409000000000006</c:v>
                </c:pt>
                <c:pt idx="733">
                  <c:v>22.498799999999996</c:v>
                </c:pt>
                <c:pt idx="734">
                  <c:v>21.719999999999992</c:v>
                </c:pt>
                <c:pt idx="735">
                  <c:v>22.300499999999985</c:v>
                </c:pt>
                <c:pt idx="736">
                  <c:v>22.821949999999987</c:v>
                </c:pt>
                <c:pt idx="737">
                  <c:v>22.847999999999999</c:v>
                </c:pt>
                <c:pt idx="738">
                  <c:v>23.093799999999995</c:v>
                </c:pt>
                <c:pt idx="739">
                  <c:v>22.057749999999984</c:v>
                </c:pt>
                <c:pt idx="740">
                  <c:v>21.844799999999992</c:v>
                </c:pt>
                <c:pt idx="741">
                  <c:v>21.699049999999993</c:v>
                </c:pt>
                <c:pt idx="742">
                  <c:v>22.214499999999994</c:v>
                </c:pt>
                <c:pt idx="743">
                  <c:v>22.714500000000001</c:v>
                </c:pt>
                <c:pt idx="744">
                  <c:v>22.260999999999996</c:v>
                </c:pt>
                <c:pt idx="745">
                  <c:v>20.917999999999992</c:v>
                </c:pt>
                <c:pt idx="746">
                  <c:v>21.997999999999998</c:v>
                </c:pt>
                <c:pt idx="747">
                  <c:v>21.789349999999992</c:v>
                </c:pt>
                <c:pt idx="748">
                  <c:v>22.655249999999981</c:v>
                </c:pt>
                <c:pt idx="749">
                  <c:v>22.878100000000003</c:v>
                </c:pt>
                <c:pt idx="750">
                  <c:v>22.483499999999992</c:v>
                </c:pt>
                <c:pt idx="751">
                  <c:v>21.845499999999987</c:v>
                </c:pt>
                <c:pt idx="752">
                  <c:v>21.545899999999996</c:v>
                </c:pt>
                <c:pt idx="753">
                  <c:v>22.566799999999986</c:v>
                </c:pt>
                <c:pt idx="754">
                  <c:v>23.488749999999996</c:v>
                </c:pt>
                <c:pt idx="755">
                  <c:v>22.42595</c:v>
                </c:pt>
                <c:pt idx="756">
                  <c:v>22.603299999999997</c:v>
                </c:pt>
                <c:pt idx="757">
                  <c:v>22.058099999999989</c:v>
                </c:pt>
                <c:pt idx="758">
                  <c:v>21.814999999999991</c:v>
                </c:pt>
                <c:pt idx="759">
                  <c:v>22.774399999999993</c:v>
                </c:pt>
                <c:pt idx="760">
                  <c:v>23.273600000000002</c:v>
                </c:pt>
                <c:pt idx="761">
                  <c:v>22.765500000000003</c:v>
                </c:pt>
                <c:pt idx="762">
                  <c:v>22.241949999999996</c:v>
                </c:pt>
                <c:pt idx="763">
                  <c:v>22.629399999999997</c:v>
                </c:pt>
                <c:pt idx="764">
                  <c:v>22.157299999999985</c:v>
                </c:pt>
                <c:pt idx="765">
                  <c:v>22.520799999999994</c:v>
                </c:pt>
                <c:pt idx="766">
                  <c:v>21.9208</c:v>
                </c:pt>
                <c:pt idx="767">
                  <c:v>21.690000000000005</c:v>
                </c:pt>
                <c:pt idx="768">
                  <c:v>22.164199999999994</c:v>
                </c:pt>
                <c:pt idx="769">
                  <c:v>22.46179999999999</c:v>
                </c:pt>
                <c:pt idx="770">
                  <c:v>22.424500000000002</c:v>
                </c:pt>
                <c:pt idx="771">
                  <c:v>21.225599999999993</c:v>
                </c:pt>
                <c:pt idx="772">
                  <c:v>21.681499999999993</c:v>
                </c:pt>
                <c:pt idx="773">
                  <c:v>22.572299999999991</c:v>
                </c:pt>
                <c:pt idx="774">
                  <c:v>22.795200000000001</c:v>
                </c:pt>
                <c:pt idx="775">
                  <c:v>22.8264</c:v>
                </c:pt>
                <c:pt idx="776">
                  <c:v>22.672499999999992</c:v>
                </c:pt>
                <c:pt idx="777">
                  <c:v>23.227899999999998</c:v>
                </c:pt>
                <c:pt idx="778">
                  <c:v>23.028200000000005</c:v>
                </c:pt>
                <c:pt idx="779">
                  <c:v>23.227899999999998</c:v>
                </c:pt>
                <c:pt idx="780">
                  <c:v>22.109549999999999</c:v>
                </c:pt>
                <c:pt idx="781">
                  <c:v>22.394699999999993</c:v>
                </c:pt>
                <c:pt idx="782">
                  <c:v>22.907250000000005</c:v>
                </c:pt>
                <c:pt idx="783">
                  <c:v>23.080199999999991</c:v>
                </c:pt>
                <c:pt idx="784">
                  <c:v>22.785899999999998</c:v>
                </c:pt>
                <c:pt idx="785">
                  <c:v>22.410599999999995</c:v>
                </c:pt>
                <c:pt idx="786">
                  <c:v>23.625099999999989</c:v>
                </c:pt>
                <c:pt idx="787">
                  <c:v>23.509499999999989</c:v>
                </c:pt>
                <c:pt idx="788">
                  <c:v>22.834999999999994</c:v>
                </c:pt>
                <c:pt idx="789">
                  <c:v>22.995799999999996</c:v>
                </c:pt>
                <c:pt idx="790">
                  <c:v>22.348799999999997</c:v>
                </c:pt>
                <c:pt idx="791">
                  <c:v>22.648499999999991</c:v>
                </c:pt>
                <c:pt idx="792">
                  <c:v>22.991499999999995</c:v>
                </c:pt>
                <c:pt idx="793">
                  <c:v>23.299999999999997</c:v>
                </c:pt>
                <c:pt idx="794">
                  <c:v>23.537499999999987</c:v>
                </c:pt>
                <c:pt idx="795">
                  <c:v>22.205899999999993</c:v>
                </c:pt>
                <c:pt idx="796">
                  <c:v>21.554049999999997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7BD-4501-9F04-9A6CA209F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933343"/>
        <c:axId val="166638607"/>
      </c:scatterChart>
      <c:dateAx>
        <c:axId val="29987270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6719727"/>
        <c:crosses val="autoZero"/>
        <c:auto val="1"/>
        <c:lblOffset val="100"/>
        <c:baseTimeUnit val="days"/>
      </c:dateAx>
      <c:valAx>
        <c:axId val="166719727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99872703"/>
        <c:crosses val="autoZero"/>
        <c:crossBetween val="between"/>
      </c:valAx>
      <c:valAx>
        <c:axId val="166638607"/>
        <c:scaling>
          <c:orientation val="minMax"/>
          <c:max val="25"/>
          <c:min val="9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0933343"/>
        <c:crosses val="max"/>
        <c:crossBetween val="midCat"/>
      </c:valAx>
      <c:valAx>
        <c:axId val="470933343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66638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2684098862642171"/>
          <c:y val="0.19486111111111112"/>
          <c:w val="0.85998818897637797"/>
          <c:h val="0.70841097987751533"/>
        </c:manualLayout>
      </c:layout>
      <c:lineChart>
        <c:grouping val="standard"/>
        <c:varyColors val="0"/>
        <c:ser>
          <c:idx val="0"/>
          <c:order val="0"/>
          <c:tx>
            <c:strRef>
              <c:f>Pesos_R!$Z$1</c:f>
              <c:strCache>
                <c:ptCount val="1"/>
                <c:pt idx="0">
                  <c:v> Avg Peso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Pesos_R!$D$2:$D$798</c:f>
              <c:numCache>
                <c:formatCode>m/d/yyyy</c:formatCode>
                <c:ptCount val="797"/>
                <c:pt idx="0">
                  <c:v>45110</c:v>
                </c:pt>
                <c:pt idx="1">
                  <c:v>45111</c:v>
                </c:pt>
                <c:pt idx="2">
                  <c:v>45112</c:v>
                </c:pt>
                <c:pt idx="3">
                  <c:v>45113</c:v>
                </c:pt>
                <c:pt idx="4">
                  <c:v>45114</c:v>
                </c:pt>
                <c:pt idx="5">
                  <c:v>45115</c:v>
                </c:pt>
                <c:pt idx="6">
                  <c:v>45116</c:v>
                </c:pt>
                <c:pt idx="7">
                  <c:v>45117</c:v>
                </c:pt>
                <c:pt idx="8">
                  <c:v>45118</c:v>
                </c:pt>
                <c:pt idx="9">
                  <c:v>45119</c:v>
                </c:pt>
                <c:pt idx="10">
                  <c:v>45120</c:v>
                </c:pt>
                <c:pt idx="11">
                  <c:v>45121</c:v>
                </c:pt>
                <c:pt idx="12">
                  <c:v>45122</c:v>
                </c:pt>
                <c:pt idx="13">
                  <c:v>45123</c:v>
                </c:pt>
                <c:pt idx="14">
                  <c:v>45124</c:v>
                </c:pt>
                <c:pt idx="15">
                  <c:v>45125</c:v>
                </c:pt>
                <c:pt idx="16">
                  <c:v>45126</c:v>
                </c:pt>
                <c:pt idx="17">
                  <c:v>45134</c:v>
                </c:pt>
                <c:pt idx="18">
                  <c:v>45135</c:v>
                </c:pt>
                <c:pt idx="19">
                  <c:v>45136</c:v>
                </c:pt>
                <c:pt idx="20">
                  <c:v>45137</c:v>
                </c:pt>
                <c:pt idx="21">
                  <c:v>45138</c:v>
                </c:pt>
                <c:pt idx="22">
                  <c:v>45139</c:v>
                </c:pt>
                <c:pt idx="23">
                  <c:v>45140</c:v>
                </c:pt>
                <c:pt idx="24">
                  <c:v>45141</c:v>
                </c:pt>
                <c:pt idx="25">
                  <c:v>45142</c:v>
                </c:pt>
                <c:pt idx="26">
                  <c:v>45143</c:v>
                </c:pt>
                <c:pt idx="27">
                  <c:v>45144</c:v>
                </c:pt>
                <c:pt idx="28">
                  <c:v>45145</c:v>
                </c:pt>
                <c:pt idx="29">
                  <c:v>45153</c:v>
                </c:pt>
                <c:pt idx="30">
                  <c:v>45154</c:v>
                </c:pt>
                <c:pt idx="31">
                  <c:v>45155</c:v>
                </c:pt>
                <c:pt idx="32">
                  <c:v>45156</c:v>
                </c:pt>
                <c:pt idx="33">
                  <c:v>45157</c:v>
                </c:pt>
                <c:pt idx="34">
                  <c:v>45158</c:v>
                </c:pt>
                <c:pt idx="35">
                  <c:v>45159</c:v>
                </c:pt>
                <c:pt idx="36">
                  <c:v>45160</c:v>
                </c:pt>
                <c:pt idx="37">
                  <c:v>45161</c:v>
                </c:pt>
                <c:pt idx="38">
                  <c:v>45163</c:v>
                </c:pt>
                <c:pt idx="39">
                  <c:v>45164</c:v>
                </c:pt>
                <c:pt idx="40">
                  <c:v>45165</c:v>
                </c:pt>
                <c:pt idx="41">
                  <c:v>45166</c:v>
                </c:pt>
                <c:pt idx="42">
                  <c:v>45167</c:v>
                </c:pt>
                <c:pt idx="43">
                  <c:v>45168</c:v>
                </c:pt>
                <c:pt idx="44">
                  <c:v>45169</c:v>
                </c:pt>
                <c:pt idx="45">
                  <c:v>45170</c:v>
                </c:pt>
                <c:pt idx="46">
                  <c:v>45171</c:v>
                </c:pt>
                <c:pt idx="47">
                  <c:v>45172</c:v>
                </c:pt>
                <c:pt idx="48">
                  <c:v>45173</c:v>
                </c:pt>
                <c:pt idx="49">
                  <c:v>45174</c:v>
                </c:pt>
                <c:pt idx="50">
                  <c:v>45175</c:v>
                </c:pt>
                <c:pt idx="51">
                  <c:v>45176</c:v>
                </c:pt>
                <c:pt idx="52">
                  <c:v>45177</c:v>
                </c:pt>
                <c:pt idx="53">
                  <c:v>45178</c:v>
                </c:pt>
                <c:pt idx="54">
                  <c:v>45179</c:v>
                </c:pt>
                <c:pt idx="55">
                  <c:v>45180</c:v>
                </c:pt>
                <c:pt idx="56">
                  <c:v>45181</c:v>
                </c:pt>
                <c:pt idx="57">
                  <c:v>45182</c:v>
                </c:pt>
                <c:pt idx="58">
                  <c:v>45183</c:v>
                </c:pt>
                <c:pt idx="59">
                  <c:v>45184</c:v>
                </c:pt>
                <c:pt idx="60">
                  <c:v>45185</c:v>
                </c:pt>
                <c:pt idx="61">
                  <c:v>45186</c:v>
                </c:pt>
                <c:pt idx="62">
                  <c:v>45187</c:v>
                </c:pt>
                <c:pt idx="63">
                  <c:v>45188</c:v>
                </c:pt>
                <c:pt idx="64">
                  <c:v>45189</c:v>
                </c:pt>
                <c:pt idx="65">
                  <c:v>45190</c:v>
                </c:pt>
                <c:pt idx="66">
                  <c:v>45193</c:v>
                </c:pt>
                <c:pt idx="67">
                  <c:v>45194</c:v>
                </c:pt>
                <c:pt idx="68">
                  <c:v>45195</c:v>
                </c:pt>
                <c:pt idx="69">
                  <c:v>45196</c:v>
                </c:pt>
                <c:pt idx="70">
                  <c:v>45197</c:v>
                </c:pt>
                <c:pt idx="71">
                  <c:v>45198</c:v>
                </c:pt>
                <c:pt idx="72">
                  <c:v>45199</c:v>
                </c:pt>
                <c:pt idx="73">
                  <c:v>45200</c:v>
                </c:pt>
                <c:pt idx="74">
                  <c:v>45201</c:v>
                </c:pt>
                <c:pt idx="75">
                  <c:v>45202</c:v>
                </c:pt>
                <c:pt idx="76">
                  <c:v>45203</c:v>
                </c:pt>
                <c:pt idx="77">
                  <c:v>45204</c:v>
                </c:pt>
                <c:pt idx="78">
                  <c:v>45205</c:v>
                </c:pt>
                <c:pt idx="79">
                  <c:v>45206</c:v>
                </c:pt>
                <c:pt idx="80">
                  <c:v>45207</c:v>
                </c:pt>
                <c:pt idx="81">
                  <c:v>45208</c:v>
                </c:pt>
                <c:pt idx="82">
                  <c:v>45209</c:v>
                </c:pt>
                <c:pt idx="83">
                  <c:v>45210</c:v>
                </c:pt>
                <c:pt idx="84">
                  <c:v>45211</c:v>
                </c:pt>
                <c:pt idx="85">
                  <c:v>45212</c:v>
                </c:pt>
                <c:pt idx="86">
                  <c:v>45213</c:v>
                </c:pt>
                <c:pt idx="87">
                  <c:v>45214</c:v>
                </c:pt>
                <c:pt idx="88">
                  <c:v>45215</c:v>
                </c:pt>
                <c:pt idx="89">
                  <c:v>45216</c:v>
                </c:pt>
                <c:pt idx="90">
                  <c:v>45219</c:v>
                </c:pt>
                <c:pt idx="91">
                  <c:v>45220</c:v>
                </c:pt>
                <c:pt idx="92">
                  <c:v>45221</c:v>
                </c:pt>
                <c:pt idx="93">
                  <c:v>45222</c:v>
                </c:pt>
                <c:pt idx="94">
                  <c:v>45223</c:v>
                </c:pt>
                <c:pt idx="95">
                  <c:v>45224</c:v>
                </c:pt>
                <c:pt idx="96">
                  <c:v>45226</c:v>
                </c:pt>
                <c:pt idx="97">
                  <c:v>45227</c:v>
                </c:pt>
                <c:pt idx="98">
                  <c:v>45228</c:v>
                </c:pt>
                <c:pt idx="99">
                  <c:v>45229</c:v>
                </c:pt>
                <c:pt idx="100">
                  <c:v>45230</c:v>
                </c:pt>
                <c:pt idx="101">
                  <c:v>45231</c:v>
                </c:pt>
                <c:pt idx="102">
                  <c:v>45232</c:v>
                </c:pt>
                <c:pt idx="103">
                  <c:v>45233</c:v>
                </c:pt>
                <c:pt idx="104">
                  <c:v>45234</c:v>
                </c:pt>
                <c:pt idx="105">
                  <c:v>45235</c:v>
                </c:pt>
                <c:pt idx="106">
                  <c:v>45241</c:v>
                </c:pt>
                <c:pt idx="107">
                  <c:v>45242</c:v>
                </c:pt>
                <c:pt idx="108">
                  <c:v>45243</c:v>
                </c:pt>
                <c:pt idx="109">
                  <c:v>45244</c:v>
                </c:pt>
                <c:pt idx="110">
                  <c:v>45245</c:v>
                </c:pt>
                <c:pt idx="111">
                  <c:v>45246</c:v>
                </c:pt>
                <c:pt idx="112">
                  <c:v>45248</c:v>
                </c:pt>
                <c:pt idx="113">
                  <c:v>45249</c:v>
                </c:pt>
                <c:pt idx="114">
                  <c:v>45250</c:v>
                </c:pt>
                <c:pt idx="115">
                  <c:v>45251</c:v>
                </c:pt>
                <c:pt idx="116">
                  <c:v>45252</c:v>
                </c:pt>
                <c:pt idx="117">
                  <c:v>45253</c:v>
                </c:pt>
                <c:pt idx="118">
                  <c:v>45254</c:v>
                </c:pt>
                <c:pt idx="119">
                  <c:v>45255</c:v>
                </c:pt>
                <c:pt idx="120">
                  <c:v>45256</c:v>
                </c:pt>
                <c:pt idx="121">
                  <c:v>45257</c:v>
                </c:pt>
                <c:pt idx="122">
                  <c:v>45258</c:v>
                </c:pt>
                <c:pt idx="123">
                  <c:v>45259</c:v>
                </c:pt>
                <c:pt idx="124">
                  <c:v>45260</c:v>
                </c:pt>
                <c:pt idx="125">
                  <c:v>45261</c:v>
                </c:pt>
                <c:pt idx="126">
                  <c:v>45262</c:v>
                </c:pt>
                <c:pt idx="127">
                  <c:v>45263</c:v>
                </c:pt>
                <c:pt idx="128">
                  <c:v>45264</c:v>
                </c:pt>
                <c:pt idx="129">
                  <c:v>45265</c:v>
                </c:pt>
                <c:pt idx="130">
                  <c:v>45266</c:v>
                </c:pt>
                <c:pt idx="131">
                  <c:v>45267</c:v>
                </c:pt>
                <c:pt idx="132">
                  <c:v>45268</c:v>
                </c:pt>
                <c:pt idx="133">
                  <c:v>45269</c:v>
                </c:pt>
                <c:pt idx="134">
                  <c:v>45270</c:v>
                </c:pt>
                <c:pt idx="135">
                  <c:v>45271</c:v>
                </c:pt>
                <c:pt idx="136">
                  <c:v>45272</c:v>
                </c:pt>
                <c:pt idx="137">
                  <c:v>45273</c:v>
                </c:pt>
                <c:pt idx="138">
                  <c:v>45274</c:v>
                </c:pt>
                <c:pt idx="139">
                  <c:v>45275</c:v>
                </c:pt>
                <c:pt idx="140">
                  <c:v>45276</c:v>
                </c:pt>
                <c:pt idx="141">
                  <c:v>45277</c:v>
                </c:pt>
                <c:pt idx="142">
                  <c:v>45278</c:v>
                </c:pt>
                <c:pt idx="143">
                  <c:v>45279</c:v>
                </c:pt>
                <c:pt idx="144">
                  <c:v>45280</c:v>
                </c:pt>
                <c:pt idx="145">
                  <c:v>45281</c:v>
                </c:pt>
                <c:pt idx="146">
                  <c:v>45282</c:v>
                </c:pt>
                <c:pt idx="147">
                  <c:v>45283</c:v>
                </c:pt>
                <c:pt idx="148">
                  <c:v>45284</c:v>
                </c:pt>
                <c:pt idx="149">
                  <c:v>45285</c:v>
                </c:pt>
                <c:pt idx="150">
                  <c:v>45286</c:v>
                </c:pt>
                <c:pt idx="151">
                  <c:v>45291</c:v>
                </c:pt>
                <c:pt idx="152">
                  <c:v>45292</c:v>
                </c:pt>
                <c:pt idx="153">
                  <c:v>45293</c:v>
                </c:pt>
                <c:pt idx="154">
                  <c:v>45294</c:v>
                </c:pt>
                <c:pt idx="155">
                  <c:v>45295</c:v>
                </c:pt>
                <c:pt idx="156">
                  <c:v>45296</c:v>
                </c:pt>
                <c:pt idx="157">
                  <c:v>45297</c:v>
                </c:pt>
                <c:pt idx="158">
                  <c:v>45298</c:v>
                </c:pt>
                <c:pt idx="159">
                  <c:v>45299</c:v>
                </c:pt>
                <c:pt idx="160">
                  <c:v>45300</c:v>
                </c:pt>
                <c:pt idx="161">
                  <c:v>45301</c:v>
                </c:pt>
                <c:pt idx="162">
                  <c:v>45302</c:v>
                </c:pt>
                <c:pt idx="163">
                  <c:v>45303</c:v>
                </c:pt>
                <c:pt idx="164">
                  <c:v>45304</c:v>
                </c:pt>
                <c:pt idx="165">
                  <c:v>45305</c:v>
                </c:pt>
                <c:pt idx="166">
                  <c:v>45306</c:v>
                </c:pt>
                <c:pt idx="167">
                  <c:v>45307</c:v>
                </c:pt>
                <c:pt idx="168">
                  <c:v>45308</c:v>
                </c:pt>
                <c:pt idx="169">
                  <c:v>45309</c:v>
                </c:pt>
                <c:pt idx="170">
                  <c:v>45310</c:v>
                </c:pt>
                <c:pt idx="171">
                  <c:v>45312</c:v>
                </c:pt>
                <c:pt idx="172">
                  <c:v>45313</c:v>
                </c:pt>
                <c:pt idx="173">
                  <c:v>45314</c:v>
                </c:pt>
                <c:pt idx="174">
                  <c:v>45315</c:v>
                </c:pt>
                <c:pt idx="175">
                  <c:v>45316</c:v>
                </c:pt>
                <c:pt idx="176">
                  <c:v>45317</c:v>
                </c:pt>
                <c:pt idx="177">
                  <c:v>45318</c:v>
                </c:pt>
                <c:pt idx="178">
                  <c:v>45319</c:v>
                </c:pt>
                <c:pt idx="179">
                  <c:v>45320</c:v>
                </c:pt>
                <c:pt idx="180">
                  <c:v>45321</c:v>
                </c:pt>
                <c:pt idx="181">
                  <c:v>45322</c:v>
                </c:pt>
                <c:pt idx="182">
                  <c:v>45323</c:v>
                </c:pt>
                <c:pt idx="183">
                  <c:v>45324</c:v>
                </c:pt>
                <c:pt idx="184">
                  <c:v>45325</c:v>
                </c:pt>
                <c:pt idx="185">
                  <c:v>45326</c:v>
                </c:pt>
                <c:pt idx="186">
                  <c:v>45327</c:v>
                </c:pt>
                <c:pt idx="187">
                  <c:v>45328</c:v>
                </c:pt>
                <c:pt idx="188">
                  <c:v>45329</c:v>
                </c:pt>
                <c:pt idx="189">
                  <c:v>45330</c:v>
                </c:pt>
                <c:pt idx="190">
                  <c:v>45331</c:v>
                </c:pt>
                <c:pt idx="191">
                  <c:v>45332</c:v>
                </c:pt>
                <c:pt idx="192">
                  <c:v>45333</c:v>
                </c:pt>
                <c:pt idx="193">
                  <c:v>45334</c:v>
                </c:pt>
                <c:pt idx="194">
                  <c:v>45335</c:v>
                </c:pt>
                <c:pt idx="195">
                  <c:v>45336</c:v>
                </c:pt>
                <c:pt idx="196">
                  <c:v>45339</c:v>
                </c:pt>
                <c:pt idx="197">
                  <c:v>45340</c:v>
                </c:pt>
                <c:pt idx="198">
                  <c:v>45341</c:v>
                </c:pt>
                <c:pt idx="199">
                  <c:v>45342</c:v>
                </c:pt>
                <c:pt idx="200">
                  <c:v>45343</c:v>
                </c:pt>
                <c:pt idx="201">
                  <c:v>45344</c:v>
                </c:pt>
                <c:pt idx="202">
                  <c:v>45345</c:v>
                </c:pt>
                <c:pt idx="203">
                  <c:v>45346</c:v>
                </c:pt>
                <c:pt idx="204">
                  <c:v>45347</c:v>
                </c:pt>
                <c:pt idx="205">
                  <c:v>45348</c:v>
                </c:pt>
                <c:pt idx="206">
                  <c:v>45349</c:v>
                </c:pt>
                <c:pt idx="207">
                  <c:v>45350</c:v>
                </c:pt>
                <c:pt idx="208">
                  <c:v>45351</c:v>
                </c:pt>
                <c:pt idx="209">
                  <c:v>45352</c:v>
                </c:pt>
                <c:pt idx="210">
                  <c:v>45353</c:v>
                </c:pt>
                <c:pt idx="211">
                  <c:v>45354</c:v>
                </c:pt>
                <c:pt idx="212">
                  <c:v>45355</c:v>
                </c:pt>
                <c:pt idx="213">
                  <c:v>45356</c:v>
                </c:pt>
                <c:pt idx="214">
                  <c:v>45357</c:v>
                </c:pt>
                <c:pt idx="215">
                  <c:v>45358</c:v>
                </c:pt>
                <c:pt idx="216">
                  <c:v>45359</c:v>
                </c:pt>
                <c:pt idx="217">
                  <c:v>45360</c:v>
                </c:pt>
                <c:pt idx="218">
                  <c:v>45361</c:v>
                </c:pt>
                <c:pt idx="219">
                  <c:v>45362</c:v>
                </c:pt>
                <c:pt idx="220">
                  <c:v>45366</c:v>
                </c:pt>
                <c:pt idx="221">
                  <c:v>45367</c:v>
                </c:pt>
                <c:pt idx="222">
                  <c:v>45368</c:v>
                </c:pt>
                <c:pt idx="223">
                  <c:v>45369</c:v>
                </c:pt>
                <c:pt idx="224">
                  <c:v>45370</c:v>
                </c:pt>
                <c:pt idx="225">
                  <c:v>45371</c:v>
                </c:pt>
                <c:pt idx="226">
                  <c:v>45372</c:v>
                </c:pt>
                <c:pt idx="227">
                  <c:v>45373</c:v>
                </c:pt>
                <c:pt idx="228">
                  <c:v>45374</c:v>
                </c:pt>
                <c:pt idx="229">
                  <c:v>45381</c:v>
                </c:pt>
                <c:pt idx="230">
                  <c:v>45383</c:v>
                </c:pt>
                <c:pt idx="231">
                  <c:v>45384</c:v>
                </c:pt>
                <c:pt idx="232">
                  <c:v>45385</c:v>
                </c:pt>
                <c:pt idx="233">
                  <c:v>45386</c:v>
                </c:pt>
                <c:pt idx="234">
                  <c:v>45387</c:v>
                </c:pt>
                <c:pt idx="235">
                  <c:v>45388</c:v>
                </c:pt>
                <c:pt idx="236">
                  <c:v>45389</c:v>
                </c:pt>
                <c:pt idx="237">
                  <c:v>45392</c:v>
                </c:pt>
                <c:pt idx="238">
                  <c:v>45393</c:v>
                </c:pt>
                <c:pt idx="239">
                  <c:v>45394</c:v>
                </c:pt>
                <c:pt idx="240">
                  <c:v>45395</c:v>
                </c:pt>
                <c:pt idx="241">
                  <c:v>45396</c:v>
                </c:pt>
                <c:pt idx="242">
                  <c:v>45397</c:v>
                </c:pt>
                <c:pt idx="243">
                  <c:v>45398</c:v>
                </c:pt>
                <c:pt idx="244">
                  <c:v>45399</c:v>
                </c:pt>
                <c:pt idx="245">
                  <c:v>45400</c:v>
                </c:pt>
                <c:pt idx="246">
                  <c:v>45401</c:v>
                </c:pt>
                <c:pt idx="247">
                  <c:v>45402</c:v>
                </c:pt>
                <c:pt idx="248">
                  <c:v>45404</c:v>
                </c:pt>
                <c:pt idx="249">
                  <c:v>45405</c:v>
                </c:pt>
                <c:pt idx="250">
                  <c:v>45406</c:v>
                </c:pt>
                <c:pt idx="251">
                  <c:v>45407</c:v>
                </c:pt>
                <c:pt idx="252">
                  <c:v>45408</c:v>
                </c:pt>
                <c:pt idx="253">
                  <c:v>45409</c:v>
                </c:pt>
                <c:pt idx="254">
                  <c:v>45410</c:v>
                </c:pt>
                <c:pt idx="255">
                  <c:v>45411</c:v>
                </c:pt>
                <c:pt idx="256">
                  <c:v>45412</c:v>
                </c:pt>
                <c:pt idx="257">
                  <c:v>45413</c:v>
                </c:pt>
                <c:pt idx="258">
                  <c:v>45414</c:v>
                </c:pt>
                <c:pt idx="259">
                  <c:v>45415</c:v>
                </c:pt>
                <c:pt idx="260">
                  <c:v>45416</c:v>
                </c:pt>
                <c:pt idx="261">
                  <c:v>45417</c:v>
                </c:pt>
                <c:pt idx="262">
                  <c:v>45418</c:v>
                </c:pt>
                <c:pt idx="263">
                  <c:v>45419</c:v>
                </c:pt>
                <c:pt idx="264">
                  <c:v>45420</c:v>
                </c:pt>
                <c:pt idx="265">
                  <c:v>45421</c:v>
                </c:pt>
                <c:pt idx="266">
                  <c:v>45422</c:v>
                </c:pt>
                <c:pt idx="267">
                  <c:v>45423</c:v>
                </c:pt>
                <c:pt idx="268">
                  <c:v>45424</c:v>
                </c:pt>
                <c:pt idx="269">
                  <c:v>45425</c:v>
                </c:pt>
                <c:pt idx="270">
                  <c:v>45426</c:v>
                </c:pt>
                <c:pt idx="271">
                  <c:v>45427</c:v>
                </c:pt>
                <c:pt idx="272">
                  <c:v>45428</c:v>
                </c:pt>
                <c:pt idx="273">
                  <c:v>45429</c:v>
                </c:pt>
                <c:pt idx="274">
                  <c:v>45431</c:v>
                </c:pt>
                <c:pt idx="275">
                  <c:v>45432</c:v>
                </c:pt>
                <c:pt idx="276">
                  <c:v>45433</c:v>
                </c:pt>
                <c:pt idx="277">
                  <c:v>45434</c:v>
                </c:pt>
                <c:pt idx="278">
                  <c:v>45437</c:v>
                </c:pt>
                <c:pt idx="279">
                  <c:v>45438</c:v>
                </c:pt>
                <c:pt idx="280">
                  <c:v>45439</c:v>
                </c:pt>
                <c:pt idx="281">
                  <c:v>45440</c:v>
                </c:pt>
                <c:pt idx="282">
                  <c:v>45441</c:v>
                </c:pt>
                <c:pt idx="283">
                  <c:v>45442</c:v>
                </c:pt>
                <c:pt idx="284">
                  <c:v>45443</c:v>
                </c:pt>
                <c:pt idx="285">
                  <c:v>45444</c:v>
                </c:pt>
                <c:pt idx="286">
                  <c:v>45445</c:v>
                </c:pt>
                <c:pt idx="287">
                  <c:v>45446</c:v>
                </c:pt>
                <c:pt idx="288">
                  <c:v>45447</c:v>
                </c:pt>
                <c:pt idx="289">
                  <c:v>45448</c:v>
                </c:pt>
                <c:pt idx="290">
                  <c:v>45449</c:v>
                </c:pt>
                <c:pt idx="291">
                  <c:v>45450</c:v>
                </c:pt>
                <c:pt idx="292">
                  <c:v>45451</c:v>
                </c:pt>
                <c:pt idx="293">
                  <c:v>45452</c:v>
                </c:pt>
                <c:pt idx="294">
                  <c:v>45453</c:v>
                </c:pt>
                <c:pt idx="295">
                  <c:v>45454</c:v>
                </c:pt>
                <c:pt idx="296">
                  <c:v>45455</c:v>
                </c:pt>
                <c:pt idx="297">
                  <c:v>45456</c:v>
                </c:pt>
                <c:pt idx="298">
                  <c:v>45457</c:v>
                </c:pt>
                <c:pt idx="299">
                  <c:v>45458</c:v>
                </c:pt>
                <c:pt idx="300">
                  <c:v>45459</c:v>
                </c:pt>
                <c:pt idx="301">
                  <c:v>45460</c:v>
                </c:pt>
                <c:pt idx="302">
                  <c:v>45461</c:v>
                </c:pt>
                <c:pt idx="303">
                  <c:v>45462</c:v>
                </c:pt>
                <c:pt idx="304">
                  <c:v>45463</c:v>
                </c:pt>
                <c:pt idx="305">
                  <c:v>45464</c:v>
                </c:pt>
                <c:pt idx="306">
                  <c:v>45469</c:v>
                </c:pt>
                <c:pt idx="307">
                  <c:v>45470</c:v>
                </c:pt>
                <c:pt idx="308">
                  <c:v>45471</c:v>
                </c:pt>
                <c:pt idx="309">
                  <c:v>45472</c:v>
                </c:pt>
                <c:pt idx="310">
                  <c:v>45473</c:v>
                </c:pt>
                <c:pt idx="311">
                  <c:v>45474</c:v>
                </c:pt>
                <c:pt idx="312">
                  <c:v>45475</c:v>
                </c:pt>
                <c:pt idx="313">
                  <c:v>45478</c:v>
                </c:pt>
                <c:pt idx="314">
                  <c:v>45479</c:v>
                </c:pt>
                <c:pt idx="315">
                  <c:v>45480</c:v>
                </c:pt>
                <c:pt idx="316">
                  <c:v>45481</c:v>
                </c:pt>
                <c:pt idx="317">
                  <c:v>45482</c:v>
                </c:pt>
                <c:pt idx="318">
                  <c:v>45483</c:v>
                </c:pt>
                <c:pt idx="319">
                  <c:v>45487</c:v>
                </c:pt>
                <c:pt idx="320">
                  <c:v>45488</c:v>
                </c:pt>
                <c:pt idx="321">
                  <c:v>45504</c:v>
                </c:pt>
                <c:pt idx="322">
                  <c:v>45505</c:v>
                </c:pt>
                <c:pt idx="323">
                  <c:v>45506</c:v>
                </c:pt>
                <c:pt idx="324">
                  <c:v>45507</c:v>
                </c:pt>
                <c:pt idx="325">
                  <c:v>45508</c:v>
                </c:pt>
                <c:pt idx="326">
                  <c:v>45509</c:v>
                </c:pt>
                <c:pt idx="327">
                  <c:v>45510</c:v>
                </c:pt>
                <c:pt idx="328">
                  <c:v>45511</c:v>
                </c:pt>
                <c:pt idx="329">
                  <c:v>45512</c:v>
                </c:pt>
                <c:pt idx="330">
                  <c:v>45513</c:v>
                </c:pt>
                <c:pt idx="331">
                  <c:v>45514</c:v>
                </c:pt>
                <c:pt idx="332">
                  <c:v>45515</c:v>
                </c:pt>
                <c:pt idx="333">
                  <c:v>45516</c:v>
                </c:pt>
                <c:pt idx="334">
                  <c:v>45517</c:v>
                </c:pt>
                <c:pt idx="335">
                  <c:v>45518</c:v>
                </c:pt>
                <c:pt idx="336">
                  <c:v>45519</c:v>
                </c:pt>
                <c:pt idx="337">
                  <c:v>45524</c:v>
                </c:pt>
                <c:pt idx="338">
                  <c:v>45525</c:v>
                </c:pt>
                <c:pt idx="339">
                  <c:v>45526</c:v>
                </c:pt>
                <c:pt idx="340">
                  <c:v>45527</c:v>
                </c:pt>
                <c:pt idx="341">
                  <c:v>45528</c:v>
                </c:pt>
                <c:pt idx="342">
                  <c:v>45529</c:v>
                </c:pt>
                <c:pt idx="343">
                  <c:v>45536</c:v>
                </c:pt>
                <c:pt idx="344">
                  <c:v>45537</c:v>
                </c:pt>
                <c:pt idx="345">
                  <c:v>45538</c:v>
                </c:pt>
                <c:pt idx="346">
                  <c:v>45539</c:v>
                </c:pt>
                <c:pt idx="347">
                  <c:v>45540</c:v>
                </c:pt>
                <c:pt idx="348">
                  <c:v>45541</c:v>
                </c:pt>
                <c:pt idx="349">
                  <c:v>45542</c:v>
                </c:pt>
                <c:pt idx="350">
                  <c:v>45543</c:v>
                </c:pt>
                <c:pt idx="351">
                  <c:v>45544</c:v>
                </c:pt>
                <c:pt idx="352">
                  <c:v>45545</c:v>
                </c:pt>
                <c:pt idx="353">
                  <c:v>45546</c:v>
                </c:pt>
                <c:pt idx="354">
                  <c:v>45547</c:v>
                </c:pt>
                <c:pt idx="355">
                  <c:v>45548</c:v>
                </c:pt>
                <c:pt idx="356">
                  <c:v>45549</c:v>
                </c:pt>
                <c:pt idx="357">
                  <c:v>45550</c:v>
                </c:pt>
                <c:pt idx="358">
                  <c:v>45553</c:v>
                </c:pt>
                <c:pt idx="359">
                  <c:v>45554</c:v>
                </c:pt>
                <c:pt idx="360">
                  <c:v>45557</c:v>
                </c:pt>
                <c:pt idx="361">
                  <c:v>45558</c:v>
                </c:pt>
                <c:pt idx="362">
                  <c:v>45559</c:v>
                </c:pt>
                <c:pt idx="363">
                  <c:v>45560</c:v>
                </c:pt>
                <c:pt idx="364">
                  <c:v>45561</c:v>
                </c:pt>
                <c:pt idx="365">
                  <c:v>45562</c:v>
                </c:pt>
                <c:pt idx="366">
                  <c:v>45563</c:v>
                </c:pt>
                <c:pt idx="367">
                  <c:v>45564</c:v>
                </c:pt>
                <c:pt idx="368">
                  <c:v>45565</c:v>
                </c:pt>
                <c:pt idx="369">
                  <c:v>45566</c:v>
                </c:pt>
                <c:pt idx="370">
                  <c:v>45567</c:v>
                </c:pt>
                <c:pt idx="371">
                  <c:v>45568</c:v>
                </c:pt>
                <c:pt idx="372">
                  <c:v>45569</c:v>
                </c:pt>
                <c:pt idx="373">
                  <c:v>45570</c:v>
                </c:pt>
                <c:pt idx="374">
                  <c:v>45571</c:v>
                </c:pt>
                <c:pt idx="375">
                  <c:v>45572</c:v>
                </c:pt>
                <c:pt idx="376">
                  <c:v>45573</c:v>
                </c:pt>
                <c:pt idx="377">
                  <c:v>45574</c:v>
                </c:pt>
                <c:pt idx="378">
                  <c:v>45575</c:v>
                </c:pt>
                <c:pt idx="379">
                  <c:v>45576</c:v>
                </c:pt>
                <c:pt idx="380">
                  <c:v>45579</c:v>
                </c:pt>
                <c:pt idx="381">
                  <c:v>45580</c:v>
                </c:pt>
                <c:pt idx="382">
                  <c:v>45581</c:v>
                </c:pt>
                <c:pt idx="383">
                  <c:v>45582</c:v>
                </c:pt>
                <c:pt idx="384">
                  <c:v>45583</c:v>
                </c:pt>
                <c:pt idx="385">
                  <c:v>45584</c:v>
                </c:pt>
                <c:pt idx="386">
                  <c:v>45585</c:v>
                </c:pt>
                <c:pt idx="387">
                  <c:v>45591</c:v>
                </c:pt>
                <c:pt idx="388">
                  <c:v>45592</c:v>
                </c:pt>
                <c:pt idx="389">
                  <c:v>45593</c:v>
                </c:pt>
                <c:pt idx="390">
                  <c:v>45594</c:v>
                </c:pt>
                <c:pt idx="391">
                  <c:v>45595</c:v>
                </c:pt>
                <c:pt idx="392">
                  <c:v>45596</c:v>
                </c:pt>
                <c:pt idx="393">
                  <c:v>45597</c:v>
                </c:pt>
                <c:pt idx="394">
                  <c:v>45598</c:v>
                </c:pt>
                <c:pt idx="395">
                  <c:v>45599</c:v>
                </c:pt>
                <c:pt idx="396">
                  <c:v>45600</c:v>
                </c:pt>
                <c:pt idx="397">
                  <c:v>45601</c:v>
                </c:pt>
                <c:pt idx="398">
                  <c:v>45602</c:v>
                </c:pt>
                <c:pt idx="399">
                  <c:v>45604</c:v>
                </c:pt>
                <c:pt idx="400">
                  <c:v>45605</c:v>
                </c:pt>
                <c:pt idx="401">
                  <c:v>45606</c:v>
                </c:pt>
                <c:pt idx="402">
                  <c:v>45607</c:v>
                </c:pt>
                <c:pt idx="403">
                  <c:v>45608</c:v>
                </c:pt>
                <c:pt idx="404">
                  <c:v>45609</c:v>
                </c:pt>
                <c:pt idx="405">
                  <c:v>45610</c:v>
                </c:pt>
                <c:pt idx="406">
                  <c:v>45611</c:v>
                </c:pt>
                <c:pt idx="407">
                  <c:v>45612</c:v>
                </c:pt>
                <c:pt idx="408">
                  <c:v>45618</c:v>
                </c:pt>
                <c:pt idx="409">
                  <c:v>45619</c:v>
                </c:pt>
                <c:pt idx="410">
                  <c:v>45620</c:v>
                </c:pt>
                <c:pt idx="411">
                  <c:v>45626</c:v>
                </c:pt>
                <c:pt idx="412">
                  <c:v>45627</c:v>
                </c:pt>
                <c:pt idx="413">
                  <c:v>45628</c:v>
                </c:pt>
                <c:pt idx="414">
                  <c:v>45629</c:v>
                </c:pt>
                <c:pt idx="415">
                  <c:v>45630</c:v>
                </c:pt>
                <c:pt idx="416">
                  <c:v>45635</c:v>
                </c:pt>
                <c:pt idx="417">
                  <c:v>45639</c:v>
                </c:pt>
                <c:pt idx="418">
                  <c:v>45640</c:v>
                </c:pt>
                <c:pt idx="419">
                  <c:v>45641</c:v>
                </c:pt>
                <c:pt idx="420">
                  <c:v>45642</c:v>
                </c:pt>
                <c:pt idx="421">
                  <c:v>45643</c:v>
                </c:pt>
                <c:pt idx="422">
                  <c:v>45644</c:v>
                </c:pt>
                <c:pt idx="423">
                  <c:v>45645</c:v>
                </c:pt>
                <c:pt idx="424">
                  <c:v>45646</c:v>
                </c:pt>
                <c:pt idx="425">
                  <c:v>45647</c:v>
                </c:pt>
                <c:pt idx="426">
                  <c:v>45648</c:v>
                </c:pt>
                <c:pt idx="427">
                  <c:v>45649</c:v>
                </c:pt>
                <c:pt idx="428">
                  <c:v>45650</c:v>
                </c:pt>
                <c:pt idx="429">
                  <c:v>45651</c:v>
                </c:pt>
                <c:pt idx="430">
                  <c:v>45657</c:v>
                </c:pt>
                <c:pt idx="431">
                  <c:v>45658</c:v>
                </c:pt>
                <c:pt idx="432">
                  <c:v>45659</c:v>
                </c:pt>
                <c:pt idx="433">
                  <c:v>45660</c:v>
                </c:pt>
                <c:pt idx="434">
                  <c:v>45661</c:v>
                </c:pt>
                <c:pt idx="435">
                  <c:v>45662</c:v>
                </c:pt>
                <c:pt idx="436">
                  <c:v>45664</c:v>
                </c:pt>
                <c:pt idx="437">
                  <c:v>45665</c:v>
                </c:pt>
                <c:pt idx="438">
                  <c:v>45666</c:v>
                </c:pt>
                <c:pt idx="439">
                  <c:v>45667</c:v>
                </c:pt>
                <c:pt idx="440">
                  <c:v>45668</c:v>
                </c:pt>
                <c:pt idx="441">
                  <c:v>45669</c:v>
                </c:pt>
                <c:pt idx="442">
                  <c:v>45670</c:v>
                </c:pt>
                <c:pt idx="443">
                  <c:v>45671</c:v>
                </c:pt>
                <c:pt idx="444">
                  <c:v>45672</c:v>
                </c:pt>
                <c:pt idx="445">
                  <c:v>45673</c:v>
                </c:pt>
                <c:pt idx="446">
                  <c:v>45674</c:v>
                </c:pt>
                <c:pt idx="447">
                  <c:v>45675</c:v>
                </c:pt>
                <c:pt idx="448">
                  <c:v>45676</c:v>
                </c:pt>
                <c:pt idx="449">
                  <c:v>45677</c:v>
                </c:pt>
                <c:pt idx="450">
                  <c:v>45678</c:v>
                </c:pt>
                <c:pt idx="451">
                  <c:v>45679</c:v>
                </c:pt>
                <c:pt idx="452">
                  <c:v>45680</c:v>
                </c:pt>
                <c:pt idx="453">
                  <c:v>45681</c:v>
                </c:pt>
                <c:pt idx="454">
                  <c:v>45682</c:v>
                </c:pt>
                <c:pt idx="455">
                  <c:v>45683</c:v>
                </c:pt>
                <c:pt idx="456">
                  <c:v>45684</c:v>
                </c:pt>
                <c:pt idx="457">
                  <c:v>45685</c:v>
                </c:pt>
                <c:pt idx="458">
                  <c:v>45686</c:v>
                </c:pt>
                <c:pt idx="459">
                  <c:v>45687</c:v>
                </c:pt>
                <c:pt idx="460">
                  <c:v>45688</c:v>
                </c:pt>
                <c:pt idx="461">
                  <c:v>45689</c:v>
                </c:pt>
                <c:pt idx="462">
                  <c:v>45690</c:v>
                </c:pt>
                <c:pt idx="463">
                  <c:v>45691</c:v>
                </c:pt>
                <c:pt idx="464">
                  <c:v>45696</c:v>
                </c:pt>
                <c:pt idx="465">
                  <c:v>45697</c:v>
                </c:pt>
                <c:pt idx="466">
                  <c:v>45698</c:v>
                </c:pt>
                <c:pt idx="467">
                  <c:v>45699</c:v>
                </c:pt>
                <c:pt idx="468">
                  <c:v>45700</c:v>
                </c:pt>
                <c:pt idx="469">
                  <c:v>45701</c:v>
                </c:pt>
                <c:pt idx="470">
                  <c:v>45702</c:v>
                </c:pt>
                <c:pt idx="471">
                  <c:v>45703</c:v>
                </c:pt>
                <c:pt idx="472">
                  <c:v>45704</c:v>
                </c:pt>
                <c:pt idx="473">
                  <c:v>45705</c:v>
                </c:pt>
                <c:pt idx="474">
                  <c:v>45706</c:v>
                </c:pt>
                <c:pt idx="475">
                  <c:v>45707</c:v>
                </c:pt>
                <c:pt idx="476">
                  <c:v>45715</c:v>
                </c:pt>
                <c:pt idx="477">
                  <c:v>45716</c:v>
                </c:pt>
                <c:pt idx="478">
                  <c:v>45717</c:v>
                </c:pt>
                <c:pt idx="479">
                  <c:v>45718</c:v>
                </c:pt>
                <c:pt idx="480">
                  <c:v>45719</c:v>
                </c:pt>
                <c:pt idx="481">
                  <c:v>45720</c:v>
                </c:pt>
                <c:pt idx="482">
                  <c:v>45723</c:v>
                </c:pt>
                <c:pt idx="483">
                  <c:v>45724</c:v>
                </c:pt>
                <c:pt idx="484">
                  <c:v>45725</c:v>
                </c:pt>
                <c:pt idx="485">
                  <c:v>45726</c:v>
                </c:pt>
                <c:pt idx="486">
                  <c:v>45727</c:v>
                </c:pt>
                <c:pt idx="487">
                  <c:v>45729</c:v>
                </c:pt>
                <c:pt idx="488">
                  <c:v>45730</c:v>
                </c:pt>
                <c:pt idx="489">
                  <c:v>45731</c:v>
                </c:pt>
                <c:pt idx="490">
                  <c:v>45732</c:v>
                </c:pt>
                <c:pt idx="491">
                  <c:v>45733</c:v>
                </c:pt>
                <c:pt idx="492">
                  <c:v>45734</c:v>
                </c:pt>
                <c:pt idx="493">
                  <c:v>45735</c:v>
                </c:pt>
                <c:pt idx="494">
                  <c:v>45738</c:v>
                </c:pt>
                <c:pt idx="495">
                  <c:v>45739</c:v>
                </c:pt>
                <c:pt idx="496">
                  <c:v>45740</c:v>
                </c:pt>
                <c:pt idx="497">
                  <c:v>45741</c:v>
                </c:pt>
                <c:pt idx="498">
                  <c:v>45742</c:v>
                </c:pt>
                <c:pt idx="499">
                  <c:v>45743</c:v>
                </c:pt>
                <c:pt idx="500">
                  <c:v>45744</c:v>
                </c:pt>
                <c:pt idx="501">
                  <c:v>45745</c:v>
                </c:pt>
                <c:pt idx="502">
                  <c:v>45746</c:v>
                </c:pt>
                <c:pt idx="503">
                  <c:v>45747</c:v>
                </c:pt>
                <c:pt idx="504">
                  <c:v>45748</c:v>
                </c:pt>
                <c:pt idx="505">
                  <c:v>45749</c:v>
                </c:pt>
                <c:pt idx="506">
                  <c:v>45750</c:v>
                </c:pt>
                <c:pt idx="507">
                  <c:v>45751</c:v>
                </c:pt>
                <c:pt idx="508">
                  <c:v>45752</c:v>
                </c:pt>
                <c:pt idx="509">
                  <c:v>45753</c:v>
                </c:pt>
                <c:pt idx="510">
                  <c:v>45754</c:v>
                </c:pt>
                <c:pt idx="511">
                  <c:v>45755</c:v>
                </c:pt>
                <c:pt idx="512">
                  <c:v>45758</c:v>
                </c:pt>
                <c:pt idx="513">
                  <c:v>45759</c:v>
                </c:pt>
                <c:pt idx="514">
                  <c:v>45767</c:v>
                </c:pt>
                <c:pt idx="515">
                  <c:v>45768</c:v>
                </c:pt>
                <c:pt idx="516">
                  <c:v>45769</c:v>
                </c:pt>
                <c:pt idx="517">
                  <c:v>45770</c:v>
                </c:pt>
                <c:pt idx="518">
                  <c:v>45771</c:v>
                </c:pt>
                <c:pt idx="519">
                  <c:v>45772</c:v>
                </c:pt>
                <c:pt idx="520">
                  <c:v>45773</c:v>
                </c:pt>
                <c:pt idx="521">
                  <c:v>45774</c:v>
                </c:pt>
                <c:pt idx="522">
                  <c:v>45775</c:v>
                </c:pt>
                <c:pt idx="523">
                  <c:v>45778</c:v>
                </c:pt>
                <c:pt idx="524">
                  <c:v>45779</c:v>
                </c:pt>
                <c:pt idx="525">
                  <c:v>45782</c:v>
                </c:pt>
                <c:pt idx="526">
                  <c:v>45788</c:v>
                </c:pt>
                <c:pt idx="527">
                  <c:v>45789</c:v>
                </c:pt>
                <c:pt idx="528">
                  <c:v>45790</c:v>
                </c:pt>
                <c:pt idx="529">
                  <c:v>45791</c:v>
                </c:pt>
                <c:pt idx="530">
                  <c:v>45792</c:v>
                </c:pt>
                <c:pt idx="531">
                  <c:v>45793</c:v>
                </c:pt>
                <c:pt idx="532">
                  <c:v>45794</c:v>
                </c:pt>
                <c:pt idx="533">
                  <c:v>45798</c:v>
                </c:pt>
                <c:pt idx="534">
                  <c:v>45799</c:v>
                </c:pt>
                <c:pt idx="535">
                  <c:v>45800</c:v>
                </c:pt>
                <c:pt idx="536">
                  <c:v>45801</c:v>
                </c:pt>
                <c:pt idx="537">
                  <c:v>45802</c:v>
                </c:pt>
                <c:pt idx="538">
                  <c:v>45803</c:v>
                </c:pt>
                <c:pt idx="539">
                  <c:v>45809</c:v>
                </c:pt>
                <c:pt idx="540">
                  <c:v>45810</c:v>
                </c:pt>
                <c:pt idx="541">
                  <c:v>45811</c:v>
                </c:pt>
                <c:pt idx="542">
                  <c:v>45812</c:v>
                </c:pt>
                <c:pt idx="543">
                  <c:v>45813</c:v>
                </c:pt>
                <c:pt idx="544">
                  <c:v>45814</c:v>
                </c:pt>
                <c:pt idx="545">
                  <c:v>45815</c:v>
                </c:pt>
                <c:pt idx="546">
                  <c:v>45816</c:v>
                </c:pt>
                <c:pt idx="547">
                  <c:v>45821</c:v>
                </c:pt>
                <c:pt idx="548">
                  <c:v>45822</c:v>
                </c:pt>
                <c:pt idx="549">
                  <c:v>45823</c:v>
                </c:pt>
                <c:pt idx="550">
                  <c:v>45824</c:v>
                </c:pt>
                <c:pt idx="551">
                  <c:v>45825</c:v>
                </c:pt>
                <c:pt idx="552">
                  <c:v>45826</c:v>
                </c:pt>
                <c:pt idx="553">
                  <c:v>45827</c:v>
                </c:pt>
                <c:pt idx="554">
                  <c:v>45828</c:v>
                </c:pt>
                <c:pt idx="555">
                  <c:v>45829</c:v>
                </c:pt>
                <c:pt idx="556">
                  <c:v>45830</c:v>
                </c:pt>
                <c:pt idx="557">
                  <c:v>45831</c:v>
                </c:pt>
                <c:pt idx="558">
                  <c:v>45832</c:v>
                </c:pt>
                <c:pt idx="559">
                  <c:v>45833</c:v>
                </c:pt>
                <c:pt idx="560">
                  <c:v>45834</c:v>
                </c:pt>
                <c:pt idx="561">
                  <c:v>45835</c:v>
                </c:pt>
                <c:pt idx="562">
                  <c:v>45836</c:v>
                </c:pt>
                <c:pt idx="563">
                  <c:v>45837</c:v>
                </c:pt>
                <c:pt idx="564">
                  <c:v>45838</c:v>
                </c:pt>
                <c:pt idx="565">
                  <c:v>45839</c:v>
                </c:pt>
                <c:pt idx="566">
                  <c:v>45840</c:v>
                </c:pt>
                <c:pt idx="567">
                  <c:v>45841</c:v>
                </c:pt>
                <c:pt idx="568">
                  <c:v>45842</c:v>
                </c:pt>
                <c:pt idx="569">
                  <c:v>45843</c:v>
                </c:pt>
                <c:pt idx="570">
                  <c:v>45844</c:v>
                </c:pt>
                <c:pt idx="571">
                  <c:v>45845</c:v>
                </c:pt>
                <c:pt idx="572">
                  <c:v>45846</c:v>
                </c:pt>
                <c:pt idx="573">
                  <c:v>45847</c:v>
                </c:pt>
                <c:pt idx="574">
                  <c:v>45848</c:v>
                </c:pt>
                <c:pt idx="575">
                  <c:v>45849</c:v>
                </c:pt>
                <c:pt idx="576">
                  <c:v>45850</c:v>
                </c:pt>
                <c:pt idx="577">
                  <c:v>45851</c:v>
                </c:pt>
                <c:pt idx="578">
                  <c:v>45852</c:v>
                </c:pt>
                <c:pt idx="579">
                  <c:v>45854</c:v>
                </c:pt>
                <c:pt idx="580">
                  <c:v>45855</c:v>
                </c:pt>
                <c:pt idx="581">
                  <c:v>45856</c:v>
                </c:pt>
                <c:pt idx="582">
                  <c:v>45857</c:v>
                </c:pt>
                <c:pt idx="583">
                  <c:v>45858</c:v>
                </c:pt>
                <c:pt idx="584">
                  <c:v>45862</c:v>
                </c:pt>
                <c:pt idx="585">
                  <c:v>45863</c:v>
                </c:pt>
                <c:pt idx="586">
                  <c:v>45864</c:v>
                </c:pt>
                <c:pt idx="587">
                  <c:v>45871</c:v>
                </c:pt>
                <c:pt idx="588">
                  <c:v>45872</c:v>
                </c:pt>
                <c:pt idx="589">
                  <c:v>45873</c:v>
                </c:pt>
                <c:pt idx="590">
                  <c:v>45880</c:v>
                </c:pt>
                <c:pt idx="591">
                  <c:v>45881</c:v>
                </c:pt>
                <c:pt idx="592">
                  <c:v>45882</c:v>
                </c:pt>
                <c:pt idx="593">
                  <c:v>45886</c:v>
                </c:pt>
                <c:pt idx="594">
                  <c:v>45887</c:v>
                </c:pt>
                <c:pt idx="595">
                  <c:v>45888</c:v>
                </c:pt>
                <c:pt idx="596">
                  <c:v>45889</c:v>
                </c:pt>
                <c:pt idx="597">
                  <c:v>45890</c:v>
                </c:pt>
                <c:pt idx="598">
                  <c:v>45891</c:v>
                </c:pt>
                <c:pt idx="599">
                  <c:v>45894</c:v>
                </c:pt>
                <c:pt idx="600">
                  <c:v>45895</c:v>
                </c:pt>
                <c:pt idx="601">
                  <c:v>45896</c:v>
                </c:pt>
                <c:pt idx="602">
                  <c:v>45897</c:v>
                </c:pt>
                <c:pt idx="603">
                  <c:v>45898</c:v>
                </c:pt>
                <c:pt idx="604">
                  <c:v>45899</c:v>
                </c:pt>
                <c:pt idx="605">
                  <c:v>45900</c:v>
                </c:pt>
                <c:pt idx="606">
                  <c:v>45901</c:v>
                </c:pt>
                <c:pt idx="607">
                  <c:v>45902</c:v>
                </c:pt>
                <c:pt idx="608">
                  <c:v>45903</c:v>
                </c:pt>
                <c:pt idx="609">
                  <c:v>45904</c:v>
                </c:pt>
                <c:pt idx="610">
                  <c:v>45905</c:v>
                </c:pt>
                <c:pt idx="611">
                  <c:v>45906</c:v>
                </c:pt>
                <c:pt idx="612">
                  <c:v>45907</c:v>
                </c:pt>
                <c:pt idx="613">
                  <c:v>45908</c:v>
                </c:pt>
                <c:pt idx="614">
                  <c:v>45909</c:v>
                </c:pt>
                <c:pt idx="615">
                  <c:v>45911</c:v>
                </c:pt>
                <c:pt idx="616">
                  <c:v>45912</c:v>
                </c:pt>
                <c:pt idx="617">
                  <c:v>45913</c:v>
                </c:pt>
                <c:pt idx="618">
                  <c:v>45914</c:v>
                </c:pt>
                <c:pt idx="619">
                  <c:v>45917</c:v>
                </c:pt>
                <c:pt idx="620">
                  <c:v>45919</c:v>
                </c:pt>
                <c:pt idx="621">
                  <c:v>45920</c:v>
                </c:pt>
                <c:pt idx="622">
                  <c:v>45921</c:v>
                </c:pt>
                <c:pt idx="623">
                  <c:v>45922</c:v>
                </c:pt>
                <c:pt idx="624">
                  <c:v>45923</c:v>
                </c:pt>
                <c:pt idx="625">
                  <c:v>45924</c:v>
                </c:pt>
                <c:pt idx="626">
                  <c:v>45925</c:v>
                </c:pt>
                <c:pt idx="627">
                  <c:v>45926</c:v>
                </c:pt>
                <c:pt idx="628">
                  <c:v>45927</c:v>
                </c:pt>
                <c:pt idx="629">
                  <c:v>45928</c:v>
                </c:pt>
                <c:pt idx="630">
                  <c:v>45929</c:v>
                </c:pt>
                <c:pt idx="631">
                  <c:v>45930</c:v>
                </c:pt>
                <c:pt idx="632">
                  <c:v>45931</c:v>
                </c:pt>
                <c:pt idx="633">
                  <c:v>45932</c:v>
                </c:pt>
                <c:pt idx="634">
                  <c:v>45933</c:v>
                </c:pt>
                <c:pt idx="635">
                  <c:v>45934</c:v>
                </c:pt>
                <c:pt idx="636">
                  <c:v>45935</c:v>
                </c:pt>
                <c:pt idx="637">
                  <c:v>45936</c:v>
                </c:pt>
                <c:pt idx="638">
                  <c:v>45937</c:v>
                </c:pt>
                <c:pt idx="639">
                  <c:v>45938</c:v>
                </c:pt>
                <c:pt idx="640">
                  <c:v>45939</c:v>
                </c:pt>
                <c:pt idx="641">
                  <c:v>45940</c:v>
                </c:pt>
                <c:pt idx="642">
                  <c:v>45941</c:v>
                </c:pt>
                <c:pt idx="643">
                  <c:v>45942</c:v>
                </c:pt>
                <c:pt idx="644">
                  <c:v>45943</c:v>
                </c:pt>
                <c:pt idx="645">
                  <c:v>45944</c:v>
                </c:pt>
                <c:pt idx="646">
                  <c:v>45945</c:v>
                </c:pt>
                <c:pt idx="647">
                  <c:v>45946</c:v>
                </c:pt>
                <c:pt idx="648">
                  <c:v>45947</c:v>
                </c:pt>
                <c:pt idx="649">
                  <c:v>45948</c:v>
                </c:pt>
                <c:pt idx="650">
                  <c:v>45949</c:v>
                </c:pt>
                <c:pt idx="651">
                  <c:v>45950</c:v>
                </c:pt>
                <c:pt idx="652">
                  <c:v>45951</c:v>
                </c:pt>
                <c:pt idx="653">
                  <c:v>45952</c:v>
                </c:pt>
                <c:pt idx="654">
                  <c:v>45953</c:v>
                </c:pt>
                <c:pt idx="655">
                  <c:v>45954</c:v>
                </c:pt>
                <c:pt idx="656">
                  <c:v>45955</c:v>
                </c:pt>
                <c:pt idx="657">
                  <c:v>45956</c:v>
                </c:pt>
                <c:pt idx="658">
                  <c:v>45957</c:v>
                </c:pt>
                <c:pt idx="659">
                  <c:v>45958</c:v>
                </c:pt>
                <c:pt idx="660">
                  <c:v>45959</c:v>
                </c:pt>
                <c:pt idx="661">
                  <c:v>45960</c:v>
                </c:pt>
                <c:pt idx="662">
                  <c:v>45961</c:v>
                </c:pt>
                <c:pt idx="663">
                  <c:v>45962</c:v>
                </c:pt>
                <c:pt idx="664">
                  <c:v>45963</c:v>
                </c:pt>
                <c:pt idx="665">
                  <c:v>45964</c:v>
                </c:pt>
                <c:pt idx="666">
                  <c:v>45965</c:v>
                </c:pt>
                <c:pt idx="667">
                  <c:v>45966</c:v>
                </c:pt>
                <c:pt idx="668">
                  <c:v>45967</c:v>
                </c:pt>
                <c:pt idx="669">
                  <c:v>45968</c:v>
                </c:pt>
                <c:pt idx="670">
                  <c:v>45969</c:v>
                </c:pt>
                <c:pt idx="671">
                  <c:v>45971</c:v>
                </c:pt>
                <c:pt idx="672">
                  <c:v>45972</c:v>
                </c:pt>
                <c:pt idx="673">
                  <c:v>45973</c:v>
                </c:pt>
                <c:pt idx="674">
                  <c:v>45974</c:v>
                </c:pt>
                <c:pt idx="675">
                  <c:v>45975</c:v>
                </c:pt>
                <c:pt idx="676">
                  <c:v>45976</c:v>
                </c:pt>
                <c:pt idx="677">
                  <c:v>45977</c:v>
                </c:pt>
                <c:pt idx="678">
                  <c:v>45978</c:v>
                </c:pt>
                <c:pt idx="679">
                  <c:v>45983</c:v>
                </c:pt>
                <c:pt idx="680">
                  <c:v>45984</c:v>
                </c:pt>
                <c:pt idx="681">
                  <c:v>45985</c:v>
                </c:pt>
                <c:pt idx="682">
                  <c:v>45986</c:v>
                </c:pt>
                <c:pt idx="683">
                  <c:v>45987</c:v>
                </c:pt>
                <c:pt idx="684">
                  <c:v>45988</c:v>
                </c:pt>
                <c:pt idx="685">
                  <c:v>45989</c:v>
                </c:pt>
                <c:pt idx="686">
                  <c:v>45990</c:v>
                </c:pt>
                <c:pt idx="687">
                  <c:v>45991</c:v>
                </c:pt>
                <c:pt idx="688">
                  <c:v>45992</c:v>
                </c:pt>
                <c:pt idx="689">
                  <c:v>45993</c:v>
                </c:pt>
                <c:pt idx="690">
                  <c:v>45994</c:v>
                </c:pt>
                <c:pt idx="691">
                  <c:v>45995</c:v>
                </c:pt>
                <c:pt idx="692">
                  <c:v>45996</c:v>
                </c:pt>
                <c:pt idx="693">
                  <c:v>45997</c:v>
                </c:pt>
                <c:pt idx="694">
                  <c:v>45998</c:v>
                </c:pt>
                <c:pt idx="695">
                  <c:v>45999</c:v>
                </c:pt>
                <c:pt idx="696">
                  <c:v>46000</c:v>
                </c:pt>
                <c:pt idx="697">
                  <c:v>46001</c:v>
                </c:pt>
                <c:pt idx="698">
                  <c:v>46002</c:v>
                </c:pt>
                <c:pt idx="699">
                  <c:v>46003</c:v>
                </c:pt>
                <c:pt idx="700">
                  <c:v>46004</c:v>
                </c:pt>
                <c:pt idx="701">
                  <c:v>46006</c:v>
                </c:pt>
                <c:pt idx="702">
                  <c:v>46007</c:v>
                </c:pt>
                <c:pt idx="703">
                  <c:v>46008</c:v>
                </c:pt>
                <c:pt idx="704">
                  <c:v>46009</c:v>
                </c:pt>
                <c:pt idx="705">
                  <c:v>46010</c:v>
                </c:pt>
                <c:pt idx="706">
                  <c:v>46011</c:v>
                </c:pt>
                <c:pt idx="707">
                  <c:v>46012</c:v>
                </c:pt>
                <c:pt idx="708">
                  <c:v>46013</c:v>
                </c:pt>
                <c:pt idx="709">
                  <c:v>46014</c:v>
                </c:pt>
                <c:pt idx="710">
                  <c:v>46015</c:v>
                </c:pt>
                <c:pt idx="711">
                  <c:v>46016</c:v>
                </c:pt>
                <c:pt idx="712">
                  <c:v>46022</c:v>
                </c:pt>
                <c:pt idx="713">
                  <c:v>46024</c:v>
                </c:pt>
                <c:pt idx="714">
                  <c:v>46025</c:v>
                </c:pt>
                <c:pt idx="715">
                  <c:v>46026</c:v>
                </c:pt>
                <c:pt idx="716">
                  <c:v>46027</c:v>
                </c:pt>
                <c:pt idx="717">
                  <c:v>46029</c:v>
                </c:pt>
                <c:pt idx="718">
                  <c:v>46030</c:v>
                </c:pt>
                <c:pt idx="719">
                  <c:v>46031</c:v>
                </c:pt>
                <c:pt idx="720">
                  <c:v>46032</c:v>
                </c:pt>
                <c:pt idx="721">
                  <c:v>46033</c:v>
                </c:pt>
                <c:pt idx="722">
                  <c:v>46034</c:v>
                </c:pt>
                <c:pt idx="723">
                  <c:v>46039</c:v>
                </c:pt>
                <c:pt idx="724">
                  <c:v>46040</c:v>
                </c:pt>
                <c:pt idx="725">
                  <c:v>46041</c:v>
                </c:pt>
                <c:pt idx="726">
                  <c:v>46042</c:v>
                </c:pt>
                <c:pt idx="727">
                  <c:v>46044</c:v>
                </c:pt>
                <c:pt idx="728">
                  <c:v>46045</c:v>
                </c:pt>
                <c:pt idx="729">
                  <c:v>46046</c:v>
                </c:pt>
                <c:pt idx="730">
                  <c:v>46047</c:v>
                </c:pt>
                <c:pt idx="731">
                  <c:v>46054</c:v>
                </c:pt>
                <c:pt idx="732">
                  <c:v>46055</c:v>
                </c:pt>
                <c:pt idx="733">
                  <c:v>46056</c:v>
                </c:pt>
                <c:pt idx="734">
                  <c:v>46057</c:v>
                </c:pt>
                <c:pt idx="735">
                  <c:v>46058</c:v>
                </c:pt>
                <c:pt idx="736">
                  <c:v>46059</c:v>
                </c:pt>
                <c:pt idx="737">
                  <c:v>46060</c:v>
                </c:pt>
                <c:pt idx="738">
                  <c:v>46061</c:v>
                </c:pt>
                <c:pt idx="739">
                  <c:v>46062</c:v>
                </c:pt>
                <c:pt idx="740">
                  <c:v>46063</c:v>
                </c:pt>
                <c:pt idx="741">
                  <c:v>46066</c:v>
                </c:pt>
                <c:pt idx="742">
                  <c:v>46067</c:v>
                </c:pt>
                <c:pt idx="743">
                  <c:v>46068</c:v>
                </c:pt>
                <c:pt idx="744">
                  <c:v>46069</c:v>
                </c:pt>
                <c:pt idx="745">
                  <c:v>46070</c:v>
                </c:pt>
                <c:pt idx="746">
                  <c:v>46071</c:v>
                </c:pt>
                <c:pt idx="747">
                  <c:v>46072</c:v>
                </c:pt>
                <c:pt idx="748">
                  <c:v>46073</c:v>
                </c:pt>
                <c:pt idx="749">
                  <c:v>46074</c:v>
                </c:pt>
                <c:pt idx="750">
                  <c:v>46075</c:v>
                </c:pt>
                <c:pt idx="751">
                  <c:v>46076</c:v>
                </c:pt>
                <c:pt idx="752">
                  <c:v>46079</c:v>
                </c:pt>
                <c:pt idx="753">
                  <c:v>46080</c:v>
                </c:pt>
                <c:pt idx="754">
                  <c:v>46081</c:v>
                </c:pt>
                <c:pt idx="755">
                  <c:v>46082</c:v>
                </c:pt>
                <c:pt idx="756">
                  <c:v>46083</c:v>
                </c:pt>
                <c:pt idx="757">
                  <c:v>46084</c:v>
                </c:pt>
                <c:pt idx="758">
                  <c:v>46088</c:v>
                </c:pt>
                <c:pt idx="759">
                  <c:v>46089</c:v>
                </c:pt>
                <c:pt idx="760">
                  <c:v>46090</c:v>
                </c:pt>
                <c:pt idx="761">
                  <c:v>46091</c:v>
                </c:pt>
                <c:pt idx="762">
                  <c:v>46092</c:v>
                </c:pt>
                <c:pt idx="763">
                  <c:v>46093</c:v>
                </c:pt>
                <c:pt idx="764">
                  <c:v>46094</c:v>
                </c:pt>
                <c:pt idx="765">
                  <c:v>46096</c:v>
                </c:pt>
                <c:pt idx="766">
                  <c:v>46097</c:v>
                </c:pt>
                <c:pt idx="767">
                  <c:v>46101</c:v>
                </c:pt>
                <c:pt idx="768">
                  <c:v>46102</c:v>
                </c:pt>
                <c:pt idx="769">
                  <c:v>46103</c:v>
                </c:pt>
                <c:pt idx="770">
                  <c:v>46104</c:v>
                </c:pt>
                <c:pt idx="771">
                  <c:v>46116</c:v>
                </c:pt>
                <c:pt idx="772">
                  <c:v>46117</c:v>
                </c:pt>
                <c:pt idx="773">
                  <c:v>46118</c:v>
                </c:pt>
                <c:pt idx="774">
                  <c:v>46119</c:v>
                </c:pt>
                <c:pt idx="775">
                  <c:v>46120</c:v>
                </c:pt>
                <c:pt idx="776">
                  <c:v>46121</c:v>
                </c:pt>
                <c:pt idx="777">
                  <c:v>46122</c:v>
                </c:pt>
                <c:pt idx="778">
                  <c:v>46123</c:v>
                </c:pt>
                <c:pt idx="779">
                  <c:v>46124</c:v>
                </c:pt>
                <c:pt idx="780">
                  <c:v>46125</c:v>
                </c:pt>
                <c:pt idx="781">
                  <c:v>46126</c:v>
                </c:pt>
                <c:pt idx="782">
                  <c:v>46127</c:v>
                </c:pt>
                <c:pt idx="783">
                  <c:v>46128</c:v>
                </c:pt>
                <c:pt idx="784">
                  <c:v>46129</c:v>
                </c:pt>
                <c:pt idx="785">
                  <c:v>46135</c:v>
                </c:pt>
                <c:pt idx="786">
                  <c:v>46136</c:v>
                </c:pt>
                <c:pt idx="787">
                  <c:v>46137</c:v>
                </c:pt>
                <c:pt idx="788">
                  <c:v>46138</c:v>
                </c:pt>
                <c:pt idx="789">
                  <c:v>46139</c:v>
                </c:pt>
                <c:pt idx="790">
                  <c:v>46140</c:v>
                </c:pt>
                <c:pt idx="791">
                  <c:v>46141</c:v>
                </c:pt>
                <c:pt idx="792">
                  <c:v>46142</c:v>
                </c:pt>
                <c:pt idx="793">
                  <c:v>46143</c:v>
                </c:pt>
                <c:pt idx="794">
                  <c:v>46144</c:v>
                </c:pt>
                <c:pt idx="795">
                  <c:v>46147</c:v>
                </c:pt>
                <c:pt idx="796">
                  <c:v>46148</c:v>
                </c:pt>
              </c:numCache>
            </c:numRef>
          </c:cat>
          <c:val>
            <c:numRef>
              <c:f>Pesos_R!$Z$2:$Z$798</c:f>
              <c:numCache>
                <c:formatCode>_(* #,##0.00_);_(* \(#,##0.00\);_(* "-"??_);_(@_)</c:formatCode>
                <c:ptCount val="797"/>
                <c:pt idx="0">
                  <c:v>93.95</c:v>
                </c:pt>
                <c:pt idx="1">
                  <c:v>94</c:v>
                </c:pt>
                <c:pt idx="2">
                  <c:v>92.7</c:v>
                </c:pt>
                <c:pt idx="3">
                  <c:v>93.2</c:v>
                </c:pt>
                <c:pt idx="4">
                  <c:v>93.05</c:v>
                </c:pt>
                <c:pt idx="5">
                  <c:v>93.45</c:v>
                </c:pt>
                <c:pt idx="6">
                  <c:v>93.44285714285715</c:v>
                </c:pt>
                <c:pt idx="7">
                  <c:v>93.428571428571431</c:v>
                </c:pt>
                <c:pt idx="8">
                  <c:v>93.371428571428581</c:v>
                </c:pt>
                <c:pt idx="9">
                  <c:v>93.507142857142853</c:v>
                </c:pt>
                <c:pt idx="10">
                  <c:v>93.671428571428578</c:v>
                </c:pt>
                <c:pt idx="11">
                  <c:v>93.821428571428569</c:v>
                </c:pt>
                <c:pt idx="12">
                  <c:v>93.928571428571445</c:v>
                </c:pt>
                <c:pt idx="13">
                  <c:v>93.864285714285728</c:v>
                </c:pt>
                <c:pt idx="14">
                  <c:v>93.850000000000009</c:v>
                </c:pt>
                <c:pt idx="15">
                  <c:v>93.828571428571436</c:v>
                </c:pt>
                <c:pt idx="16">
                  <c:v>93.842857142857142</c:v>
                </c:pt>
                <c:pt idx="17">
                  <c:v>93.79285714285713</c:v>
                </c:pt>
                <c:pt idx="18">
                  <c:v>93.778571428571439</c:v>
                </c:pt>
                <c:pt idx="19">
                  <c:v>93.649999999999991</c:v>
                </c:pt>
                <c:pt idx="20">
                  <c:v>93.600000000000009</c:v>
                </c:pt>
                <c:pt idx="21">
                  <c:v>93.528571428571439</c:v>
                </c:pt>
                <c:pt idx="22">
                  <c:v>93.642857142857139</c:v>
                </c:pt>
                <c:pt idx="23">
                  <c:v>93.564285714285717</c:v>
                </c:pt>
                <c:pt idx="24">
                  <c:v>93.471428571428575</c:v>
                </c:pt>
                <c:pt idx="25">
                  <c:v>93.442857142857136</c:v>
                </c:pt>
                <c:pt idx="26">
                  <c:v>93.428571428571431</c:v>
                </c:pt>
                <c:pt idx="27">
                  <c:v>93.392857142857139</c:v>
                </c:pt>
                <c:pt idx="28">
                  <c:v>93.421428571428578</c:v>
                </c:pt>
                <c:pt idx="29">
                  <c:v>93.392857142857139</c:v>
                </c:pt>
                <c:pt idx="30">
                  <c:v>93.521428571428572</c:v>
                </c:pt>
                <c:pt idx="31">
                  <c:v>93.592857142857142</c:v>
                </c:pt>
                <c:pt idx="32">
                  <c:v>93.578571428571436</c:v>
                </c:pt>
                <c:pt idx="33">
                  <c:v>93.585714285714289</c:v>
                </c:pt>
                <c:pt idx="34">
                  <c:v>93.571428571428584</c:v>
                </c:pt>
                <c:pt idx="35">
                  <c:v>93.264285714285705</c:v>
                </c:pt>
                <c:pt idx="36">
                  <c:v>92.921428571428564</c:v>
                </c:pt>
                <c:pt idx="37">
                  <c:v>92.607142857142861</c:v>
                </c:pt>
                <c:pt idx="38">
                  <c:v>92.378571428571419</c:v>
                </c:pt>
                <c:pt idx="39">
                  <c:v>92.171428571428564</c:v>
                </c:pt>
                <c:pt idx="40">
                  <c:v>92.028571428571425</c:v>
                </c:pt>
                <c:pt idx="41">
                  <c:v>91.964285714285708</c:v>
                </c:pt>
                <c:pt idx="42">
                  <c:v>91.985714285714295</c:v>
                </c:pt>
                <c:pt idx="43">
                  <c:v>91.871428571428581</c:v>
                </c:pt>
                <c:pt idx="44">
                  <c:v>91.85</c:v>
                </c:pt>
                <c:pt idx="45">
                  <c:v>91.707142857142841</c:v>
                </c:pt>
                <c:pt idx="46">
                  <c:v>91.542857142857159</c:v>
                </c:pt>
                <c:pt idx="47">
                  <c:v>91.364285714285728</c:v>
                </c:pt>
                <c:pt idx="48">
                  <c:v>91.228571428571428</c:v>
                </c:pt>
                <c:pt idx="49">
                  <c:v>91.15</c:v>
                </c:pt>
                <c:pt idx="50">
                  <c:v>91.200000000000017</c:v>
                </c:pt>
                <c:pt idx="51">
                  <c:v>91.15</c:v>
                </c:pt>
                <c:pt idx="52">
                  <c:v>91.107142857142875</c:v>
                </c:pt>
                <c:pt idx="53">
                  <c:v>91.164285714285725</c:v>
                </c:pt>
                <c:pt idx="54">
                  <c:v>91.235714285714295</c:v>
                </c:pt>
                <c:pt idx="55">
                  <c:v>91.26428571428572</c:v>
                </c:pt>
                <c:pt idx="56">
                  <c:v>91.328571428571436</c:v>
                </c:pt>
                <c:pt idx="57">
                  <c:v>91.4</c:v>
                </c:pt>
                <c:pt idx="58">
                  <c:v>91.321428571428584</c:v>
                </c:pt>
                <c:pt idx="59">
                  <c:v>91.35</c:v>
                </c:pt>
                <c:pt idx="60">
                  <c:v>91.407142857142844</c:v>
                </c:pt>
                <c:pt idx="61">
                  <c:v>91.364285714285714</c:v>
                </c:pt>
                <c:pt idx="62">
                  <c:v>91.335714285714289</c:v>
                </c:pt>
                <c:pt idx="63">
                  <c:v>91.271428571428572</c:v>
                </c:pt>
                <c:pt idx="64">
                  <c:v>91.142857142857125</c:v>
                </c:pt>
                <c:pt idx="65">
                  <c:v>91.1</c:v>
                </c:pt>
                <c:pt idx="66">
                  <c:v>91.19285714285715</c:v>
                </c:pt>
                <c:pt idx="67">
                  <c:v>91.121428571428581</c:v>
                </c:pt>
                <c:pt idx="68">
                  <c:v>91.078571428571436</c:v>
                </c:pt>
                <c:pt idx="69">
                  <c:v>90.95714285714287</c:v>
                </c:pt>
                <c:pt idx="70">
                  <c:v>90.95</c:v>
                </c:pt>
                <c:pt idx="71">
                  <c:v>91.021428571428572</c:v>
                </c:pt>
                <c:pt idx="72">
                  <c:v>91.042857142857159</c:v>
                </c:pt>
                <c:pt idx="73">
                  <c:v>90.928571428571431</c:v>
                </c:pt>
                <c:pt idx="74">
                  <c:v>90.9</c:v>
                </c:pt>
                <c:pt idx="75">
                  <c:v>90.878571428571419</c:v>
                </c:pt>
                <c:pt idx="76">
                  <c:v>90.871428571428552</c:v>
                </c:pt>
                <c:pt idx="77">
                  <c:v>90.778571428571439</c:v>
                </c:pt>
                <c:pt idx="78">
                  <c:v>90.642857142857139</c:v>
                </c:pt>
                <c:pt idx="79">
                  <c:v>90.621428571428552</c:v>
                </c:pt>
                <c:pt idx="80">
                  <c:v>90.564285714285703</c:v>
                </c:pt>
                <c:pt idx="81">
                  <c:v>90.5</c:v>
                </c:pt>
                <c:pt idx="82">
                  <c:v>90.471428571428561</c:v>
                </c:pt>
                <c:pt idx="83">
                  <c:v>90.535714285714292</c:v>
                </c:pt>
                <c:pt idx="84">
                  <c:v>90.621428571428552</c:v>
                </c:pt>
                <c:pt idx="85">
                  <c:v>90.714285714285708</c:v>
                </c:pt>
                <c:pt idx="86">
                  <c:v>90.721428571428575</c:v>
                </c:pt>
                <c:pt idx="87">
                  <c:v>90.700000000000017</c:v>
                </c:pt>
                <c:pt idx="88">
                  <c:v>90.635714285714286</c:v>
                </c:pt>
                <c:pt idx="89">
                  <c:v>90.642857142857139</c:v>
                </c:pt>
                <c:pt idx="90">
                  <c:v>90.571428571428569</c:v>
                </c:pt>
                <c:pt idx="91">
                  <c:v>90.407142857142858</c:v>
                </c:pt>
                <c:pt idx="92">
                  <c:v>90.171428571428578</c:v>
                </c:pt>
                <c:pt idx="93">
                  <c:v>90.185714285714297</c:v>
                </c:pt>
                <c:pt idx="94">
                  <c:v>90.228571428571428</c:v>
                </c:pt>
                <c:pt idx="95">
                  <c:v>90.228571428571414</c:v>
                </c:pt>
                <c:pt idx="96">
                  <c:v>90.19285714285715</c:v>
                </c:pt>
                <c:pt idx="97">
                  <c:v>90.19285714285715</c:v>
                </c:pt>
                <c:pt idx="98">
                  <c:v>90.164285714285725</c:v>
                </c:pt>
                <c:pt idx="99">
                  <c:v>90.292857142857159</c:v>
                </c:pt>
                <c:pt idx="100">
                  <c:v>90.321428571428555</c:v>
                </c:pt>
                <c:pt idx="101">
                  <c:v>90.364285714285714</c:v>
                </c:pt>
                <c:pt idx="102">
                  <c:v>90.378571428571419</c:v>
                </c:pt>
                <c:pt idx="103">
                  <c:v>90.257142857142867</c:v>
                </c:pt>
                <c:pt idx="104">
                  <c:v>90.20714285714287</c:v>
                </c:pt>
                <c:pt idx="105">
                  <c:v>90.19285714285715</c:v>
                </c:pt>
                <c:pt idx="106">
                  <c:v>90.164285714285711</c:v>
                </c:pt>
                <c:pt idx="107">
                  <c:v>90.149999999999991</c:v>
                </c:pt>
                <c:pt idx="108">
                  <c:v>90.142857142857139</c:v>
                </c:pt>
                <c:pt idx="109">
                  <c:v>90.157142857142858</c:v>
                </c:pt>
                <c:pt idx="110">
                  <c:v>90.242857142857147</c:v>
                </c:pt>
                <c:pt idx="111">
                  <c:v>90.30714285714285</c:v>
                </c:pt>
                <c:pt idx="112">
                  <c:v>90.478571428571428</c:v>
                </c:pt>
                <c:pt idx="113">
                  <c:v>90.5</c:v>
                </c:pt>
                <c:pt idx="114">
                  <c:v>90.4</c:v>
                </c:pt>
                <c:pt idx="115">
                  <c:v>90.285714285714292</c:v>
                </c:pt>
                <c:pt idx="116">
                  <c:v>90.26428571428572</c:v>
                </c:pt>
                <c:pt idx="117">
                  <c:v>90.299999999999983</c:v>
                </c:pt>
                <c:pt idx="118">
                  <c:v>90.314285714285717</c:v>
                </c:pt>
                <c:pt idx="119">
                  <c:v>90.321428571428584</c:v>
                </c:pt>
                <c:pt idx="120">
                  <c:v>90.371428571428552</c:v>
                </c:pt>
                <c:pt idx="121">
                  <c:v>90.464285714285694</c:v>
                </c:pt>
                <c:pt idx="122">
                  <c:v>90.421428571428564</c:v>
                </c:pt>
                <c:pt idx="123">
                  <c:v>90.342857142857142</c:v>
                </c:pt>
                <c:pt idx="124">
                  <c:v>90.335714285714275</c:v>
                </c:pt>
                <c:pt idx="125">
                  <c:v>90.242857142857133</c:v>
                </c:pt>
                <c:pt idx="126">
                  <c:v>90.135714285714286</c:v>
                </c:pt>
                <c:pt idx="127">
                  <c:v>90.185714285714283</c:v>
                </c:pt>
                <c:pt idx="128">
                  <c:v>90.135714285714272</c:v>
                </c:pt>
                <c:pt idx="129">
                  <c:v>90.178571428571431</c:v>
                </c:pt>
                <c:pt idx="130">
                  <c:v>90.071428571428569</c:v>
                </c:pt>
                <c:pt idx="131">
                  <c:v>89.921428571428564</c:v>
                </c:pt>
                <c:pt idx="132">
                  <c:v>89.892857142857139</c:v>
                </c:pt>
                <c:pt idx="133">
                  <c:v>89.94285714285715</c:v>
                </c:pt>
                <c:pt idx="134">
                  <c:v>89.742857142857147</c:v>
                </c:pt>
                <c:pt idx="135">
                  <c:v>89.607142857142861</c:v>
                </c:pt>
                <c:pt idx="136">
                  <c:v>89.457142857142841</c:v>
                </c:pt>
                <c:pt idx="137">
                  <c:v>89.621428571428581</c:v>
                </c:pt>
                <c:pt idx="138">
                  <c:v>89.75</c:v>
                </c:pt>
                <c:pt idx="139">
                  <c:v>89.80714285714285</c:v>
                </c:pt>
                <c:pt idx="140">
                  <c:v>89.685714285714297</c:v>
                </c:pt>
                <c:pt idx="141">
                  <c:v>89.614285714285728</c:v>
                </c:pt>
                <c:pt idx="142">
                  <c:v>89.635714285714286</c:v>
                </c:pt>
                <c:pt idx="143">
                  <c:v>89.70714285714287</c:v>
                </c:pt>
                <c:pt idx="144">
                  <c:v>89.628571428571419</c:v>
                </c:pt>
                <c:pt idx="145">
                  <c:v>89.55</c:v>
                </c:pt>
                <c:pt idx="146">
                  <c:v>89.571428571428569</c:v>
                </c:pt>
                <c:pt idx="147">
                  <c:v>89.75</c:v>
                </c:pt>
                <c:pt idx="148">
                  <c:v>89.899999999999991</c:v>
                </c:pt>
                <c:pt idx="149">
                  <c:v>90.007142857142853</c:v>
                </c:pt>
                <c:pt idx="150">
                  <c:v>90.178571428571431</c:v>
                </c:pt>
                <c:pt idx="151">
                  <c:v>90.328571428571436</c:v>
                </c:pt>
                <c:pt idx="152">
                  <c:v>90.471428571428575</c:v>
                </c:pt>
                <c:pt idx="153">
                  <c:v>90.564285714285703</c:v>
                </c:pt>
                <c:pt idx="154">
                  <c:v>90.507142857142853</c:v>
                </c:pt>
                <c:pt idx="155">
                  <c:v>90.45714285714287</c:v>
                </c:pt>
                <c:pt idx="156">
                  <c:v>90.407142857142858</c:v>
                </c:pt>
                <c:pt idx="157">
                  <c:v>90.3</c:v>
                </c:pt>
                <c:pt idx="158">
                  <c:v>90.228571428571428</c:v>
                </c:pt>
                <c:pt idx="159">
                  <c:v>90.221428571428561</c:v>
                </c:pt>
                <c:pt idx="160">
                  <c:v>90.128571428571419</c:v>
                </c:pt>
                <c:pt idx="161">
                  <c:v>89.957142857142841</c:v>
                </c:pt>
                <c:pt idx="162">
                  <c:v>89.892857142857139</c:v>
                </c:pt>
                <c:pt idx="163">
                  <c:v>89.907142857142858</c:v>
                </c:pt>
                <c:pt idx="164">
                  <c:v>89.864285714285714</c:v>
                </c:pt>
                <c:pt idx="165">
                  <c:v>89.771428571428558</c:v>
                </c:pt>
                <c:pt idx="166">
                  <c:v>89.542857142857159</c:v>
                </c:pt>
                <c:pt idx="167">
                  <c:v>89.385714285714286</c:v>
                </c:pt>
                <c:pt idx="168">
                  <c:v>89.399999999999991</c:v>
                </c:pt>
                <c:pt idx="169">
                  <c:v>89.407142857142844</c:v>
                </c:pt>
                <c:pt idx="170">
                  <c:v>89.26428571428572</c:v>
                </c:pt>
                <c:pt idx="171">
                  <c:v>89.314285714285703</c:v>
                </c:pt>
                <c:pt idx="172">
                  <c:v>89.342857142857142</c:v>
                </c:pt>
                <c:pt idx="173">
                  <c:v>89.335714285714275</c:v>
                </c:pt>
                <c:pt idx="174">
                  <c:v>89.214285714285708</c:v>
                </c:pt>
                <c:pt idx="175">
                  <c:v>89.114285714285714</c:v>
                </c:pt>
                <c:pt idx="176">
                  <c:v>89.078571428571422</c:v>
                </c:pt>
                <c:pt idx="177">
                  <c:v>89.107142857142847</c:v>
                </c:pt>
                <c:pt idx="178">
                  <c:v>89.035714285714292</c:v>
                </c:pt>
                <c:pt idx="179">
                  <c:v>89.04285714285713</c:v>
                </c:pt>
                <c:pt idx="180">
                  <c:v>89.142857142857139</c:v>
                </c:pt>
                <c:pt idx="181">
                  <c:v>89.2</c:v>
                </c:pt>
                <c:pt idx="182">
                  <c:v>89.285714285714292</c:v>
                </c:pt>
                <c:pt idx="183">
                  <c:v>89.307142857142864</c:v>
                </c:pt>
                <c:pt idx="184">
                  <c:v>89.278571428571439</c:v>
                </c:pt>
                <c:pt idx="185">
                  <c:v>89.157142857142844</c:v>
                </c:pt>
                <c:pt idx="186">
                  <c:v>89.064285714285703</c:v>
                </c:pt>
                <c:pt idx="187">
                  <c:v>88.98571428571428</c:v>
                </c:pt>
                <c:pt idx="188">
                  <c:v>89.114285714285714</c:v>
                </c:pt>
                <c:pt idx="189">
                  <c:v>89.149999999999991</c:v>
                </c:pt>
                <c:pt idx="190">
                  <c:v>89.04285714285713</c:v>
                </c:pt>
                <c:pt idx="191">
                  <c:v>88.892857142857139</c:v>
                </c:pt>
                <c:pt idx="192">
                  <c:v>88.728571428571414</c:v>
                </c:pt>
                <c:pt idx="193">
                  <c:v>88.578571428571436</c:v>
                </c:pt>
                <c:pt idx="194">
                  <c:v>88.44285714285715</c:v>
                </c:pt>
                <c:pt idx="195">
                  <c:v>88.278571428571439</c:v>
                </c:pt>
                <c:pt idx="196">
                  <c:v>88.307142857142864</c:v>
                </c:pt>
                <c:pt idx="197">
                  <c:v>88.285714285714292</c:v>
                </c:pt>
                <c:pt idx="198">
                  <c:v>88.342857142857156</c:v>
                </c:pt>
                <c:pt idx="199">
                  <c:v>88.371428571428581</c:v>
                </c:pt>
                <c:pt idx="200">
                  <c:v>88.421428571428578</c:v>
                </c:pt>
                <c:pt idx="201">
                  <c:v>88.521428571428572</c:v>
                </c:pt>
                <c:pt idx="202">
                  <c:v>88.55714285714285</c:v>
                </c:pt>
                <c:pt idx="203">
                  <c:v>88.257142857142867</c:v>
                </c:pt>
                <c:pt idx="204">
                  <c:v>88.128571428571419</c:v>
                </c:pt>
                <c:pt idx="205">
                  <c:v>88.028571428571439</c:v>
                </c:pt>
                <c:pt idx="206">
                  <c:v>87.935714285714297</c:v>
                </c:pt>
                <c:pt idx="207">
                  <c:v>87.757142857142867</c:v>
                </c:pt>
                <c:pt idx="208">
                  <c:v>87.7</c:v>
                </c:pt>
                <c:pt idx="209">
                  <c:v>87.614285714285714</c:v>
                </c:pt>
                <c:pt idx="210">
                  <c:v>87.685714285714297</c:v>
                </c:pt>
                <c:pt idx="211">
                  <c:v>87.75</c:v>
                </c:pt>
                <c:pt idx="212">
                  <c:v>87.907142857142858</c:v>
                </c:pt>
                <c:pt idx="213">
                  <c:v>88.014285714285734</c:v>
                </c:pt>
                <c:pt idx="214">
                  <c:v>88.228571428571442</c:v>
                </c:pt>
                <c:pt idx="215">
                  <c:v>88.321428571428555</c:v>
                </c:pt>
                <c:pt idx="216">
                  <c:v>88.342857142857127</c:v>
                </c:pt>
                <c:pt idx="217">
                  <c:v>88.342857142857142</c:v>
                </c:pt>
                <c:pt idx="218">
                  <c:v>88.335714285714289</c:v>
                </c:pt>
                <c:pt idx="219">
                  <c:v>88.23571428571428</c:v>
                </c:pt>
                <c:pt idx="220">
                  <c:v>88.271428571428586</c:v>
                </c:pt>
                <c:pt idx="221">
                  <c:v>88.20714285714287</c:v>
                </c:pt>
                <c:pt idx="222">
                  <c:v>88.050000000000026</c:v>
                </c:pt>
                <c:pt idx="223">
                  <c:v>88.185714285714283</c:v>
                </c:pt>
                <c:pt idx="224">
                  <c:v>88.164285714285711</c:v>
                </c:pt>
                <c:pt idx="225">
                  <c:v>88.135714285714286</c:v>
                </c:pt>
                <c:pt idx="226">
                  <c:v>88.157142857142844</c:v>
                </c:pt>
                <c:pt idx="227">
                  <c:v>88.214285714285694</c:v>
                </c:pt>
                <c:pt idx="228">
                  <c:v>88.19285714285715</c:v>
                </c:pt>
                <c:pt idx="229">
                  <c:v>88.371428571428581</c:v>
                </c:pt>
                <c:pt idx="230">
                  <c:v>88.292857142857159</c:v>
                </c:pt>
                <c:pt idx="231">
                  <c:v>88.328571428571436</c:v>
                </c:pt>
                <c:pt idx="232">
                  <c:v>88.357142857142861</c:v>
                </c:pt>
                <c:pt idx="233">
                  <c:v>88.30714285714285</c:v>
                </c:pt>
                <c:pt idx="234">
                  <c:v>88.328571428571436</c:v>
                </c:pt>
                <c:pt idx="235">
                  <c:v>88.492857142857147</c:v>
                </c:pt>
                <c:pt idx="236">
                  <c:v>88.521428571428572</c:v>
                </c:pt>
                <c:pt idx="237">
                  <c:v>88.592857142857142</c:v>
                </c:pt>
                <c:pt idx="238">
                  <c:v>88.764285714285705</c:v>
                </c:pt>
                <c:pt idx="239">
                  <c:v>88.878571428571448</c:v>
                </c:pt>
                <c:pt idx="240">
                  <c:v>89.028571428571439</c:v>
                </c:pt>
                <c:pt idx="241">
                  <c:v>89.085714285714289</c:v>
                </c:pt>
                <c:pt idx="242">
                  <c:v>88.992857142857147</c:v>
                </c:pt>
                <c:pt idx="243">
                  <c:v>88.821428571428569</c:v>
                </c:pt>
                <c:pt idx="244">
                  <c:v>88.735714285714295</c:v>
                </c:pt>
                <c:pt idx="245">
                  <c:v>88.70714285714287</c:v>
                </c:pt>
                <c:pt idx="246">
                  <c:v>88.792857142857159</c:v>
                </c:pt>
                <c:pt idx="247">
                  <c:v>88.649999999999991</c:v>
                </c:pt>
                <c:pt idx="248">
                  <c:v>88.707142857142841</c:v>
                </c:pt>
                <c:pt idx="249">
                  <c:v>88.8</c:v>
                </c:pt>
                <c:pt idx="250">
                  <c:v>88.842857142857156</c:v>
                </c:pt>
                <c:pt idx="251">
                  <c:v>88.757142857142867</c:v>
                </c:pt>
                <c:pt idx="252">
                  <c:v>88.600000000000009</c:v>
                </c:pt>
                <c:pt idx="253">
                  <c:v>88.414285714285711</c:v>
                </c:pt>
                <c:pt idx="254">
                  <c:v>88.414285714285711</c:v>
                </c:pt>
                <c:pt idx="255">
                  <c:v>88.278571428571439</c:v>
                </c:pt>
                <c:pt idx="256">
                  <c:v>88.19285714285715</c:v>
                </c:pt>
                <c:pt idx="257">
                  <c:v>88.107142857142861</c:v>
                </c:pt>
                <c:pt idx="258">
                  <c:v>88.078571428571422</c:v>
                </c:pt>
                <c:pt idx="259">
                  <c:v>88.071428571428555</c:v>
                </c:pt>
                <c:pt idx="260">
                  <c:v>88.171428571428564</c:v>
                </c:pt>
                <c:pt idx="261">
                  <c:v>88.214285714285694</c:v>
                </c:pt>
                <c:pt idx="262">
                  <c:v>88.242857142857133</c:v>
                </c:pt>
                <c:pt idx="263">
                  <c:v>88.185714285714297</c:v>
                </c:pt>
                <c:pt idx="264">
                  <c:v>88.29285714285713</c:v>
                </c:pt>
                <c:pt idx="265">
                  <c:v>88.45</c:v>
                </c:pt>
                <c:pt idx="266">
                  <c:v>88.528571428571439</c:v>
                </c:pt>
                <c:pt idx="267">
                  <c:v>88.5</c:v>
                </c:pt>
                <c:pt idx="268">
                  <c:v>88.385714285714286</c:v>
                </c:pt>
                <c:pt idx="269">
                  <c:v>88.25</c:v>
                </c:pt>
                <c:pt idx="270">
                  <c:v>88.30714285714285</c:v>
                </c:pt>
                <c:pt idx="271">
                  <c:v>88.221428571428561</c:v>
                </c:pt>
                <c:pt idx="272">
                  <c:v>88.2</c:v>
                </c:pt>
                <c:pt idx="273">
                  <c:v>88.242857142857133</c:v>
                </c:pt>
                <c:pt idx="274">
                  <c:v>88.285714285714292</c:v>
                </c:pt>
                <c:pt idx="275">
                  <c:v>88.399999999999991</c:v>
                </c:pt>
                <c:pt idx="276">
                  <c:v>88.421428571428564</c:v>
                </c:pt>
                <c:pt idx="277">
                  <c:v>88.299999999999983</c:v>
                </c:pt>
                <c:pt idx="278">
                  <c:v>88.29285714285713</c:v>
                </c:pt>
                <c:pt idx="279">
                  <c:v>88.314285714285717</c:v>
                </c:pt>
                <c:pt idx="280">
                  <c:v>88.407142857142844</c:v>
                </c:pt>
                <c:pt idx="281">
                  <c:v>88.357142857142861</c:v>
                </c:pt>
                <c:pt idx="282">
                  <c:v>88.271428571428586</c:v>
                </c:pt>
                <c:pt idx="283">
                  <c:v>88.285714285714306</c:v>
                </c:pt>
                <c:pt idx="284">
                  <c:v>88.278571428571425</c:v>
                </c:pt>
                <c:pt idx="285">
                  <c:v>88.214285714285694</c:v>
                </c:pt>
                <c:pt idx="286">
                  <c:v>88.092857142857127</c:v>
                </c:pt>
                <c:pt idx="287">
                  <c:v>87.921428571428578</c:v>
                </c:pt>
                <c:pt idx="288">
                  <c:v>87.935714285714297</c:v>
                </c:pt>
                <c:pt idx="289">
                  <c:v>88.035714285714292</c:v>
                </c:pt>
                <c:pt idx="290">
                  <c:v>88.042857142857159</c:v>
                </c:pt>
                <c:pt idx="291">
                  <c:v>88.135714285714272</c:v>
                </c:pt>
                <c:pt idx="292">
                  <c:v>88.35</c:v>
                </c:pt>
                <c:pt idx="293">
                  <c:v>88.385714285714272</c:v>
                </c:pt>
                <c:pt idx="294">
                  <c:v>88.435714285714297</c:v>
                </c:pt>
                <c:pt idx="295">
                  <c:v>88.371428571428595</c:v>
                </c:pt>
                <c:pt idx="296">
                  <c:v>88.3</c:v>
                </c:pt>
                <c:pt idx="297">
                  <c:v>88.321428571428569</c:v>
                </c:pt>
                <c:pt idx="298">
                  <c:v>88.278571428571425</c:v>
                </c:pt>
                <c:pt idx="299">
                  <c:v>88.1</c:v>
                </c:pt>
                <c:pt idx="300">
                  <c:v>88.04285714285713</c:v>
                </c:pt>
                <c:pt idx="301">
                  <c:v>87.971428571428561</c:v>
                </c:pt>
                <c:pt idx="302">
                  <c:v>87.935714285714283</c:v>
                </c:pt>
                <c:pt idx="303">
                  <c:v>88.021428571428572</c:v>
                </c:pt>
                <c:pt idx="304">
                  <c:v>88.049999999999983</c:v>
                </c:pt>
                <c:pt idx="305">
                  <c:v>88.078571428571422</c:v>
                </c:pt>
                <c:pt idx="306">
                  <c:v>88.178571428571431</c:v>
                </c:pt>
                <c:pt idx="307">
                  <c:v>88.149999999999991</c:v>
                </c:pt>
                <c:pt idx="308">
                  <c:v>88.128571428571419</c:v>
                </c:pt>
                <c:pt idx="309">
                  <c:v>88.19285714285715</c:v>
                </c:pt>
                <c:pt idx="310">
                  <c:v>88.285714285714292</c:v>
                </c:pt>
                <c:pt idx="311">
                  <c:v>88.364285714285714</c:v>
                </c:pt>
                <c:pt idx="312">
                  <c:v>88.385714285714286</c:v>
                </c:pt>
                <c:pt idx="313">
                  <c:v>88.335714285714289</c:v>
                </c:pt>
                <c:pt idx="314">
                  <c:v>88.278571428571425</c:v>
                </c:pt>
                <c:pt idx="315">
                  <c:v>88.328571428571422</c:v>
                </c:pt>
                <c:pt idx="316">
                  <c:v>88.364285714285714</c:v>
                </c:pt>
                <c:pt idx="317">
                  <c:v>88.271428571428572</c:v>
                </c:pt>
                <c:pt idx="318">
                  <c:v>88.207142857142841</c:v>
                </c:pt>
                <c:pt idx="319">
                  <c:v>88.428571428571431</c:v>
                </c:pt>
                <c:pt idx="320">
                  <c:v>88.535714285714292</c:v>
                </c:pt>
                <c:pt idx="321">
                  <c:v>88.842857142857142</c:v>
                </c:pt>
                <c:pt idx="322">
                  <c:v>88.935714285714269</c:v>
                </c:pt>
                <c:pt idx="323">
                  <c:v>88.971428571428575</c:v>
                </c:pt>
                <c:pt idx="324">
                  <c:v>88.978571428571428</c:v>
                </c:pt>
                <c:pt idx="325">
                  <c:v>88.914285714285711</c:v>
                </c:pt>
                <c:pt idx="326">
                  <c:v>88.69285714285715</c:v>
                </c:pt>
                <c:pt idx="327">
                  <c:v>88.614285714285728</c:v>
                </c:pt>
                <c:pt idx="328">
                  <c:v>88.528571428571439</c:v>
                </c:pt>
                <c:pt idx="329">
                  <c:v>88.5</c:v>
                </c:pt>
                <c:pt idx="330">
                  <c:v>88.478571428571414</c:v>
                </c:pt>
                <c:pt idx="331">
                  <c:v>88.342857142857142</c:v>
                </c:pt>
                <c:pt idx="332">
                  <c:v>88.257142857142853</c:v>
                </c:pt>
                <c:pt idx="333">
                  <c:v>88.207142857142841</c:v>
                </c:pt>
                <c:pt idx="334">
                  <c:v>88.20714285714287</c:v>
                </c:pt>
                <c:pt idx="335">
                  <c:v>88.19285714285715</c:v>
                </c:pt>
                <c:pt idx="336">
                  <c:v>88.149999999999991</c:v>
                </c:pt>
                <c:pt idx="337">
                  <c:v>88.214285714285708</c:v>
                </c:pt>
                <c:pt idx="338">
                  <c:v>88.378571428571448</c:v>
                </c:pt>
                <c:pt idx="339">
                  <c:v>88.6</c:v>
                </c:pt>
                <c:pt idx="340">
                  <c:v>88.69285714285715</c:v>
                </c:pt>
                <c:pt idx="341">
                  <c:v>88.621428571428581</c:v>
                </c:pt>
                <c:pt idx="342">
                  <c:v>88.478571428571428</c:v>
                </c:pt>
                <c:pt idx="343">
                  <c:v>88.564285714285717</c:v>
                </c:pt>
                <c:pt idx="344">
                  <c:v>88.535714285714292</c:v>
                </c:pt>
                <c:pt idx="345">
                  <c:v>88.407142857142844</c:v>
                </c:pt>
                <c:pt idx="346">
                  <c:v>88.171428571428578</c:v>
                </c:pt>
                <c:pt idx="347">
                  <c:v>87.964285714285708</c:v>
                </c:pt>
                <c:pt idx="348">
                  <c:v>87.814285714285703</c:v>
                </c:pt>
                <c:pt idx="349">
                  <c:v>87.699999999999974</c:v>
                </c:pt>
                <c:pt idx="350">
                  <c:v>87.392857142857139</c:v>
                </c:pt>
                <c:pt idx="351">
                  <c:v>87.057142857142864</c:v>
                </c:pt>
                <c:pt idx="352">
                  <c:v>86.871428571428581</c:v>
                </c:pt>
                <c:pt idx="353">
                  <c:v>86.771428571428572</c:v>
                </c:pt>
                <c:pt idx="354">
                  <c:v>86.69285714285715</c:v>
                </c:pt>
                <c:pt idx="355">
                  <c:v>86.642857142857139</c:v>
                </c:pt>
                <c:pt idx="356">
                  <c:v>86.507142857142867</c:v>
                </c:pt>
                <c:pt idx="357">
                  <c:v>86.5</c:v>
                </c:pt>
                <c:pt idx="358">
                  <c:v>86.471428571428575</c:v>
                </c:pt>
                <c:pt idx="359">
                  <c:v>86.435714285714283</c:v>
                </c:pt>
                <c:pt idx="360">
                  <c:v>86.45</c:v>
                </c:pt>
                <c:pt idx="361">
                  <c:v>86.478571428571428</c:v>
                </c:pt>
                <c:pt idx="362">
                  <c:v>86.485714285714295</c:v>
                </c:pt>
                <c:pt idx="363">
                  <c:v>86.721428571428561</c:v>
                </c:pt>
                <c:pt idx="364">
                  <c:v>86.764285714285705</c:v>
                </c:pt>
                <c:pt idx="365">
                  <c:v>86.799999999999983</c:v>
                </c:pt>
                <c:pt idx="366">
                  <c:v>86.75</c:v>
                </c:pt>
                <c:pt idx="367">
                  <c:v>86.685714285714283</c:v>
                </c:pt>
                <c:pt idx="368">
                  <c:v>86.621428571428581</c:v>
                </c:pt>
                <c:pt idx="369">
                  <c:v>86.571428571428569</c:v>
                </c:pt>
                <c:pt idx="370">
                  <c:v>86.335714285714289</c:v>
                </c:pt>
                <c:pt idx="371">
                  <c:v>86.164285714285711</c:v>
                </c:pt>
                <c:pt idx="372">
                  <c:v>86.05714285714285</c:v>
                </c:pt>
                <c:pt idx="373">
                  <c:v>86.007142857142867</c:v>
                </c:pt>
                <c:pt idx="374">
                  <c:v>85.857142857142861</c:v>
                </c:pt>
                <c:pt idx="375">
                  <c:v>85.714285714285708</c:v>
                </c:pt>
                <c:pt idx="376">
                  <c:v>85.521428571428572</c:v>
                </c:pt>
                <c:pt idx="377">
                  <c:v>85.428571428571431</c:v>
                </c:pt>
                <c:pt idx="378">
                  <c:v>85.392857142857139</c:v>
                </c:pt>
                <c:pt idx="379">
                  <c:v>85.278571428571439</c:v>
                </c:pt>
                <c:pt idx="380">
                  <c:v>85.392857142857139</c:v>
                </c:pt>
                <c:pt idx="381">
                  <c:v>85.45</c:v>
                </c:pt>
                <c:pt idx="382">
                  <c:v>85.371428571428581</c:v>
                </c:pt>
                <c:pt idx="383">
                  <c:v>85.364285714285728</c:v>
                </c:pt>
                <c:pt idx="384">
                  <c:v>85.335714285714275</c:v>
                </c:pt>
                <c:pt idx="385">
                  <c:v>85.19285714285715</c:v>
                </c:pt>
                <c:pt idx="386">
                  <c:v>85.228571428571428</c:v>
                </c:pt>
                <c:pt idx="387">
                  <c:v>85.314285714285717</c:v>
                </c:pt>
                <c:pt idx="388">
                  <c:v>85.435714285714283</c:v>
                </c:pt>
                <c:pt idx="389">
                  <c:v>85.621428571428581</c:v>
                </c:pt>
                <c:pt idx="390">
                  <c:v>85.778571428571439</c:v>
                </c:pt>
                <c:pt idx="391">
                  <c:v>85.9</c:v>
                </c:pt>
                <c:pt idx="392">
                  <c:v>86.242857142857147</c:v>
                </c:pt>
                <c:pt idx="393">
                  <c:v>86.4</c:v>
                </c:pt>
                <c:pt idx="394">
                  <c:v>86.25</c:v>
                </c:pt>
                <c:pt idx="395">
                  <c:v>86.164285714285711</c:v>
                </c:pt>
                <c:pt idx="396">
                  <c:v>86.142857142857139</c:v>
                </c:pt>
                <c:pt idx="397">
                  <c:v>86.142857142857139</c:v>
                </c:pt>
                <c:pt idx="398">
                  <c:v>86.1</c:v>
                </c:pt>
                <c:pt idx="399">
                  <c:v>85.928571428571431</c:v>
                </c:pt>
                <c:pt idx="400">
                  <c:v>85.814285714285717</c:v>
                </c:pt>
                <c:pt idx="401">
                  <c:v>85.757142857142853</c:v>
                </c:pt>
                <c:pt idx="402">
                  <c:v>85.657142857142844</c:v>
                </c:pt>
                <c:pt idx="403">
                  <c:v>85.535714285714292</c:v>
                </c:pt>
                <c:pt idx="404">
                  <c:v>85.464285714285737</c:v>
                </c:pt>
                <c:pt idx="405">
                  <c:v>85.407142857142858</c:v>
                </c:pt>
                <c:pt idx="406">
                  <c:v>85.26428571428572</c:v>
                </c:pt>
                <c:pt idx="407">
                  <c:v>85.185714285714297</c:v>
                </c:pt>
                <c:pt idx="408">
                  <c:v>85.3</c:v>
                </c:pt>
                <c:pt idx="409">
                  <c:v>85.35</c:v>
                </c:pt>
                <c:pt idx="410">
                  <c:v>85.342857142857142</c:v>
                </c:pt>
                <c:pt idx="411">
                  <c:v>85.642857142857153</c:v>
                </c:pt>
                <c:pt idx="412">
                  <c:v>85.871428571428552</c:v>
                </c:pt>
                <c:pt idx="413">
                  <c:v>86.035714285714292</c:v>
                </c:pt>
                <c:pt idx="414">
                  <c:v>86.107142857142861</c:v>
                </c:pt>
                <c:pt idx="415">
                  <c:v>86.035714285714306</c:v>
                </c:pt>
                <c:pt idx="416">
                  <c:v>86.214285714285694</c:v>
                </c:pt>
                <c:pt idx="417">
                  <c:v>86.464285714285708</c:v>
                </c:pt>
                <c:pt idx="418">
                  <c:v>86.242857142857147</c:v>
                </c:pt>
                <c:pt idx="419">
                  <c:v>86.078571428571436</c:v>
                </c:pt>
                <c:pt idx="420">
                  <c:v>86.064285714285717</c:v>
                </c:pt>
                <c:pt idx="421">
                  <c:v>86.107142857142861</c:v>
                </c:pt>
                <c:pt idx="422">
                  <c:v>86.100000000000009</c:v>
                </c:pt>
                <c:pt idx="423">
                  <c:v>86.092857142857156</c:v>
                </c:pt>
                <c:pt idx="424">
                  <c:v>85.892857142857139</c:v>
                </c:pt>
                <c:pt idx="425">
                  <c:v>85.971428571428561</c:v>
                </c:pt>
                <c:pt idx="426">
                  <c:v>86.042857142857159</c:v>
                </c:pt>
                <c:pt idx="427">
                  <c:v>86.05714285714285</c:v>
                </c:pt>
                <c:pt idx="428">
                  <c:v>86</c:v>
                </c:pt>
                <c:pt idx="429">
                  <c:v>85.992857142857133</c:v>
                </c:pt>
                <c:pt idx="430">
                  <c:v>86.128571428571419</c:v>
                </c:pt>
                <c:pt idx="431">
                  <c:v>86.292857142857159</c:v>
                </c:pt>
                <c:pt idx="432">
                  <c:v>86.292857142857159</c:v>
                </c:pt>
                <c:pt idx="433">
                  <c:v>86.307142857142864</c:v>
                </c:pt>
                <c:pt idx="434">
                  <c:v>86.29285714285713</c:v>
                </c:pt>
                <c:pt idx="435">
                  <c:v>86.442857142857136</c:v>
                </c:pt>
                <c:pt idx="436">
                  <c:v>86.55714285714285</c:v>
                </c:pt>
                <c:pt idx="437">
                  <c:v>86.364285714285728</c:v>
                </c:pt>
                <c:pt idx="438">
                  <c:v>86.25</c:v>
                </c:pt>
                <c:pt idx="439">
                  <c:v>86.228571428571414</c:v>
                </c:pt>
                <c:pt idx="440">
                  <c:v>86.185714285714283</c:v>
                </c:pt>
                <c:pt idx="441">
                  <c:v>86.228571428571428</c:v>
                </c:pt>
                <c:pt idx="442">
                  <c:v>86.200000000000017</c:v>
                </c:pt>
                <c:pt idx="443">
                  <c:v>86.142857142857153</c:v>
                </c:pt>
                <c:pt idx="444">
                  <c:v>86.028571428571439</c:v>
                </c:pt>
                <c:pt idx="445">
                  <c:v>85.95</c:v>
                </c:pt>
                <c:pt idx="446">
                  <c:v>85.778571428571439</c:v>
                </c:pt>
                <c:pt idx="447">
                  <c:v>85.70714285714287</c:v>
                </c:pt>
                <c:pt idx="448">
                  <c:v>85.721428571428575</c:v>
                </c:pt>
                <c:pt idx="449">
                  <c:v>85.600000000000009</c:v>
                </c:pt>
                <c:pt idx="450">
                  <c:v>85.442857142857136</c:v>
                </c:pt>
                <c:pt idx="451">
                  <c:v>85.364285714285714</c:v>
                </c:pt>
                <c:pt idx="452">
                  <c:v>85.29285714285713</c:v>
                </c:pt>
                <c:pt idx="453">
                  <c:v>85.242857142857147</c:v>
                </c:pt>
                <c:pt idx="454">
                  <c:v>85.107142857142875</c:v>
                </c:pt>
                <c:pt idx="455">
                  <c:v>84.835714285714275</c:v>
                </c:pt>
                <c:pt idx="456">
                  <c:v>84.80714285714285</c:v>
                </c:pt>
                <c:pt idx="457">
                  <c:v>84.814285714285717</c:v>
                </c:pt>
                <c:pt idx="458">
                  <c:v>84.814285714285717</c:v>
                </c:pt>
                <c:pt idx="459">
                  <c:v>84.771428571428572</c:v>
                </c:pt>
                <c:pt idx="460">
                  <c:v>84.721428571428575</c:v>
                </c:pt>
                <c:pt idx="461">
                  <c:v>84.771428571428572</c:v>
                </c:pt>
                <c:pt idx="462">
                  <c:v>84.828571428571422</c:v>
                </c:pt>
                <c:pt idx="463">
                  <c:v>84.757142857142853</c:v>
                </c:pt>
                <c:pt idx="464">
                  <c:v>84.671428571428564</c:v>
                </c:pt>
                <c:pt idx="465">
                  <c:v>84.642857142857139</c:v>
                </c:pt>
                <c:pt idx="466">
                  <c:v>84.728571428571414</c:v>
                </c:pt>
                <c:pt idx="467">
                  <c:v>84.864285714285714</c:v>
                </c:pt>
                <c:pt idx="468">
                  <c:v>84.785714285714292</c:v>
                </c:pt>
                <c:pt idx="469">
                  <c:v>84.828571428571436</c:v>
                </c:pt>
                <c:pt idx="470">
                  <c:v>84.835714285714289</c:v>
                </c:pt>
                <c:pt idx="471">
                  <c:v>84.828571428571422</c:v>
                </c:pt>
                <c:pt idx="472">
                  <c:v>84.657142857142858</c:v>
                </c:pt>
                <c:pt idx="473">
                  <c:v>84.54285714285713</c:v>
                </c:pt>
                <c:pt idx="474">
                  <c:v>84.242857142857133</c:v>
                </c:pt>
                <c:pt idx="475">
                  <c:v>84.007142857142853</c:v>
                </c:pt>
                <c:pt idx="476">
                  <c:v>83.628571428571448</c:v>
                </c:pt>
                <c:pt idx="477">
                  <c:v>83.44285714285715</c:v>
                </c:pt>
                <c:pt idx="478">
                  <c:v>83.19285714285715</c:v>
                </c:pt>
                <c:pt idx="479">
                  <c:v>82.871428571428552</c:v>
                </c:pt>
                <c:pt idx="480">
                  <c:v>82.51428571428572</c:v>
                </c:pt>
                <c:pt idx="481">
                  <c:v>82.278571428571439</c:v>
                </c:pt>
                <c:pt idx="482">
                  <c:v>82.45</c:v>
                </c:pt>
                <c:pt idx="483">
                  <c:v>82.578571428571422</c:v>
                </c:pt>
                <c:pt idx="484">
                  <c:v>82.4</c:v>
                </c:pt>
                <c:pt idx="485">
                  <c:v>82.392857142857139</c:v>
                </c:pt>
                <c:pt idx="486">
                  <c:v>82.592857142857142</c:v>
                </c:pt>
                <c:pt idx="487">
                  <c:v>82.871428571428552</c:v>
                </c:pt>
                <c:pt idx="488">
                  <c:v>83.121428571428581</c:v>
                </c:pt>
                <c:pt idx="489">
                  <c:v>83.142857142857139</c:v>
                </c:pt>
                <c:pt idx="490">
                  <c:v>83.135714285714272</c:v>
                </c:pt>
                <c:pt idx="491">
                  <c:v>83.23571428571428</c:v>
                </c:pt>
                <c:pt idx="492">
                  <c:v>83.221428571428561</c:v>
                </c:pt>
                <c:pt idx="493">
                  <c:v>83.29285714285713</c:v>
                </c:pt>
                <c:pt idx="494">
                  <c:v>83.171428571428578</c:v>
                </c:pt>
                <c:pt idx="495">
                  <c:v>83.064285714285703</c:v>
                </c:pt>
                <c:pt idx="496">
                  <c:v>82.892857142857139</c:v>
                </c:pt>
                <c:pt idx="497">
                  <c:v>82.821428571428569</c:v>
                </c:pt>
                <c:pt idx="498">
                  <c:v>82.735714285714266</c:v>
                </c:pt>
                <c:pt idx="499">
                  <c:v>82.842857142857142</c:v>
                </c:pt>
                <c:pt idx="500">
                  <c:v>82.864285714285714</c:v>
                </c:pt>
                <c:pt idx="501">
                  <c:v>82.842857142857142</c:v>
                </c:pt>
                <c:pt idx="502">
                  <c:v>82.857142857142861</c:v>
                </c:pt>
                <c:pt idx="503">
                  <c:v>82.8</c:v>
                </c:pt>
                <c:pt idx="504">
                  <c:v>82.821428571428569</c:v>
                </c:pt>
                <c:pt idx="505">
                  <c:v>82.878571428571419</c:v>
                </c:pt>
                <c:pt idx="506">
                  <c:v>82.821428571428569</c:v>
                </c:pt>
                <c:pt idx="507">
                  <c:v>82.728571428571428</c:v>
                </c:pt>
                <c:pt idx="508">
                  <c:v>82.835714285714289</c:v>
                </c:pt>
                <c:pt idx="509">
                  <c:v>82.94285714285715</c:v>
                </c:pt>
                <c:pt idx="510">
                  <c:v>83.100000000000009</c:v>
                </c:pt>
                <c:pt idx="511">
                  <c:v>83.107142857142861</c:v>
                </c:pt>
                <c:pt idx="512">
                  <c:v>83.392857142857139</c:v>
                </c:pt>
                <c:pt idx="513">
                  <c:v>83.507142857142853</c:v>
                </c:pt>
                <c:pt idx="514">
                  <c:v>83.821428571428569</c:v>
                </c:pt>
                <c:pt idx="515">
                  <c:v>84.021428571428586</c:v>
                </c:pt>
                <c:pt idx="516">
                  <c:v>84.092857142857156</c:v>
                </c:pt>
                <c:pt idx="517">
                  <c:v>84.135714285714286</c:v>
                </c:pt>
                <c:pt idx="518">
                  <c:v>84.271428571428572</c:v>
                </c:pt>
                <c:pt idx="519">
                  <c:v>84.2</c:v>
                </c:pt>
                <c:pt idx="520">
                  <c:v>84.207142857142841</c:v>
                </c:pt>
                <c:pt idx="521">
                  <c:v>84.007142857142853</c:v>
                </c:pt>
                <c:pt idx="522">
                  <c:v>83.80714285714285</c:v>
                </c:pt>
                <c:pt idx="523">
                  <c:v>83.834285714285713</c:v>
                </c:pt>
                <c:pt idx="524">
                  <c:v>83.862857142857138</c:v>
                </c:pt>
                <c:pt idx="525">
                  <c:v>84.048571428571435</c:v>
                </c:pt>
                <c:pt idx="526">
                  <c:v>83.977142857142852</c:v>
                </c:pt>
                <c:pt idx="527">
                  <c:v>83.99857142857141</c:v>
                </c:pt>
                <c:pt idx="528">
                  <c:v>84.019999999999982</c:v>
                </c:pt>
                <c:pt idx="529">
                  <c:v>84.127142857142857</c:v>
                </c:pt>
                <c:pt idx="530">
                  <c:v>84.19285714285715</c:v>
                </c:pt>
                <c:pt idx="531">
                  <c:v>84.228571428571428</c:v>
                </c:pt>
                <c:pt idx="532">
                  <c:v>84.04285714285713</c:v>
                </c:pt>
                <c:pt idx="533">
                  <c:v>84.207142857142841</c:v>
                </c:pt>
                <c:pt idx="534">
                  <c:v>84.278571428571439</c:v>
                </c:pt>
                <c:pt idx="535">
                  <c:v>84.285714285714292</c:v>
                </c:pt>
                <c:pt idx="536">
                  <c:v>84.242857142857147</c:v>
                </c:pt>
                <c:pt idx="537">
                  <c:v>84.157142857142858</c:v>
                </c:pt>
                <c:pt idx="538">
                  <c:v>84.064285714285703</c:v>
                </c:pt>
                <c:pt idx="539">
                  <c:v>84.092857142857142</c:v>
                </c:pt>
                <c:pt idx="540">
                  <c:v>83.971428571428575</c:v>
                </c:pt>
                <c:pt idx="541">
                  <c:v>83.85</c:v>
                </c:pt>
                <c:pt idx="542">
                  <c:v>83.821428571428569</c:v>
                </c:pt>
                <c:pt idx="543">
                  <c:v>83.8</c:v>
                </c:pt>
                <c:pt idx="544">
                  <c:v>83.792857142857159</c:v>
                </c:pt>
                <c:pt idx="545">
                  <c:v>83.821428571428569</c:v>
                </c:pt>
                <c:pt idx="546">
                  <c:v>83.892857142857139</c:v>
                </c:pt>
                <c:pt idx="547">
                  <c:v>84.021428571428572</c:v>
                </c:pt>
                <c:pt idx="548">
                  <c:v>84.214285714285708</c:v>
                </c:pt>
                <c:pt idx="549">
                  <c:v>84.328571428571436</c:v>
                </c:pt>
                <c:pt idx="550">
                  <c:v>84.44285714285715</c:v>
                </c:pt>
                <c:pt idx="551">
                  <c:v>84.478571428571428</c:v>
                </c:pt>
                <c:pt idx="552">
                  <c:v>84.507142857142853</c:v>
                </c:pt>
                <c:pt idx="553">
                  <c:v>84.492857142857147</c:v>
                </c:pt>
                <c:pt idx="554">
                  <c:v>84.464285714285708</c:v>
                </c:pt>
                <c:pt idx="555">
                  <c:v>84.421428571428578</c:v>
                </c:pt>
                <c:pt idx="556">
                  <c:v>84.342857142857142</c:v>
                </c:pt>
                <c:pt idx="557">
                  <c:v>84.30714285714285</c:v>
                </c:pt>
                <c:pt idx="558">
                  <c:v>84.285714285714263</c:v>
                </c:pt>
                <c:pt idx="559">
                  <c:v>84.185714285714283</c:v>
                </c:pt>
                <c:pt idx="560">
                  <c:v>84.15</c:v>
                </c:pt>
                <c:pt idx="561">
                  <c:v>83.907142857142858</c:v>
                </c:pt>
                <c:pt idx="562">
                  <c:v>83.70714285714287</c:v>
                </c:pt>
                <c:pt idx="563">
                  <c:v>83.671428571428564</c:v>
                </c:pt>
                <c:pt idx="564">
                  <c:v>83.6</c:v>
                </c:pt>
                <c:pt idx="565">
                  <c:v>83.54285714285713</c:v>
                </c:pt>
                <c:pt idx="566">
                  <c:v>83.521428571428572</c:v>
                </c:pt>
                <c:pt idx="567">
                  <c:v>83.271428571428586</c:v>
                </c:pt>
                <c:pt idx="568">
                  <c:v>83.26428571428572</c:v>
                </c:pt>
                <c:pt idx="569">
                  <c:v>83.207142857142841</c:v>
                </c:pt>
                <c:pt idx="570">
                  <c:v>83.142857142857139</c:v>
                </c:pt>
                <c:pt idx="571">
                  <c:v>82.95</c:v>
                </c:pt>
                <c:pt idx="572">
                  <c:v>82.778571428571439</c:v>
                </c:pt>
                <c:pt idx="573">
                  <c:v>82.842857142857142</c:v>
                </c:pt>
                <c:pt idx="574">
                  <c:v>83.05714285714285</c:v>
                </c:pt>
                <c:pt idx="575">
                  <c:v>83.121428571428581</c:v>
                </c:pt>
                <c:pt idx="576">
                  <c:v>83.178571428571431</c:v>
                </c:pt>
                <c:pt idx="577">
                  <c:v>83.26428571428572</c:v>
                </c:pt>
                <c:pt idx="578">
                  <c:v>83.321428571428569</c:v>
                </c:pt>
                <c:pt idx="579">
                  <c:v>83.44285714285715</c:v>
                </c:pt>
                <c:pt idx="580">
                  <c:v>83.435714285714283</c:v>
                </c:pt>
                <c:pt idx="581">
                  <c:v>83.464285714285708</c:v>
                </c:pt>
                <c:pt idx="582">
                  <c:v>83.457142857142841</c:v>
                </c:pt>
                <c:pt idx="583">
                  <c:v>83.528571428571439</c:v>
                </c:pt>
                <c:pt idx="584">
                  <c:v>83.628571428571419</c:v>
                </c:pt>
                <c:pt idx="585">
                  <c:v>83.79285714285713</c:v>
                </c:pt>
                <c:pt idx="586">
                  <c:v>83.914285714285711</c:v>
                </c:pt>
                <c:pt idx="587">
                  <c:v>84.04285714285713</c:v>
                </c:pt>
                <c:pt idx="588">
                  <c:v>83.978571428571428</c:v>
                </c:pt>
                <c:pt idx="589">
                  <c:v>83.978571428571428</c:v>
                </c:pt>
                <c:pt idx="590">
                  <c:v>84.078571428571422</c:v>
                </c:pt>
                <c:pt idx="591">
                  <c:v>84.071428571428584</c:v>
                </c:pt>
                <c:pt idx="592">
                  <c:v>84.107142857142861</c:v>
                </c:pt>
                <c:pt idx="593">
                  <c:v>84.2</c:v>
                </c:pt>
                <c:pt idx="594">
                  <c:v>84.157142857142858</c:v>
                </c:pt>
                <c:pt idx="595">
                  <c:v>84.185714285714283</c:v>
                </c:pt>
                <c:pt idx="596">
                  <c:v>84.29285714285713</c:v>
                </c:pt>
                <c:pt idx="597">
                  <c:v>84.321428571428569</c:v>
                </c:pt>
                <c:pt idx="598">
                  <c:v>84.29285714285713</c:v>
                </c:pt>
                <c:pt idx="599">
                  <c:v>84.414285714285711</c:v>
                </c:pt>
                <c:pt idx="600">
                  <c:v>84.242857142857133</c:v>
                </c:pt>
                <c:pt idx="601">
                  <c:v>84.135714285714272</c:v>
                </c:pt>
                <c:pt idx="602">
                  <c:v>84.128571428571419</c:v>
                </c:pt>
                <c:pt idx="603">
                  <c:v>84.092857142857142</c:v>
                </c:pt>
                <c:pt idx="604">
                  <c:v>84.007142857142853</c:v>
                </c:pt>
                <c:pt idx="605">
                  <c:v>84</c:v>
                </c:pt>
                <c:pt idx="606">
                  <c:v>83.899999999999991</c:v>
                </c:pt>
                <c:pt idx="607">
                  <c:v>83.857142857142861</c:v>
                </c:pt>
                <c:pt idx="608">
                  <c:v>83.80714285714285</c:v>
                </c:pt>
                <c:pt idx="609">
                  <c:v>83.73571428571428</c:v>
                </c:pt>
                <c:pt idx="610">
                  <c:v>83.65</c:v>
                </c:pt>
                <c:pt idx="611">
                  <c:v>83.54285714285713</c:v>
                </c:pt>
                <c:pt idx="612">
                  <c:v>83.5</c:v>
                </c:pt>
                <c:pt idx="613">
                  <c:v>83.478571428571428</c:v>
                </c:pt>
                <c:pt idx="614">
                  <c:v>83.485714285714295</c:v>
                </c:pt>
                <c:pt idx="615">
                  <c:v>83.678571428571445</c:v>
                </c:pt>
                <c:pt idx="616">
                  <c:v>83.771428571428572</c:v>
                </c:pt>
                <c:pt idx="617">
                  <c:v>83.8</c:v>
                </c:pt>
                <c:pt idx="618">
                  <c:v>83.907142857142858</c:v>
                </c:pt>
                <c:pt idx="619">
                  <c:v>83.999999999999986</c:v>
                </c:pt>
                <c:pt idx="620">
                  <c:v>83.907142857142858</c:v>
                </c:pt>
                <c:pt idx="621">
                  <c:v>83.95714285714287</c:v>
                </c:pt>
                <c:pt idx="622">
                  <c:v>83.957142857142841</c:v>
                </c:pt>
                <c:pt idx="623">
                  <c:v>83.942857142857136</c:v>
                </c:pt>
                <c:pt idx="624">
                  <c:v>83.935714285714283</c:v>
                </c:pt>
                <c:pt idx="625">
                  <c:v>84.071428571428569</c:v>
                </c:pt>
                <c:pt idx="626">
                  <c:v>84.05714285714285</c:v>
                </c:pt>
                <c:pt idx="627">
                  <c:v>84.107142857142861</c:v>
                </c:pt>
                <c:pt idx="628">
                  <c:v>84.071428571428569</c:v>
                </c:pt>
                <c:pt idx="629">
                  <c:v>83.98571428571428</c:v>
                </c:pt>
                <c:pt idx="630">
                  <c:v>83.935714285714283</c:v>
                </c:pt>
                <c:pt idx="631">
                  <c:v>83.95</c:v>
                </c:pt>
                <c:pt idx="632">
                  <c:v>83.70714285714287</c:v>
                </c:pt>
                <c:pt idx="633">
                  <c:v>83.55</c:v>
                </c:pt>
                <c:pt idx="634">
                  <c:v>83.392857142857139</c:v>
                </c:pt>
                <c:pt idx="635">
                  <c:v>83.328571428571422</c:v>
                </c:pt>
                <c:pt idx="636">
                  <c:v>83.30714285714285</c:v>
                </c:pt>
                <c:pt idx="637">
                  <c:v>83.44285714285715</c:v>
                </c:pt>
                <c:pt idx="638">
                  <c:v>83.55</c:v>
                </c:pt>
                <c:pt idx="639">
                  <c:v>83.635714285714272</c:v>
                </c:pt>
                <c:pt idx="640">
                  <c:v>83.642857142857125</c:v>
                </c:pt>
                <c:pt idx="641">
                  <c:v>83.678571428571431</c:v>
                </c:pt>
                <c:pt idx="642">
                  <c:v>83.657142857142844</c:v>
                </c:pt>
                <c:pt idx="643">
                  <c:v>83.614285714285714</c:v>
                </c:pt>
                <c:pt idx="644">
                  <c:v>83.649999999999991</c:v>
                </c:pt>
                <c:pt idx="645">
                  <c:v>83.607142857142861</c:v>
                </c:pt>
                <c:pt idx="646">
                  <c:v>83.585714285714289</c:v>
                </c:pt>
                <c:pt idx="647">
                  <c:v>83.585714285714289</c:v>
                </c:pt>
                <c:pt idx="648">
                  <c:v>83.571428571428569</c:v>
                </c:pt>
                <c:pt idx="649">
                  <c:v>83.592857142857156</c:v>
                </c:pt>
                <c:pt idx="650">
                  <c:v>83.571428571428569</c:v>
                </c:pt>
                <c:pt idx="651">
                  <c:v>83.278571428571439</c:v>
                </c:pt>
                <c:pt idx="652">
                  <c:v>83.149999999999991</c:v>
                </c:pt>
                <c:pt idx="653">
                  <c:v>82.978571428571414</c:v>
                </c:pt>
                <c:pt idx="654">
                  <c:v>82.842857142857142</c:v>
                </c:pt>
                <c:pt idx="655">
                  <c:v>82.73571428571428</c:v>
                </c:pt>
                <c:pt idx="656">
                  <c:v>82.685714285714283</c:v>
                </c:pt>
                <c:pt idx="657">
                  <c:v>82.54285714285713</c:v>
                </c:pt>
                <c:pt idx="658">
                  <c:v>82.521428571428558</c:v>
                </c:pt>
                <c:pt idx="659">
                  <c:v>82.414285714285725</c:v>
                </c:pt>
                <c:pt idx="660">
                  <c:v>82.350000000000009</c:v>
                </c:pt>
                <c:pt idx="661">
                  <c:v>82.257142857142853</c:v>
                </c:pt>
                <c:pt idx="662">
                  <c:v>82.271428571428586</c:v>
                </c:pt>
                <c:pt idx="663">
                  <c:v>82.171428571428578</c:v>
                </c:pt>
                <c:pt idx="664">
                  <c:v>82.25</c:v>
                </c:pt>
                <c:pt idx="665">
                  <c:v>82.25</c:v>
                </c:pt>
                <c:pt idx="666">
                  <c:v>82.30714285714285</c:v>
                </c:pt>
                <c:pt idx="667">
                  <c:v>82.314285714285717</c:v>
                </c:pt>
                <c:pt idx="668">
                  <c:v>82.342857142857156</c:v>
                </c:pt>
                <c:pt idx="669">
                  <c:v>82.3</c:v>
                </c:pt>
                <c:pt idx="670">
                  <c:v>82.30714285714285</c:v>
                </c:pt>
                <c:pt idx="671">
                  <c:v>82.528571428571425</c:v>
                </c:pt>
                <c:pt idx="672">
                  <c:v>82.535714285714292</c:v>
                </c:pt>
                <c:pt idx="673">
                  <c:v>82.657142857142858</c:v>
                </c:pt>
                <c:pt idx="674">
                  <c:v>82.73571428571428</c:v>
                </c:pt>
                <c:pt idx="675">
                  <c:v>82.864285714285714</c:v>
                </c:pt>
                <c:pt idx="676">
                  <c:v>82.892857142857139</c:v>
                </c:pt>
                <c:pt idx="677">
                  <c:v>83.01428571428572</c:v>
                </c:pt>
                <c:pt idx="678">
                  <c:v>82.828571428571436</c:v>
                </c:pt>
                <c:pt idx="679">
                  <c:v>82.899999999999991</c:v>
                </c:pt>
                <c:pt idx="680">
                  <c:v>82.7</c:v>
                </c:pt>
                <c:pt idx="681">
                  <c:v>82.742857142857147</c:v>
                </c:pt>
                <c:pt idx="682">
                  <c:v>82.607142857142861</c:v>
                </c:pt>
                <c:pt idx="683">
                  <c:v>82.55714285714285</c:v>
                </c:pt>
                <c:pt idx="684">
                  <c:v>82.5</c:v>
                </c:pt>
                <c:pt idx="685">
                  <c:v>82.407142857142844</c:v>
                </c:pt>
                <c:pt idx="686">
                  <c:v>82.228571428571428</c:v>
                </c:pt>
                <c:pt idx="687">
                  <c:v>82.30714285714285</c:v>
                </c:pt>
                <c:pt idx="688">
                  <c:v>82.2</c:v>
                </c:pt>
                <c:pt idx="689">
                  <c:v>82.178571428571431</c:v>
                </c:pt>
                <c:pt idx="690">
                  <c:v>82.078571428571422</c:v>
                </c:pt>
                <c:pt idx="691">
                  <c:v>82.05714285714285</c:v>
                </c:pt>
                <c:pt idx="692">
                  <c:v>81.98571428571428</c:v>
                </c:pt>
                <c:pt idx="693">
                  <c:v>81.878571428571448</c:v>
                </c:pt>
                <c:pt idx="694">
                  <c:v>81.649999999999991</c:v>
                </c:pt>
                <c:pt idx="695">
                  <c:v>81.48571428571428</c:v>
                </c:pt>
                <c:pt idx="696">
                  <c:v>81.428571428571431</c:v>
                </c:pt>
                <c:pt idx="697">
                  <c:v>81.385714285714286</c:v>
                </c:pt>
                <c:pt idx="698">
                  <c:v>81.19285714285715</c:v>
                </c:pt>
                <c:pt idx="699">
                  <c:v>81.228571428571428</c:v>
                </c:pt>
                <c:pt idx="700">
                  <c:v>81.350000000000009</c:v>
                </c:pt>
                <c:pt idx="701">
                  <c:v>81.45</c:v>
                </c:pt>
                <c:pt idx="702">
                  <c:v>81.428571428571431</c:v>
                </c:pt>
                <c:pt idx="703">
                  <c:v>81.400000000000006</c:v>
                </c:pt>
                <c:pt idx="704">
                  <c:v>81.45714285714287</c:v>
                </c:pt>
                <c:pt idx="705">
                  <c:v>81.592857142857142</c:v>
                </c:pt>
                <c:pt idx="706">
                  <c:v>81.600000000000009</c:v>
                </c:pt>
                <c:pt idx="707">
                  <c:v>81.771428571428572</c:v>
                </c:pt>
                <c:pt idx="708">
                  <c:v>81.814285714285703</c:v>
                </c:pt>
                <c:pt idx="709">
                  <c:v>81.821428571428569</c:v>
                </c:pt>
                <c:pt idx="710">
                  <c:v>81.892857142857139</c:v>
                </c:pt>
                <c:pt idx="711">
                  <c:v>81.914285714285711</c:v>
                </c:pt>
                <c:pt idx="712">
                  <c:v>82.071428571428569</c:v>
                </c:pt>
                <c:pt idx="713">
                  <c:v>82.185714285714283</c:v>
                </c:pt>
                <c:pt idx="714">
                  <c:v>82.121428571428581</c:v>
                </c:pt>
                <c:pt idx="715">
                  <c:v>82.121428571428581</c:v>
                </c:pt>
                <c:pt idx="716">
                  <c:v>82.35</c:v>
                </c:pt>
                <c:pt idx="717">
                  <c:v>82.5</c:v>
                </c:pt>
                <c:pt idx="718">
                  <c:v>82.600000000000009</c:v>
                </c:pt>
                <c:pt idx="719">
                  <c:v>82.414285714285725</c:v>
                </c:pt>
                <c:pt idx="720">
                  <c:v>82.30714285714285</c:v>
                </c:pt>
                <c:pt idx="721">
                  <c:v>82.285714285714292</c:v>
                </c:pt>
                <c:pt idx="722">
                  <c:v>82.385714285714286</c:v>
                </c:pt>
                <c:pt idx="723">
                  <c:v>82.328571428571436</c:v>
                </c:pt>
                <c:pt idx="724">
                  <c:v>82.2</c:v>
                </c:pt>
                <c:pt idx="725">
                  <c:v>82.242857142857147</c:v>
                </c:pt>
                <c:pt idx="726">
                  <c:v>82.321428571428569</c:v>
                </c:pt>
                <c:pt idx="727">
                  <c:v>82.357142857142861</c:v>
                </c:pt>
                <c:pt idx="728">
                  <c:v>82.414285714285725</c:v>
                </c:pt>
                <c:pt idx="729">
                  <c:v>82.435714285714297</c:v>
                </c:pt>
                <c:pt idx="730">
                  <c:v>82.478571428571428</c:v>
                </c:pt>
                <c:pt idx="731">
                  <c:v>82.814285714285717</c:v>
                </c:pt>
                <c:pt idx="732">
                  <c:v>83.007142857142853</c:v>
                </c:pt>
                <c:pt idx="733">
                  <c:v>83.20714285714287</c:v>
                </c:pt>
                <c:pt idx="734">
                  <c:v>83.492857142857133</c:v>
                </c:pt>
                <c:pt idx="735">
                  <c:v>83.578571428571422</c:v>
                </c:pt>
                <c:pt idx="736">
                  <c:v>83.642857142857139</c:v>
                </c:pt>
                <c:pt idx="737">
                  <c:v>83.671428571428578</c:v>
                </c:pt>
                <c:pt idx="738">
                  <c:v>83.48571428571428</c:v>
                </c:pt>
                <c:pt idx="739">
                  <c:v>83.392857142857139</c:v>
                </c:pt>
                <c:pt idx="740">
                  <c:v>83.4</c:v>
                </c:pt>
                <c:pt idx="741">
                  <c:v>83.35</c:v>
                </c:pt>
                <c:pt idx="742">
                  <c:v>83.26428571428572</c:v>
                </c:pt>
                <c:pt idx="743">
                  <c:v>83.178571428571431</c:v>
                </c:pt>
                <c:pt idx="744">
                  <c:v>83.242857142857147</c:v>
                </c:pt>
                <c:pt idx="745">
                  <c:v>83.428571428571431</c:v>
                </c:pt>
                <c:pt idx="746">
                  <c:v>83.478571428571414</c:v>
                </c:pt>
                <c:pt idx="747">
                  <c:v>83.571428571428569</c:v>
                </c:pt>
                <c:pt idx="748">
                  <c:v>83.471428571428575</c:v>
                </c:pt>
                <c:pt idx="749">
                  <c:v>83.471428571428575</c:v>
                </c:pt>
                <c:pt idx="750">
                  <c:v>83.471428571428561</c:v>
                </c:pt>
                <c:pt idx="751">
                  <c:v>83.471428571428561</c:v>
                </c:pt>
                <c:pt idx="752">
                  <c:v>83.45714285714287</c:v>
                </c:pt>
                <c:pt idx="753">
                  <c:v>83.45714285714287</c:v>
                </c:pt>
                <c:pt idx="754">
                  <c:v>83.314285714285717</c:v>
                </c:pt>
                <c:pt idx="755">
                  <c:v>83.285714285714292</c:v>
                </c:pt>
                <c:pt idx="756">
                  <c:v>83.357142857142861</c:v>
                </c:pt>
                <c:pt idx="757">
                  <c:v>83.514285714285705</c:v>
                </c:pt>
                <c:pt idx="758">
                  <c:v>83.785714285714292</c:v>
                </c:pt>
                <c:pt idx="759">
                  <c:v>83.657142857142858</c:v>
                </c:pt>
                <c:pt idx="760">
                  <c:v>83.6</c:v>
                </c:pt>
                <c:pt idx="761">
                  <c:v>83.65</c:v>
                </c:pt>
                <c:pt idx="762">
                  <c:v>83.75</c:v>
                </c:pt>
                <c:pt idx="763">
                  <c:v>83.799999999999983</c:v>
                </c:pt>
                <c:pt idx="764">
                  <c:v>83.80714285714285</c:v>
                </c:pt>
                <c:pt idx="765">
                  <c:v>83.578571428571436</c:v>
                </c:pt>
                <c:pt idx="766">
                  <c:v>83.685714285714297</c:v>
                </c:pt>
                <c:pt idx="767">
                  <c:v>83.842857142857142</c:v>
                </c:pt>
                <c:pt idx="768">
                  <c:v>83.835714285714289</c:v>
                </c:pt>
                <c:pt idx="769">
                  <c:v>83.828571428571422</c:v>
                </c:pt>
                <c:pt idx="770">
                  <c:v>83.850000000000009</c:v>
                </c:pt>
                <c:pt idx="771">
                  <c:v>84.178571428571445</c:v>
                </c:pt>
                <c:pt idx="772">
                  <c:v>84.507142857142853</c:v>
                </c:pt>
                <c:pt idx="773">
                  <c:v>84.614285714285714</c:v>
                </c:pt>
                <c:pt idx="774">
                  <c:v>84.657142857142844</c:v>
                </c:pt>
                <c:pt idx="775">
                  <c:v>84.80714285714285</c:v>
                </c:pt>
                <c:pt idx="776">
                  <c:v>84.942857142857136</c:v>
                </c:pt>
                <c:pt idx="777">
                  <c:v>84.964285714285708</c:v>
                </c:pt>
                <c:pt idx="778">
                  <c:v>84.642857142857139</c:v>
                </c:pt>
                <c:pt idx="779">
                  <c:v>84.414285714285711</c:v>
                </c:pt>
                <c:pt idx="780">
                  <c:v>84.435714285714283</c:v>
                </c:pt>
                <c:pt idx="781">
                  <c:v>84.485714285714295</c:v>
                </c:pt>
                <c:pt idx="782">
                  <c:v>84.407142857142858</c:v>
                </c:pt>
                <c:pt idx="783">
                  <c:v>84.285714285714292</c:v>
                </c:pt>
                <c:pt idx="784">
                  <c:v>84.314285714285703</c:v>
                </c:pt>
                <c:pt idx="785">
                  <c:v>84.385714285714272</c:v>
                </c:pt>
                <c:pt idx="786">
                  <c:v>84.45</c:v>
                </c:pt>
                <c:pt idx="787">
                  <c:v>84.507142857142853</c:v>
                </c:pt>
                <c:pt idx="788">
                  <c:v>84.51428571428572</c:v>
                </c:pt>
                <c:pt idx="789">
                  <c:v>84.592857142857142</c:v>
                </c:pt>
                <c:pt idx="790">
                  <c:v>84.721428571428561</c:v>
                </c:pt>
                <c:pt idx="791">
                  <c:v>84.728571428571428</c:v>
                </c:pt>
                <c:pt idx="792">
                  <c:v>84.678571428571431</c:v>
                </c:pt>
                <c:pt idx="793">
                  <c:v>84.564285714285717</c:v>
                </c:pt>
                <c:pt idx="794">
                  <c:v>84.314285714285717</c:v>
                </c:pt>
                <c:pt idx="795">
                  <c:v>84.378571428571419</c:v>
                </c:pt>
                <c:pt idx="796">
                  <c:v>84.54285714285713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41-4913-A19D-830EF66EC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4631520"/>
        <c:axId val="86738848"/>
      </c:lineChart>
      <c:dateAx>
        <c:axId val="98463152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738848"/>
        <c:crosses val="autoZero"/>
        <c:auto val="0"/>
        <c:lblOffset val="100"/>
        <c:baseTimeUnit val="days"/>
      </c:dateAx>
      <c:valAx>
        <c:axId val="86738848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463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Real (Kg)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5.4647237102496977E-2"/>
          <c:y val="7.3468593063822821E-2"/>
          <c:w val="0.91933733822377373"/>
          <c:h val="0.81621237364736698"/>
        </c:manualLayout>
      </c:layout>
      <c:lineChart>
        <c:grouping val="standard"/>
        <c:varyColors val="0"/>
        <c:ser>
          <c:idx val="0"/>
          <c:order val="0"/>
          <c:tx>
            <c:strRef>
              <c:f>Pesos_R!$Y$1</c:f>
              <c:strCache>
                <c:ptCount val="1"/>
                <c:pt idx="0">
                  <c:v> Peso Real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Pesos_R!$D$2:$D$798</c:f>
              <c:numCache>
                <c:formatCode>m/d/yyyy</c:formatCode>
                <c:ptCount val="797"/>
                <c:pt idx="0">
                  <c:v>45110</c:v>
                </c:pt>
                <c:pt idx="1">
                  <c:v>45111</c:v>
                </c:pt>
                <c:pt idx="2">
                  <c:v>45112</c:v>
                </c:pt>
                <c:pt idx="3">
                  <c:v>45113</c:v>
                </c:pt>
                <c:pt idx="4">
                  <c:v>45114</c:v>
                </c:pt>
                <c:pt idx="5">
                  <c:v>45115</c:v>
                </c:pt>
                <c:pt idx="6">
                  <c:v>45116</c:v>
                </c:pt>
                <c:pt idx="7">
                  <c:v>45117</c:v>
                </c:pt>
                <c:pt idx="8">
                  <c:v>45118</c:v>
                </c:pt>
                <c:pt idx="9">
                  <c:v>45119</c:v>
                </c:pt>
                <c:pt idx="10">
                  <c:v>45120</c:v>
                </c:pt>
                <c:pt idx="11">
                  <c:v>45121</c:v>
                </c:pt>
                <c:pt idx="12">
                  <c:v>45122</c:v>
                </c:pt>
                <c:pt idx="13">
                  <c:v>45123</c:v>
                </c:pt>
                <c:pt idx="14">
                  <c:v>45124</c:v>
                </c:pt>
                <c:pt idx="15">
                  <c:v>45125</c:v>
                </c:pt>
                <c:pt idx="16">
                  <c:v>45126</c:v>
                </c:pt>
                <c:pt idx="17">
                  <c:v>45134</c:v>
                </c:pt>
                <c:pt idx="18">
                  <c:v>45135</c:v>
                </c:pt>
                <c:pt idx="19">
                  <c:v>45136</c:v>
                </c:pt>
                <c:pt idx="20">
                  <c:v>45137</c:v>
                </c:pt>
                <c:pt idx="21">
                  <c:v>45138</c:v>
                </c:pt>
                <c:pt idx="22">
                  <c:v>45139</c:v>
                </c:pt>
                <c:pt idx="23">
                  <c:v>45140</c:v>
                </c:pt>
                <c:pt idx="24">
                  <c:v>45141</c:v>
                </c:pt>
                <c:pt idx="25">
                  <c:v>45142</c:v>
                </c:pt>
                <c:pt idx="26">
                  <c:v>45143</c:v>
                </c:pt>
                <c:pt idx="27">
                  <c:v>45144</c:v>
                </c:pt>
                <c:pt idx="28">
                  <c:v>45145</c:v>
                </c:pt>
                <c:pt idx="29">
                  <c:v>45153</c:v>
                </c:pt>
                <c:pt idx="30">
                  <c:v>45154</c:v>
                </c:pt>
                <c:pt idx="31">
                  <c:v>45155</c:v>
                </c:pt>
                <c:pt idx="32">
                  <c:v>45156</c:v>
                </c:pt>
                <c:pt idx="33">
                  <c:v>45157</c:v>
                </c:pt>
                <c:pt idx="34">
                  <c:v>45158</c:v>
                </c:pt>
                <c:pt idx="35">
                  <c:v>45159</c:v>
                </c:pt>
                <c:pt idx="36">
                  <c:v>45160</c:v>
                </c:pt>
                <c:pt idx="37">
                  <c:v>45161</c:v>
                </c:pt>
                <c:pt idx="38">
                  <c:v>45163</c:v>
                </c:pt>
                <c:pt idx="39">
                  <c:v>45164</c:v>
                </c:pt>
                <c:pt idx="40">
                  <c:v>45165</c:v>
                </c:pt>
                <c:pt idx="41">
                  <c:v>45166</c:v>
                </c:pt>
                <c:pt idx="42">
                  <c:v>45167</c:v>
                </c:pt>
                <c:pt idx="43">
                  <c:v>45168</c:v>
                </c:pt>
                <c:pt idx="44">
                  <c:v>45169</c:v>
                </c:pt>
                <c:pt idx="45">
                  <c:v>45170</c:v>
                </c:pt>
                <c:pt idx="46">
                  <c:v>45171</c:v>
                </c:pt>
                <c:pt idx="47">
                  <c:v>45172</c:v>
                </c:pt>
                <c:pt idx="48">
                  <c:v>45173</c:v>
                </c:pt>
                <c:pt idx="49">
                  <c:v>45174</c:v>
                </c:pt>
                <c:pt idx="50">
                  <c:v>45175</c:v>
                </c:pt>
                <c:pt idx="51">
                  <c:v>45176</c:v>
                </c:pt>
                <c:pt idx="52">
                  <c:v>45177</c:v>
                </c:pt>
                <c:pt idx="53">
                  <c:v>45178</c:v>
                </c:pt>
                <c:pt idx="54">
                  <c:v>45179</c:v>
                </c:pt>
                <c:pt idx="55">
                  <c:v>45180</c:v>
                </c:pt>
                <c:pt idx="56">
                  <c:v>45181</c:v>
                </c:pt>
                <c:pt idx="57">
                  <c:v>45182</c:v>
                </c:pt>
                <c:pt idx="58">
                  <c:v>45183</c:v>
                </c:pt>
                <c:pt idx="59">
                  <c:v>45184</c:v>
                </c:pt>
                <c:pt idx="60">
                  <c:v>45185</c:v>
                </c:pt>
                <c:pt idx="61">
                  <c:v>45186</c:v>
                </c:pt>
                <c:pt idx="62">
                  <c:v>45187</c:v>
                </c:pt>
                <c:pt idx="63">
                  <c:v>45188</c:v>
                </c:pt>
                <c:pt idx="64">
                  <c:v>45189</c:v>
                </c:pt>
                <c:pt idx="65">
                  <c:v>45190</c:v>
                </c:pt>
                <c:pt idx="66">
                  <c:v>45193</c:v>
                </c:pt>
                <c:pt idx="67">
                  <c:v>45194</c:v>
                </c:pt>
                <c:pt idx="68">
                  <c:v>45195</c:v>
                </c:pt>
                <c:pt idx="69">
                  <c:v>45196</c:v>
                </c:pt>
                <c:pt idx="70">
                  <c:v>45197</c:v>
                </c:pt>
                <c:pt idx="71">
                  <c:v>45198</c:v>
                </c:pt>
                <c:pt idx="72">
                  <c:v>45199</c:v>
                </c:pt>
                <c:pt idx="73">
                  <c:v>45200</c:v>
                </c:pt>
                <c:pt idx="74">
                  <c:v>45201</c:v>
                </c:pt>
                <c:pt idx="75">
                  <c:v>45202</c:v>
                </c:pt>
                <c:pt idx="76">
                  <c:v>45203</c:v>
                </c:pt>
                <c:pt idx="77">
                  <c:v>45204</c:v>
                </c:pt>
                <c:pt idx="78">
                  <c:v>45205</c:v>
                </c:pt>
                <c:pt idx="79">
                  <c:v>45206</c:v>
                </c:pt>
                <c:pt idx="80">
                  <c:v>45207</c:v>
                </c:pt>
                <c:pt idx="81">
                  <c:v>45208</c:v>
                </c:pt>
                <c:pt idx="82">
                  <c:v>45209</c:v>
                </c:pt>
                <c:pt idx="83">
                  <c:v>45210</c:v>
                </c:pt>
                <c:pt idx="84">
                  <c:v>45211</c:v>
                </c:pt>
                <c:pt idx="85">
                  <c:v>45212</c:v>
                </c:pt>
                <c:pt idx="86">
                  <c:v>45213</c:v>
                </c:pt>
                <c:pt idx="87">
                  <c:v>45214</c:v>
                </c:pt>
                <c:pt idx="88">
                  <c:v>45215</c:v>
                </c:pt>
                <c:pt idx="89">
                  <c:v>45216</c:v>
                </c:pt>
                <c:pt idx="90">
                  <c:v>45219</c:v>
                </c:pt>
                <c:pt idx="91">
                  <c:v>45220</c:v>
                </c:pt>
                <c:pt idx="92">
                  <c:v>45221</c:v>
                </c:pt>
                <c:pt idx="93">
                  <c:v>45222</c:v>
                </c:pt>
                <c:pt idx="94">
                  <c:v>45223</c:v>
                </c:pt>
                <c:pt idx="95">
                  <c:v>45224</c:v>
                </c:pt>
                <c:pt idx="96">
                  <c:v>45226</c:v>
                </c:pt>
                <c:pt idx="97">
                  <c:v>45227</c:v>
                </c:pt>
                <c:pt idx="98">
                  <c:v>45228</c:v>
                </c:pt>
                <c:pt idx="99">
                  <c:v>45229</c:v>
                </c:pt>
                <c:pt idx="100">
                  <c:v>45230</c:v>
                </c:pt>
                <c:pt idx="101">
                  <c:v>45231</c:v>
                </c:pt>
                <c:pt idx="102">
                  <c:v>45232</c:v>
                </c:pt>
                <c:pt idx="103">
                  <c:v>45233</c:v>
                </c:pt>
                <c:pt idx="104">
                  <c:v>45234</c:v>
                </c:pt>
                <c:pt idx="105">
                  <c:v>45235</c:v>
                </c:pt>
                <c:pt idx="106">
                  <c:v>45241</c:v>
                </c:pt>
                <c:pt idx="107">
                  <c:v>45242</c:v>
                </c:pt>
                <c:pt idx="108">
                  <c:v>45243</c:v>
                </c:pt>
                <c:pt idx="109">
                  <c:v>45244</c:v>
                </c:pt>
                <c:pt idx="110">
                  <c:v>45245</c:v>
                </c:pt>
                <c:pt idx="111">
                  <c:v>45246</c:v>
                </c:pt>
                <c:pt idx="112">
                  <c:v>45248</c:v>
                </c:pt>
                <c:pt idx="113">
                  <c:v>45249</c:v>
                </c:pt>
                <c:pt idx="114">
                  <c:v>45250</c:v>
                </c:pt>
                <c:pt idx="115">
                  <c:v>45251</c:v>
                </c:pt>
                <c:pt idx="116">
                  <c:v>45252</c:v>
                </c:pt>
                <c:pt idx="117">
                  <c:v>45253</c:v>
                </c:pt>
                <c:pt idx="118">
                  <c:v>45254</c:v>
                </c:pt>
                <c:pt idx="119">
                  <c:v>45255</c:v>
                </c:pt>
                <c:pt idx="120">
                  <c:v>45256</c:v>
                </c:pt>
                <c:pt idx="121">
                  <c:v>45257</c:v>
                </c:pt>
                <c:pt idx="122">
                  <c:v>45258</c:v>
                </c:pt>
                <c:pt idx="123">
                  <c:v>45259</c:v>
                </c:pt>
                <c:pt idx="124">
                  <c:v>45260</c:v>
                </c:pt>
                <c:pt idx="125">
                  <c:v>45261</c:v>
                </c:pt>
                <c:pt idx="126">
                  <c:v>45262</c:v>
                </c:pt>
                <c:pt idx="127">
                  <c:v>45263</c:v>
                </c:pt>
                <c:pt idx="128">
                  <c:v>45264</c:v>
                </c:pt>
                <c:pt idx="129">
                  <c:v>45265</c:v>
                </c:pt>
                <c:pt idx="130">
                  <c:v>45266</c:v>
                </c:pt>
                <c:pt idx="131">
                  <c:v>45267</c:v>
                </c:pt>
                <c:pt idx="132">
                  <c:v>45268</c:v>
                </c:pt>
                <c:pt idx="133">
                  <c:v>45269</c:v>
                </c:pt>
                <c:pt idx="134">
                  <c:v>45270</c:v>
                </c:pt>
                <c:pt idx="135">
                  <c:v>45271</c:v>
                </c:pt>
                <c:pt idx="136">
                  <c:v>45272</c:v>
                </c:pt>
                <c:pt idx="137">
                  <c:v>45273</c:v>
                </c:pt>
                <c:pt idx="138">
                  <c:v>45274</c:v>
                </c:pt>
                <c:pt idx="139">
                  <c:v>45275</c:v>
                </c:pt>
                <c:pt idx="140">
                  <c:v>45276</c:v>
                </c:pt>
                <c:pt idx="141">
                  <c:v>45277</c:v>
                </c:pt>
                <c:pt idx="142">
                  <c:v>45278</c:v>
                </c:pt>
                <c:pt idx="143">
                  <c:v>45279</c:v>
                </c:pt>
                <c:pt idx="144">
                  <c:v>45280</c:v>
                </c:pt>
                <c:pt idx="145">
                  <c:v>45281</c:v>
                </c:pt>
                <c:pt idx="146">
                  <c:v>45282</c:v>
                </c:pt>
                <c:pt idx="147">
                  <c:v>45283</c:v>
                </c:pt>
                <c:pt idx="148">
                  <c:v>45284</c:v>
                </c:pt>
                <c:pt idx="149">
                  <c:v>45285</c:v>
                </c:pt>
                <c:pt idx="150">
                  <c:v>45286</c:v>
                </c:pt>
                <c:pt idx="151">
                  <c:v>45291</c:v>
                </c:pt>
                <c:pt idx="152">
                  <c:v>45292</c:v>
                </c:pt>
                <c:pt idx="153">
                  <c:v>45293</c:v>
                </c:pt>
                <c:pt idx="154">
                  <c:v>45294</c:v>
                </c:pt>
                <c:pt idx="155">
                  <c:v>45295</c:v>
                </c:pt>
                <c:pt idx="156">
                  <c:v>45296</c:v>
                </c:pt>
                <c:pt idx="157">
                  <c:v>45297</c:v>
                </c:pt>
                <c:pt idx="158">
                  <c:v>45298</c:v>
                </c:pt>
                <c:pt idx="159">
                  <c:v>45299</c:v>
                </c:pt>
                <c:pt idx="160">
                  <c:v>45300</c:v>
                </c:pt>
                <c:pt idx="161">
                  <c:v>45301</c:v>
                </c:pt>
                <c:pt idx="162">
                  <c:v>45302</c:v>
                </c:pt>
                <c:pt idx="163">
                  <c:v>45303</c:v>
                </c:pt>
                <c:pt idx="164">
                  <c:v>45304</c:v>
                </c:pt>
                <c:pt idx="165">
                  <c:v>45305</c:v>
                </c:pt>
                <c:pt idx="166">
                  <c:v>45306</c:v>
                </c:pt>
                <c:pt idx="167">
                  <c:v>45307</c:v>
                </c:pt>
                <c:pt idx="168">
                  <c:v>45308</c:v>
                </c:pt>
                <c:pt idx="169">
                  <c:v>45309</c:v>
                </c:pt>
                <c:pt idx="170">
                  <c:v>45310</c:v>
                </c:pt>
                <c:pt idx="171">
                  <c:v>45312</c:v>
                </c:pt>
                <c:pt idx="172">
                  <c:v>45313</c:v>
                </c:pt>
                <c:pt idx="173">
                  <c:v>45314</c:v>
                </c:pt>
                <c:pt idx="174">
                  <c:v>45315</c:v>
                </c:pt>
                <c:pt idx="175">
                  <c:v>45316</c:v>
                </c:pt>
                <c:pt idx="176">
                  <c:v>45317</c:v>
                </c:pt>
                <c:pt idx="177">
                  <c:v>45318</c:v>
                </c:pt>
                <c:pt idx="178">
                  <c:v>45319</c:v>
                </c:pt>
                <c:pt idx="179">
                  <c:v>45320</c:v>
                </c:pt>
                <c:pt idx="180">
                  <c:v>45321</c:v>
                </c:pt>
                <c:pt idx="181">
                  <c:v>45322</c:v>
                </c:pt>
                <c:pt idx="182">
                  <c:v>45323</c:v>
                </c:pt>
                <c:pt idx="183">
                  <c:v>45324</c:v>
                </c:pt>
                <c:pt idx="184">
                  <c:v>45325</c:v>
                </c:pt>
                <c:pt idx="185">
                  <c:v>45326</c:v>
                </c:pt>
                <c:pt idx="186">
                  <c:v>45327</c:v>
                </c:pt>
                <c:pt idx="187">
                  <c:v>45328</c:v>
                </c:pt>
                <c:pt idx="188">
                  <c:v>45329</c:v>
                </c:pt>
                <c:pt idx="189">
                  <c:v>45330</c:v>
                </c:pt>
                <c:pt idx="190">
                  <c:v>45331</c:v>
                </c:pt>
                <c:pt idx="191">
                  <c:v>45332</c:v>
                </c:pt>
                <c:pt idx="192">
                  <c:v>45333</c:v>
                </c:pt>
                <c:pt idx="193">
                  <c:v>45334</c:v>
                </c:pt>
                <c:pt idx="194">
                  <c:v>45335</c:v>
                </c:pt>
                <c:pt idx="195">
                  <c:v>45336</c:v>
                </c:pt>
                <c:pt idx="196">
                  <c:v>45339</c:v>
                </c:pt>
                <c:pt idx="197">
                  <c:v>45340</c:v>
                </c:pt>
                <c:pt idx="198">
                  <c:v>45341</c:v>
                </c:pt>
                <c:pt idx="199">
                  <c:v>45342</c:v>
                </c:pt>
                <c:pt idx="200">
                  <c:v>45343</c:v>
                </c:pt>
                <c:pt idx="201">
                  <c:v>45344</c:v>
                </c:pt>
                <c:pt idx="202">
                  <c:v>45345</c:v>
                </c:pt>
                <c:pt idx="203">
                  <c:v>45346</c:v>
                </c:pt>
                <c:pt idx="204">
                  <c:v>45347</c:v>
                </c:pt>
                <c:pt idx="205">
                  <c:v>45348</c:v>
                </c:pt>
                <c:pt idx="206">
                  <c:v>45349</c:v>
                </c:pt>
                <c:pt idx="207">
                  <c:v>45350</c:v>
                </c:pt>
                <c:pt idx="208">
                  <c:v>45351</c:v>
                </c:pt>
                <c:pt idx="209">
                  <c:v>45352</c:v>
                </c:pt>
                <c:pt idx="210">
                  <c:v>45353</c:v>
                </c:pt>
                <c:pt idx="211">
                  <c:v>45354</c:v>
                </c:pt>
                <c:pt idx="212">
                  <c:v>45355</c:v>
                </c:pt>
                <c:pt idx="213">
                  <c:v>45356</c:v>
                </c:pt>
                <c:pt idx="214">
                  <c:v>45357</c:v>
                </c:pt>
                <c:pt idx="215">
                  <c:v>45358</c:v>
                </c:pt>
                <c:pt idx="216">
                  <c:v>45359</c:v>
                </c:pt>
                <c:pt idx="217">
                  <c:v>45360</c:v>
                </c:pt>
                <c:pt idx="218">
                  <c:v>45361</c:v>
                </c:pt>
                <c:pt idx="219">
                  <c:v>45362</c:v>
                </c:pt>
                <c:pt idx="220">
                  <c:v>45366</c:v>
                </c:pt>
                <c:pt idx="221">
                  <c:v>45367</c:v>
                </c:pt>
                <c:pt idx="222">
                  <c:v>45368</c:v>
                </c:pt>
                <c:pt idx="223">
                  <c:v>45369</c:v>
                </c:pt>
                <c:pt idx="224">
                  <c:v>45370</c:v>
                </c:pt>
                <c:pt idx="225">
                  <c:v>45371</c:v>
                </c:pt>
                <c:pt idx="226">
                  <c:v>45372</c:v>
                </c:pt>
                <c:pt idx="227">
                  <c:v>45373</c:v>
                </c:pt>
                <c:pt idx="228">
                  <c:v>45374</c:v>
                </c:pt>
                <c:pt idx="229">
                  <c:v>45381</c:v>
                </c:pt>
                <c:pt idx="230">
                  <c:v>45383</c:v>
                </c:pt>
                <c:pt idx="231">
                  <c:v>45384</c:v>
                </c:pt>
                <c:pt idx="232">
                  <c:v>45385</c:v>
                </c:pt>
                <c:pt idx="233">
                  <c:v>45386</c:v>
                </c:pt>
                <c:pt idx="234">
                  <c:v>45387</c:v>
                </c:pt>
                <c:pt idx="235">
                  <c:v>45388</c:v>
                </c:pt>
                <c:pt idx="236">
                  <c:v>45389</c:v>
                </c:pt>
                <c:pt idx="237">
                  <c:v>45392</c:v>
                </c:pt>
                <c:pt idx="238">
                  <c:v>45393</c:v>
                </c:pt>
                <c:pt idx="239">
                  <c:v>45394</c:v>
                </c:pt>
                <c:pt idx="240">
                  <c:v>45395</c:v>
                </c:pt>
                <c:pt idx="241">
                  <c:v>45396</c:v>
                </c:pt>
                <c:pt idx="242">
                  <c:v>45397</c:v>
                </c:pt>
                <c:pt idx="243">
                  <c:v>45398</c:v>
                </c:pt>
                <c:pt idx="244">
                  <c:v>45399</c:v>
                </c:pt>
                <c:pt idx="245">
                  <c:v>45400</c:v>
                </c:pt>
                <c:pt idx="246">
                  <c:v>45401</c:v>
                </c:pt>
                <c:pt idx="247">
                  <c:v>45402</c:v>
                </c:pt>
                <c:pt idx="248">
                  <c:v>45404</c:v>
                </c:pt>
                <c:pt idx="249">
                  <c:v>45405</c:v>
                </c:pt>
                <c:pt idx="250">
                  <c:v>45406</c:v>
                </c:pt>
                <c:pt idx="251">
                  <c:v>45407</c:v>
                </c:pt>
                <c:pt idx="252">
                  <c:v>45408</c:v>
                </c:pt>
                <c:pt idx="253">
                  <c:v>45409</c:v>
                </c:pt>
                <c:pt idx="254">
                  <c:v>45410</c:v>
                </c:pt>
                <c:pt idx="255">
                  <c:v>45411</c:v>
                </c:pt>
                <c:pt idx="256">
                  <c:v>45412</c:v>
                </c:pt>
                <c:pt idx="257">
                  <c:v>45413</c:v>
                </c:pt>
                <c:pt idx="258">
                  <c:v>45414</c:v>
                </c:pt>
                <c:pt idx="259">
                  <c:v>45415</c:v>
                </c:pt>
                <c:pt idx="260">
                  <c:v>45416</c:v>
                </c:pt>
                <c:pt idx="261">
                  <c:v>45417</c:v>
                </c:pt>
                <c:pt idx="262">
                  <c:v>45418</c:v>
                </c:pt>
                <c:pt idx="263">
                  <c:v>45419</c:v>
                </c:pt>
                <c:pt idx="264">
                  <c:v>45420</c:v>
                </c:pt>
                <c:pt idx="265">
                  <c:v>45421</c:v>
                </c:pt>
                <c:pt idx="266">
                  <c:v>45422</c:v>
                </c:pt>
                <c:pt idx="267">
                  <c:v>45423</c:v>
                </c:pt>
                <c:pt idx="268">
                  <c:v>45424</c:v>
                </c:pt>
                <c:pt idx="269">
                  <c:v>45425</c:v>
                </c:pt>
                <c:pt idx="270">
                  <c:v>45426</c:v>
                </c:pt>
                <c:pt idx="271">
                  <c:v>45427</c:v>
                </c:pt>
                <c:pt idx="272">
                  <c:v>45428</c:v>
                </c:pt>
                <c:pt idx="273">
                  <c:v>45429</c:v>
                </c:pt>
                <c:pt idx="274">
                  <c:v>45431</c:v>
                </c:pt>
                <c:pt idx="275">
                  <c:v>45432</c:v>
                </c:pt>
                <c:pt idx="276">
                  <c:v>45433</c:v>
                </c:pt>
                <c:pt idx="277">
                  <c:v>45434</c:v>
                </c:pt>
                <c:pt idx="278">
                  <c:v>45437</c:v>
                </c:pt>
                <c:pt idx="279">
                  <c:v>45438</c:v>
                </c:pt>
                <c:pt idx="280">
                  <c:v>45439</c:v>
                </c:pt>
                <c:pt idx="281">
                  <c:v>45440</c:v>
                </c:pt>
                <c:pt idx="282">
                  <c:v>45441</c:v>
                </c:pt>
                <c:pt idx="283">
                  <c:v>45442</c:v>
                </c:pt>
                <c:pt idx="284">
                  <c:v>45443</c:v>
                </c:pt>
                <c:pt idx="285">
                  <c:v>45444</c:v>
                </c:pt>
                <c:pt idx="286">
                  <c:v>45445</c:v>
                </c:pt>
                <c:pt idx="287">
                  <c:v>45446</c:v>
                </c:pt>
                <c:pt idx="288">
                  <c:v>45447</c:v>
                </c:pt>
                <c:pt idx="289">
                  <c:v>45448</c:v>
                </c:pt>
                <c:pt idx="290">
                  <c:v>45449</c:v>
                </c:pt>
                <c:pt idx="291">
                  <c:v>45450</c:v>
                </c:pt>
                <c:pt idx="292">
                  <c:v>45451</c:v>
                </c:pt>
                <c:pt idx="293">
                  <c:v>45452</c:v>
                </c:pt>
                <c:pt idx="294">
                  <c:v>45453</c:v>
                </c:pt>
                <c:pt idx="295">
                  <c:v>45454</c:v>
                </c:pt>
                <c:pt idx="296">
                  <c:v>45455</c:v>
                </c:pt>
                <c:pt idx="297">
                  <c:v>45456</c:v>
                </c:pt>
                <c:pt idx="298">
                  <c:v>45457</c:v>
                </c:pt>
                <c:pt idx="299">
                  <c:v>45458</c:v>
                </c:pt>
                <c:pt idx="300">
                  <c:v>45459</c:v>
                </c:pt>
                <c:pt idx="301">
                  <c:v>45460</c:v>
                </c:pt>
                <c:pt idx="302">
                  <c:v>45461</c:v>
                </c:pt>
                <c:pt idx="303">
                  <c:v>45462</c:v>
                </c:pt>
                <c:pt idx="304">
                  <c:v>45463</c:v>
                </c:pt>
                <c:pt idx="305">
                  <c:v>45464</c:v>
                </c:pt>
                <c:pt idx="306">
                  <c:v>45469</c:v>
                </c:pt>
                <c:pt idx="307">
                  <c:v>45470</c:v>
                </c:pt>
                <c:pt idx="308">
                  <c:v>45471</c:v>
                </c:pt>
                <c:pt idx="309">
                  <c:v>45472</c:v>
                </c:pt>
                <c:pt idx="310">
                  <c:v>45473</c:v>
                </c:pt>
                <c:pt idx="311">
                  <c:v>45474</c:v>
                </c:pt>
                <c:pt idx="312">
                  <c:v>45475</c:v>
                </c:pt>
                <c:pt idx="313">
                  <c:v>45478</c:v>
                </c:pt>
                <c:pt idx="314">
                  <c:v>45479</c:v>
                </c:pt>
                <c:pt idx="315">
                  <c:v>45480</c:v>
                </c:pt>
                <c:pt idx="316">
                  <c:v>45481</c:v>
                </c:pt>
                <c:pt idx="317">
                  <c:v>45482</c:v>
                </c:pt>
                <c:pt idx="318">
                  <c:v>45483</c:v>
                </c:pt>
                <c:pt idx="319">
                  <c:v>45487</c:v>
                </c:pt>
                <c:pt idx="320">
                  <c:v>45488</c:v>
                </c:pt>
                <c:pt idx="321">
                  <c:v>45504</c:v>
                </c:pt>
                <c:pt idx="322">
                  <c:v>45505</c:v>
                </c:pt>
                <c:pt idx="323">
                  <c:v>45506</c:v>
                </c:pt>
                <c:pt idx="324">
                  <c:v>45507</c:v>
                </c:pt>
                <c:pt idx="325">
                  <c:v>45508</c:v>
                </c:pt>
                <c:pt idx="326">
                  <c:v>45509</c:v>
                </c:pt>
                <c:pt idx="327">
                  <c:v>45510</c:v>
                </c:pt>
                <c:pt idx="328">
                  <c:v>45511</c:v>
                </c:pt>
                <c:pt idx="329">
                  <c:v>45512</c:v>
                </c:pt>
                <c:pt idx="330">
                  <c:v>45513</c:v>
                </c:pt>
                <c:pt idx="331">
                  <c:v>45514</c:v>
                </c:pt>
                <c:pt idx="332">
                  <c:v>45515</c:v>
                </c:pt>
                <c:pt idx="333">
                  <c:v>45516</c:v>
                </c:pt>
                <c:pt idx="334">
                  <c:v>45517</c:v>
                </c:pt>
                <c:pt idx="335">
                  <c:v>45518</c:v>
                </c:pt>
                <c:pt idx="336">
                  <c:v>45519</c:v>
                </c:pt>
                <c:pt idx="337">
                  <c:v>45524</c:v>
                </c:pt>
                <c:pt idx="338">
                  <c:v>45525</c:v>
                </c:pt>
                <c:pt idx="339">
                  <c:v>45526</c:v>
                </c:pt>
                <c:pt idx="340">
                  <c:v>45527</c:v>
                </c:pt>
                <c:pt idx="341">
                  <c:v>45528</c:v>
                </c:pt>
                <c:pt idx="342">
                  <c:v>45529</c:v>
                </c:pt>
                <c:pt idx="343">
                  <c:v>45536</c:v>
                </c:pt>
                <c:pt idx="344">
                  <c:v>45537</c:v>
                </c:pt>
                <c:pt idx="345">
                  <c:v>45538</c:v>
                </c:pt>
                <c:pt idx="346">
                  <c:v>45539</c:v>
                </c:pt>
                <c:pt idx="347">
                  <c:v>45540</c:v>
                </c:pt>
                <c:pt idx="348">
                  <c:v>45541</c:v>
                </c:pt>
                <c:pt idx="349">
                  <c:v>45542</c:v>
                </c:pt>
                <c:pt idx="350">
                  <c:v>45543</c:v>
                </c:pt>
                <c:pt idx="351">
                  <c:v>45544</c:v>
                </c:pt>
                <c:pt idx="352">
                  <c:v>45545</c:v>
                </c:pt>
                <c:pt idx="353">
                  <c:v>45546</c:v>
                </c:pt>
                <c:pt idx="354">
                  <c:v>45547</c:v>
                </c:pt>
                <c:pt idx="355">
                  <c:v>45548</c:v>
                </c:pt>
                <c:pt idx="356">
                  <c:v>45549</c:v>
                </c:pt>
                <c:pt idx="357">
                  <c:v>45550</c:v>
                </c:pt>
                <c:pt idx="358">
                  <c:v>45553</c:v>
                </c:pt>
                <c:pt idx="359">
                  <c:v>45554</c:v>
                </c:pt>
                <c:pt idx="360">
                  <c:v>45557</c:v>
                </c:pt>
                <c:pt idx="361">
                  <c:v>45558</c:v>
                </c:pt>
                <c:pt idx="362">
                  <c:v>45559</c:v>
                </c:pt>
                <c:pt idx="363">
                  <c:v>45560</c:v>
                </c:pt>
                <c:pt idx="364">
                  <c:v>45561</c:v>
                </c:pt>
                <c:pt idx="365">
                  <c:v>45562</c:v>
                </c:pt>
                <c:pt idx="366">
                  <c:v>45563</c:v>
                </c:pt>
                <c:pt idx="367">
                  <c:v>45564</c:v>
                </c:pt>
                <c:pt idx="368">
                  <c:v>45565</c:v>
                </c:pt>
                <c:pt idx="369">
                  <c:v>45566</c:v>
                </c:pt>
                <c:pt idx="370">
                  <c:v>45567</c:v>
                </c:pt>
                <c:pt idx="371">
                  <c:v>45568</c:v>
                </c:pt>
                <c:pt idx="372">
                  <c:v>45569</c:v>
                </c:pt>
                <c:pt idx="373">
                  <c:v>45570</c:v>
                </c:pt>
                <c:pt idx="374">
                  <c:v>45571</c:v>
                </c:pt>
                <c:pt idx="375">
                  <c:v>45572</c:v>
                </c:pt>
                <c:pt idx="376">
                  <c:v>45573</c:v>
                </c:pt>
                <c:pt idx="377">
                  <c:v>45574</c:v>
                </c:pt>
                <c:pt idx="378">
                  <c:v>45575</c:v>
                </c:pt>
                <c:pt idx="379">
                  <c:v>45576</c:v>
                </c:pt>
                <c:pt idx="380">
                  <c:v>45579</c:v>
                </c:pt>
                <c:pt idx="381">
                  <c:v>45580</c:v>
                </c:pt>
                <c:pt idx="382">
                  <c:v>45581</c:v>
                </c:pt>
                <c:pt idx="383">
                  <c:v>45582</c:v>
                </c:pt>
                <c:pt idx="384">
                  <c:v>45583</c:v>
                </c:pt>
                <c:pt idx="385">
                  <c:v>45584</c:v>
                </c:pt>
                <c:pt idx="386">
                  <c:v>45585</c:v>
                </c:pt>
                <c:pt idx="387">
                  <c:v>45591</c:v>
                </c:pt>
                <c:pt idx="388">
                  <c:v>45592</c:v>
                </c:pt>
                <c:pt idx="389">
                  <c:v>45593</c:v>
                </c:pt>
                <c:pt idx="390">
                  <c:v>45594</c:v>
                </c:pt>
                <c:pt idx="391">
                  <c:v>45595</c:v>
                </c:pt>
                <c:pt idx="392">
                  <c:v>45596</c:v>
                </c:pt>
                <c:pt idx="393">
                  <c:v>45597</c:v>
                </c:pt>
                <c:pt idx="394">
                  <c:v>45598</c:v>
                </c:pt>
                <c:pt idx="395">
                  <c:v>45599</c:v>
                </c:pt>
                <c:pt idx="396">
                  <c:v>45600</c:v>
                </c:pt>
                <c:pt idx="397">
                  <c:v>45601</c:v>
                </c:pt>
                <c:pt idx="398">
                  <c:v>45602</c:v>
                </c:pt>
                <c:pt idx="399">
                  <c:v>45604</c:v>
                </c:pt>
                <c:pt idx="400">
                  <c:v>45605</c:v>
                </c:pt>
                <c:pt idx="401">
                  <c:v>45606</c:v>
                </c:pt>
                <c:pt idx="402">
                  <c:v>45607</c:v>
                </c:pt>
                <c:pt idx="403">
                  <c:v>45608</c:v>
                </c:pt>
                <c:pt idx="404">
                  <c:v>45609</c:v>
                </c:pt>
                <c:pt idx="405">
                  <c:v>45610</c:v>
                </c:pt>
                <c:pt idx="406">
                  <c:v>45611</c:v>
                </c:pt>
                <c:pt idx="407">
                  <c:v>45612</c:v>
                </c:pt>
                <c:pt idx="408">
                  <c:v>45618</c:v>
                </c:pt>
                <c:pt idx="409">
                  <c:v>45619</c:v>
                </c:pt>
                <c:pt idx="410">
                  <c:v>45620</c:v>
                </c:pt>
                <c:pt idx="411">
                  <c:v>45626</c:v>
                </c:pt>
                <c:pt idx="412">
                  <c:v>45627</c:v>
                </c:pt>
                <c:pt idx="413">
                  <c:v>45628</c:v>
                </c:pt>
                <c:pt idx="414">
                  <c:v>45629</c:v>
                </c:pt>
                <c:pt idx="415">
                  <c:v>45630</c:v>
                </c:pt>
                <c:pt idx="416">
                  <c:v>45635</c:v>
                </c:pt>
                <c:pt idx="417">
                  <c:v>45639</c:v>
                </c:pt>
                <c:pt idx="418">
                  <c:v>45640</c:v>
                </c:pt>
                <c:pt idx="419">
                  <c:v>45641</c:v>
                </c:pt>
                <c:pt idx="420">
                  <c:v>45642</c:v>
                </c:pt>
                <c:pt idx="421">
                  <c:v>45643</c:v>
                </c:pt>
                <c:pt idx="422">
                  <c:v>45644</c:v>
                </c:pt>
                <c:pt idx="423">
                  <c:v>45645</c:v>
                </c:pt>
                <c:pt idx="424">
                  <c:v>45646</c:v>
                </c:pt>
                <c:pt idx="425">
                  <c:v>45647</c:v>
                </c:pt>
                <c:pt idx="426">
                  <c:v>45648</c:v>
                </c:pt>
                <c:pt idx="427">
                  <c:v>45649</c:v>
                </c:pt>
                <c:pt idx="428">
                  <c:v>45650</c:v>
                </c:pt>
                <c:pt idx="429">
                  <c:v>45651</c:v>
                </c:pt>
                <c:pt idx="430">
                  <c:v>45657</c:v>
                </c:pt>
                <c:pt idx="431">
                  <c:v>45658</c:v>
                </c:pt>
                <c:pt idx="432">
                  <c:v>45659</c:v>
                </c:pt>
                <c:pt idx="433">
                  <c:v>45660</c:v>
                </c:pt>
                <c:pt idx="434">
                  <c:v>45661</c:v>
                </c:pt>
                <c:pt idx="435">
                  <c:v>45662</c:v>
                </c:pt>
                <c:pt idx="436">
                  <c:v>45664</c:v>
                </c:pt>
                <c:pt idx="437">
                  <c:v>45665</c:v>
                </c:pt>
                <c:pt idx="438">
                  <c:v>45666</c:v>
                </c:pt>
                <c:pt idx="439">
                  <c:v>45667</c:v>
                </c:pt>
                <c:pt idx="440">
                  <c:v>45668</c:v>
                </c:pt>
                <c:pt idx="441">
                  <c:v>45669</c:v>
                </c:pt>
                <c:pt idx="442">
                  <c:v>45670</c:v>
                </c:pt>
                <c:pt idx="443">
                  <c:v>45671</c:v>
                </c:pt>
                <c:pt idx="444">
                  <c:v>45672</c:v>
                </c:pt>
                <c:pt idx="445">
                  <c:v>45673</c:v>
                </c:pt>
                <c:pt idx="446">
                  <c:v>45674</c:v>
                </c:pt>
                <c:pt idx="447">
                  <c:v>45675</c:v>
                </c:pt>
                <c:pt idx="448">
                  <c:v>45676</c:v>
                </c:pt>
                <c:pt idx="449">
                  <c:v>45677</c:v>
                </c:pt>
                <c:pt idx="450">
                  <c:v>45678</c:v>
                </c:pt>
                <c:pt idx="451">
                  <c:v>45679</c:v>
                </c:pt>
                <c:pt idx="452">
                  <c:v>45680</c:v>
                </c:pt>
                <c:pt idx="453">
                  <c:v>45681</c:v>
                </c:pt>
                <c:pt idx="454">
                  <c:v>45682</c:v>
                </c:pt>
                <c:pt idx="455">
                  <c:v>45683</c:v>
                </c:pt>
                <c:pt idx="456">
                  <c:v>45684</c:v>
                </c:pt>
                <c:pt idx="457">
                  <c:v>45685</c:v>
                </c:pt>
                <c:pt idx="458">
                  <c:v>45686</c:v>
                </c:pt>
                <c:pt idx="459">
                  <c:v>45687</c:v>
                </c:pt>
                <c:pt idx="460">
                  <c:v>45688</c:v>
                </c:pt>
                <c:pt idx="461">
                  <c:v>45689</c:v>
                </c:pt>
                <c:pt idx="462">
                  <c:v>45690</c:v>
                </c:pt>
                <c:pt idx="463">
                  <c:v>45691</c:v>
                </c:pt>
                <c:pt idx="464">
                  <c:v>45696</c:v>
                </c:pt>
                <c:pt idx="465">
                  <c:v>45697</c:v>
                </c:pt>
                <c:pt idx="466">
                  <c:v>45698</c:v>
                </c:pt>
                <c:pt idx="467">
                  <c:v>45699</c:v>
                </c:pt>
                <c:pt idx="468">
                  <c:v>45700</c:v>
                </c:pt>
                <c:pt idx="469">
                  <c:v>45701</c:v>
                </c:pt>
                <c:pt idx="470">
                  <c:v>45702</c:v>
                </c:pt>
                <c:pt idx="471">
                  <c:v>45703</c:v>
                </c:pt>
                <c:pt idx="472">
                  <c:v>45704</c:v>
                </c:pt>
                <c:pt idx="473">
                  <c:v>45705</c:v>
                </c:pt>
                <c:pt idx="474">
                  <c:v>45706</c:v>
                </c:pt>
                <c:pt idx="475">
                  <c:v>45707</c:v>
                </c:pt>
                <c:pt idx="476">
                  <c:v>45715</c:v>
                </c:pt>
                <c:pt idx="477">
                  <c:v>45716</c:v>
                </c:pt>
                <c:pt idx="478">
                  <c:v>45717</c:v>
                </c:pt>
                <c:pt idx="479">
                  <c:v>45718</c:v>
                </c:pt>
                <c:pt idx="480">
                  <c:v>45719</c:v>
                </c:pt>
                <c:pt idx="481">
                  <c:v>45720</c:v>
                </c:pt>
                <c:pt idx="482">
                  <c:v>45723</c:v>
                </c:pt>
                <c:pt idx="483">
                  <c:v>45724</c:v>
                </c:pt>
                <c:pt idx="484">
                  <c:v>45725</c:v>
                </c:pt>
                <c:pt idx="485">
                  <c:v>45726</c:v>
                </c:pt>
                <c:pt idx="486">
                  <c:v>45727</c:v>
                </c:pt>
                <c:pt idx="487">
                  <c:v>45729</c:v>
                </c:pt>
                <c:pt idx="488">
                  <c:v>45730</c:v>
                </c:pt>
                <c:pt idx="489">
                  <c:v>45731</c:v>
                </c:pt>
                <c:pt idx="490">
                  <c:v>45732</c:v>
                </c:pt>
                <c:pt idx="491">
                  <c:v>45733</c:v>
                </c:pt>
                <c:pt idx="492">
                  <c:v>45734</c:v>
                </c:pt>
                <c:pt idx="493">
                  <c:v>45735</c:v>
                </c:pt>
                <c:pt idx="494">
                  <c:v>45738</c:v>
                </c:pt>
                <c:pt idx="495">
                  <c:v>45739</c:v>
                </c:pt>
                <c:pt idx="496">
                  <c:v>45740</c:v>
                </c:pt>
                <c:pt idx="497">
                  <c:v>45741</c:v>
                </c:pt>
                <c:pt idx="498">
                  <c:v>45742</c:v>
                </c:pt>
                <c:pt idx="499">
                  <c:v>45743</c:v>
                </c:pt>
                <c:pt idx="500">
                  <c:v>45744</c:v>
                </c:pt>
                <c:pt idx="501">
                  <c:v>45745</c:v>
                </c:pt>
                <c:pt idx="502">
                  <c:v>45746</c:v>
                </c:pt>
                <c:pt idx="503">
                  <c:v>45747</c:v>
                </c:pt>
                <c:pt idx="504">
                  <c:v>45748</c:v>
                </c:pt>
                <c:pt idx="505">
                  <c:v>45749</c:v>
                </c:pt>
                <c:pt idx="506">
                  <c:v>45750</c:v>
                </c:pt>
                <c:pt idx="507">
                  <c:v>45751</c:v>
                </c:pt>
                <c:pt idx="508">
                  <c:v>45752</c:v>
                </c:pt>
                <c:pt idx="509">
                  <c:v>45753</c:v>
                </c:pt>
                <c:pt idx="510">
                  <c:v>45754</c:v>
                </c:pt>
                <c:pt idx="511">
                  <c:v>45755</c:v>
                </c:pt>
                <c:pt idx="512">
                  <c:v>45758</c:v>
                </c:pt>
                <c:pt idx="513">
                  <c:v>45759</c:v>
                </c:pt>
                <c:pt idx="514">
                  <c:v>45767</c:v>
                </c:pt>
                <c:pt idx="515">
                  <c:v>45768</c:v>
                </c:pt>
                <c:pt idx="516">
                  <c:v>45769</c:v>
                </c:pt>
                <c:pt idx="517">
                  <c:v>45770</c:v>
                </c:pt>
                <c:pt idx="518">
                  <c:v>45771</c:v>
                </c:pt>
                <c:pt idx="519">
                  <c:v>45772</c:v>
                </c:pt>
                <c:pt idx="520">
                  <c:v>45773</c:v>
                </c:pt>
                <c:pt idx="521">
                  <c:v>45774</c:v>
                </c:pt>
                <c:pt idx="522">
                  <c:v>45775</c:v>
                </c:pt>
                <c:pt idx="523">
                  <c:v>45778</c:v>
                </c:pt>
                <c:pt idx="524">
                  <c:v>45779</c:v>
                </c:pt>
                <c:pt idx="525">
                  <c:v>45782</c:v>
                </c:pt>
                <c:pt idx="526">
                  <c:v>45788</c:v>
                </c:pt>
                <c:pt idx="527">
                  <c:v>45789</c:v>
                </c:pt>
                <c:pt idx="528">
                  <c:v>45790</c:v>
                </c:pt>
                <c:pt idx="529">
                  <c:v>45791</c:v>
                </c:pt>
                <c:pt idx="530">
                  <c:v>45792</c:v>
                </c:pt>
                <c:pt idx="531">
                  <c:v>45793</c:v>
                </c:pt>
                <c:pt idx="532">
                  <c:v>45794</c:v>
                </c:pt>
                <c:pt idx="533">
                  <c:v>45798</c:v>
                </c:pt>
                <c:pt idx="534">
                  <c:v>45799</c:v>
                </c:pt>
                <c:pt idx="535">
                  <c:v>45800</c:v>
                </c:pt>
                <c:pt idx="536">
                  <c:v>45801</c:v>
                </c:pt>
                <c:pt idx="537">
                  <c:v>45802</c:v>
                </c:pt>
                <c:pt idx="538">
                  <c:v>45803</c:v>
                </c:pt>
                <c:pt idx="539">
                  <c:v>45809</c:v>
                </c:pt>
                <c:pt idx="540">
                  <c:v>45810</c:v>
                </c:pt>
                <c:pt idx="541">
                  <c:v>45811</c:v>
                </c:pt>
                <c:pt idx="542">
                  <c:v>45812</c:v>
                </c:pt>
                <c:pt idx="543">
                  <c:v>45813</c:v>
                </c:pt>
                <c:pt idx="544">
                  <c:v>45814</c:v>
                </c:pt>
                <c:pt idx="545">
                  <c:v>45815</c:v>
                </c:pt>
                <c:pt idx="546">
                  <c:v>45816</c:v>
                </c:pt>
                <c:pt idx="547">
                  <c:v>45821</c:v>
                </c:pt>
                <c:pt idx="548">
                  <c:v>45822</c:v>
                </c:pt>
                <c:pt idx="549">
                  <c:v>45823</c:v>
                </c:pt>
                <c:pt idx="550">
                  <c:v>45824</c:v>
                </c:pt>
                <c:pt idx="551">
                  <c:v>45825</c:v>
                </c:pt>
                <c:pt idx="552">
                  <c:v>45826</c:v>
                </c:pt>
                <c:pt idx="553">
                  <c:v>45827</c:v>
                </c:pt>
                <c:pt idx="554">
                  <c:v>45828</c:v>
                </c:pt>
                <c:pt idx="555">
                  <c:v>45829</c:v>
                </c:pt>
                <c:pt idx="556">
                  <c:v>45830</c:v>
                </c:pt>
                <c:pt idx="557">
                  <c:v>45831</c:v>
                </c:pt>
                <c:pt idx="558">
                  <c:v>45832</c:v>
                </c:pt>
                <c:pt idx="559">
                  <c:v>45833</c:v>
                </c:pt>
                <c:pt idx="560">
                  <c:v>45834</c:v>
                </c:pt>
                <c:pt idx="561">
                  <c:v>45835</c:v>
                </c:pt>
                <c:pt idx="562">
                  <c:v>45836</c:v>
                </c:pt>
                <c:pt idx="563">
                  <c:v>45837</c:v>
                </c:pt>
                <c:pt idx="564">
                  <c:v>45838</c:v>
                </c:pt>
                <c:pt idx="565">
                  <c:v>45839</c:v>
                </c:pt>
                <c:pt idx="566">
                  <c:v>45840</c:v>
                </c:pt>
                <c:pt idx="567">
                  <c:v>45841</c:v>
                </c:pt>
                <c:pt idx="568">
                  <c:v>45842</c:v>
                </c:pt>
                <c:pt idx="569">
                  <c:v>45843</c:v>
                </c:pt>
                <c:pt idx="570">
                  <c:v>45844</c:v>
                </c:pt>
                <c:pt idx="571">
                  <c:v>45845</c:v>
                </c:pt>
                <c:pt idx="572">
                  <c:v>45846</c:v>
                </c:pt>
                <c:pt idx="573">
                  <c:v>45847</c:v>
                </c:pt>
                <c:pt idx="574">
                  <c:v>45848</c:v>
                </c:pt>
                <c:pt idx="575">
                  <c:v>45849</c:v>
                </c:pt>
                <c:pt idx="576">
                  <c:v>45850</c:v>
                </c:pt>
                <c:pt idx="577">
                  <c:v>45851</c:v>
                </c:pt>
                <c:pt idx="578">
                  <c:v>45852</c:v>
                </c:pt>
                <c:pt idx="579">
                  <c:v>45854</c:v>
                </c:pt>
                <c:pt idx="580">
                  <c:v>45855</c:v>
                </c:pt>
                <c:pt idx="581">
                  <c:v>45856</c:v>
                </c:pt>
                <c:pt idx="582">
                  <c:v>45857</c:v>
                </c:pt>
                <c:pt idx="583">
                  <c:v>45858</c:v>
                </c:pt>
                <c:pt idx="584">
                  <c:v>45862</c:v>
                </c:pt>
                <c:pt idx="585">
                  <c:v>45863</c:v>
                </c:pt>
                <c:pt idx="586">
                  <c:v>45864</c:v>
                </c:pt>
                <c:pt idx="587">
                  <c:v>45871</c:v>
                </c:pt>
                <c:pt idx="588">
                  <c:v>45872</c:v>
                </c:pt>
                <c:pt idx="589">
                  <c:v>45873</c:v>
                </c:pt>
                <c:pt idx="590">
                  <c:v>45880</c:v>
                </c:pt>
                <c:pt idx="591">
                  <c:v>45881</c:v>
                </c:pt>
                <c:pt idx="592">
                  <c:v>45882</c:v>
                </c:pt>
                <c:pt idx="593">
                  <c:v>45886</c:v>
                </c:pt>
                <c:pt idx="594">
                  <c:v>45887</c:v>
                </c:pt>
                <c:pt idx="595">
                  <c:v>45888</c:v>
                </c:pt>
                <c:pt idx="596">
                  <c:v>45889</c:v>
                </c:pt>
                <c:pt idx="597">
                  <c:v>45890</c:v>
                </c:pt>
                <c:pt idx="598">
                  <c:v>45891</c:v>
                </c:pt>
                <c:pt idx="599">
                  <c:v>45894</c:v>
                </c:pt>
                <c:pt idx="600">
                  <c:v>45895</c:v>
                </c:pt>
                <c:pt idx="601">
                  <c:v>45896</c:v>
                </c:pt>
                <c:pt idx="602">
                  <c:v>45897</c:v>
                </c:pt>
                <c:pt idx="603">
                  <c:v>45898</c:v>
                </c:pt>
                <c:pt idx="604">
                  <c:v>45899</c:v>
                </c:pt>
                <c:pt idx="605">
                  <c:v>45900</c:v>
                </c:pt>
                <c:pt idx="606">
                  <c:v>45901</c:v>
                </c:pt>
                <c:pt idx="607">
                  <c:v>45902</c:v>
                </c:pt>
                <c:pt idx="608">
                  <c:v>45903</c:v>
                </c:pt>
                <c:pt idx="609">
                  <c:v>45904</c:v>
                </c:pt>
                <c:pt idx="610">
                  <c:v>45905</c:v>
                </c:pt>
                <c:pt idx="611">
                  <c:v>45906</c:v>
                </c:pt>
                <c:pt idx="612">
                  <c:v>45907</c:v>
                </c:pt>
                <c:pt idx="613">
                  <c:v>45908</c:v>
                </c:pt>
                <c:pt idx="614">
                  <c:v>45909</c:v>
                </c:pt>
                <c:pt idx="615">
                  <c:v>45911</c:v>
                </c:pt>
                <c:pt idx="616">
                  <c:v>45912</c:v>
                </c:pt>
                <c:pt idx="617">
                  <c:v>45913</c:v>
                </c:pt>
                <c:pt idx="618">
                  <c:v>45914</c:v>
                </c:pt>
                <c:pt idx="619">
                  <c:v>45917</c:v>
                </c:pt>
                <c:pt idx="620">
                  <c:v>45919</c:v>
                </c:pt>
                <c:pt idx="621">
                  <c:v>45920</c:v>
                </c:pt>
                <c:pt idx="622">
                  <c:v>45921</c:v>
                </c:pt>
                <c:pt idx="623">
                  <c:v>45922</c:v>
                </c:pt>
                <c:pt idx="624">
                  <c:v>45923</c:v>
                </c:pt>
                <c:pt idx="625">
                  <c:v>45924</c:v>
                </c:pt>
                <c:pt idx="626">
                  <c:v>45925</c:v>
                </c:pt>
                <c:pt idx="627">
                  <c:v>45926</c:v>
                </c:pt>
                <c:pt idx="628">
                  <c:v>45927</c:v>
                </c:pt>
                <c:pt idx="629">
                  <c:v>45928</c:v>
                </c:pt>
                <c:pt idx="630">
                  <c:v>45929</c:v>
                </c:pt>
                <c:pt idx="631">
                  <c:v>45930</c:v>
                </c:pt>
                <c:pt idx="632">
                  <c:v>45931</c:v>
                </c:pt>
                <c:pt idx="633">
                  <c:v>45932</c:v>
                </c:pt>
                <c:pt idx="634">
                  <c:v>45933</c:v>
                </c:pt>
                <c:pt idx="635">
                  <c:v>45934</c:v>
                </c:pt>
                <c:pt idx="636">
                  <c:v>45935</c:v>
                </c:pt>
                <c:pt idx="637">
                  <c:v>45936</c:v>
                </c:pt>
                <c:pt idx="638">
                  <c:v>45937</c:v>
                </c:pt>
                <c:pt idx="639">
                  <c:v>45938</c:v>
                </c:pt>
                <c:pt idx="640">
                  <c:v>45939</c:v>
                </c:pt>
                <c:pt idx="641">
                  <c:v>45940</c:v>
                </c:pt>
                <c:pt idx="642">
                  <c:v>45941</c:v>
                </c:pt>
                <c:pt idx="643">
                  <c:v>45942</c:v>
                </c:pt>
                <c:pt idx="644">
                  <c:v>45943</c:v>
                </c:pt>
                <c:pt idx="645">
                  <c:v>45944</c:v>
                </c:pt>
                <c:pt idx="646">
                  <c:v>45945</c:v>
                </c:pt>
                <c:pt idx="647">
                  <c:v>45946</c:v>
                </c:pt>
                <c:pt idx="648">
                  <c:v>45947</c:v>
                </c:pt>
                <c:pt idx="649">
                  <c:v>45948</c:v>
                </c:pt>
                <c:pt idx="650">
                  <c:v>45949</c:v>
                </c:pt>
                <c:pt idx="651">
                  <c:v>45950</c:v>
                </c:pt>
                <c:pt idx="652">
                  <c:v>45951</c:v>
                </c:pt>
                <c:pt idx="653">
                  <c:v>45952</c:v>
                </c:pt>
                <c:pt idx="654">
                  <c:v>45953</c:v>
                </c:pt>
                <c:pt idx="655">
                  <c:v>45954</c:v>
                </c:pt>
                <c:pt idx="656">
                  <c:v>45955</c:v>
                </c:pt>
                <c:pt idx="657">
                  <c:v>45956</c:v>
                </c:pt>
                <c:pt idx="658">
                  <c:v>45957</c:v>
                </c:pt>
                <c:pt idx="659">
                  <c:v>45958</c:v>
                </c:pt>
                <c:pt idx="660">
                  <c:v>45959</c:v>
                </c:pt>
                <c:pt idx="661">
                  <c:v>45960</c:v>
                </c:pt>
                <c:pt idx="662">
                  <c:v>45961</c:v>
                </c:pt>
                <c:pt idx="663">
                  <c:v>45962</c:v>
                </c:pt>
                <c:pt idx="664">
                  <c:v>45963</c:v>
                </c:pt>
                <c:pt idx="665">
                  <c:v>45964</c:v>
                </c:pt>
                <c:pt idx="666">
                  <c:v>45965</c:v>
                </c:pt>
                <c:pt idx="667">
                  <c:v>45966</c:v>
                </c:pt>
                <c:pt idx="668">
                  <c:v>45967</c:v>
                </c:pt>
                <c:pt idx="669">
                  <c:v>45968</c:v>
                </c:pt>
                <c:pt idx="670">
                  <c:v>45969</c:v>
                </c:pt>
                <c:pt idx="671">
                  <c:v>45971</c:v>
                </c:pt>
                <c:pt idx="672">
                  <c:v>45972</c:v>
                </c:pt>
                <c:pt idx="673">
                  <c:v>45973</c:v>
                </c:pt>
                <c:pt idx="674">
                  <c:v>45974</c:v>
                </c:pt>
                <c:pt idx="675">
                  <c:v>45975</c:v>
                </c:pt>
                <c:pt idx="676">
                  <c:v>45976</c:v>
                </c:pt>
                <c:pt idx="677">
                  <c:v>45977</c:v>
                </c:pt>
                <c:pt idx="678">
                  <c:v>45978</c:v>
                </c:pt>
                <c:pt idx="679">
                  <c:v>45983</c:v>
                </c:pt>
                <c:pt idx="680">
                  <c:v>45984</c:v>
                </c:pt>
                <c:pt idx="681">
                  <c:v>45985</c:v>
                </c:pt>
                <c:pt idx="682">
                  <c:v>45986</c:v>
                </c:pt>
                <c:pt idx="683">
                  <c:v>45987</c:v>
                </c:pt>
                <c:pt idx="684">
                  <c:v>45988</c:v>
                </c:pt>
                <c:pt idx="685">
                  <c:v>45989</c:v>
                </c:pt>
                <c:pt idx="686">
                  <c:v>45990</c:v>
                </c:pt>
                <c:pt idx="687">
                  <c:v>45991</c:v>
                </c:pt>
                <c:pt idx="688">
                  <c:v>45992</c:v>
                </c:pt>
                <c:pt idx="689">
                  <c:v>45993</c:v>
                </c:pt>
                <c:pt idx="690">
                  <c:v>45994</c:v>
                </c:pt>
                <c:pt idx="691">
                  <c:v>45995</c:v>
                </c:pt>
                <c:pt idx="692">
                  <c:v>45996</c:v>
                </c:pt>
                <c:pt idx="693">
                  <c:v>45997</c:v>
                </c:pt>
                <c:pt idx="694">
                  <c:v>45998</c:v>
                </c:pt>
                <c:pt idx="695">
                  <c:v>45999</c:v>
                </c:pt>
                <c:pt idx="696">
                  <c:v>46000</c:v>
                </c:pt>
                <c:pt idx="697">
                  <c:v>46001</c:v>
                </c:pt>
                <c:pt idx="698">
                  <c:v>46002</c:v>
                </c:pt>
                <c:pt idx="699">
                  <c:v>46003</c:v>
                </c:pt>
                <c:pt idx="700">
                  <c:v>46004</c:v>
                </c:pt>
                <c:pt idx="701">
                  <c:v>46006</c:v>
                </c:pt>
                <c:pt idx="702">
                  <c:v>46007</c:v>
                </c:pt>
                <c:pt idx="703">
                  <c:v>46008</c:v>
                </c:pt>
                <c:pt idx="704">
                  <c:v>46009</c:v>
                </c:pt>
                <c:pt idx="705">
                  <c:v>46010</c:v>
                </c:pt>
                <c:pt idx="706">
                  <c:v>46011</c:v>
                </c:pt>
                <c:pt idx="707">
                  <c:v>46012</c:v>
                </c:pt>
                <c:pt idx="708">
                  <c:v>46013</c:v>
                </c:pt>
                <c:pt idx="709">
                  <c:v>46014</c:v>
                </c:pt>
                <c:pt idx="710">
                  <c:v>46015</c:v>
                </c:pt>
                <c:pt idx="711">
                  <c:v>46016</c:v>
                </c:pt>
                <c:pt idx="712">
                  <c:v>46022</c:v>
                </c:pt>
                <c:pt idx="713">
                  <c:v>46024</c:v>
                </c:pt>
                <c:pt idx="714">
                  <c:v>46025</c:v>
                </c:pt>
                <c:pt idx="715">
                  <c:v>46026</c:v>
                </c:pt>
                <c:pt idx="716">
                  <c:v>46027</c:v>
                </c:pt>
                <c:pt idx="717">
                  <c:v>46029</c:v>
                </c:pt>
                <c:pt idx="718">
                  <c:v>46030</c:v>
                </c:pt>
                <c:pt idx="719">
                  <c:v>46031</c:v>
                </c:pt>
                <c:pt idx="720">
                  <c:v>46032</c:v>
                </c:pt>
                <c:pt idx="721">
                  <c:v>46033</c:v>
                </c:pt>
                <c:pt idx="722">
                  <c:v>46034</c:v>
                </c:pt>
                <c:pt idx="723">
                  <c:v>46039</c:v>
                </c:pt>
                <c:pt idx="724">
                  <c:v>46040</c:v>
                </c:pt>
                <c:pt idx="725">
                  <c:v>46041</c:v>
                </c:pt>
                <c:pt idx="726">
                  <c:v>46042</c:v>
                </c:pt>
                <c:pt idx="727">
                  <c:v>46044</c:v>
                </c:pt>
                <c:pt idx="728">
                  <c:v>46045</c:v>
                </c:pt>
                <c:pt idx="729">
                  <c:v>46046</c:v>
                </c:pt>
                <c:pt idx="730">
                  <c:v>46047</c:v>
                </c:pt>
                <c:pt idx="731">
                  <c:v>46054</c:v>
                </c:pt>
                <c:pt idx="732">
                  <c:v>46055</c:v>
                </c:pt>
                <c:pt idx="733">
                  <c:v>46056</c:v>
                </c:pt>
                <c:pt idx="734">
                  <c:v>46057</c:v>
                </c:pt>
                <c:pt idx="735">
                  <c:v>46058</c:v>
                </c:pt>
                <c:pt idx="736">
                  <c:v>46059</c:v>
                </c:pt>
                <c:pt idx="737">
                  <c:v>46060</c:v>
                </c:pt>
                <c:pt idx="738">
                  <c:v>46061</c:v>
                </c:pt>
                <c:pt idx="739">
                  <c:v>46062</c:v>
                </c:pt>
                <c:pt idx="740">
                  <c:v>46063</c:v>
                </c:pt>
                <c:pt idx="741">
                  <c:v>46066</c:v>
                </c:pt>
                <c:pt idx="742">
                  <c:v>46067</c:v>
                </c:pt>
                <c:pt idx="743">
                  <c:v>46068</c:v>
                </c:pt>
                <c:pt idx="744">
                  <c:v>46069</c:v>
                </c:pt>
                <c:pt idx="745">
                  <c:v>46070</c:v>
                </c:pt>
                <c:pt idx="746">
                  <c:v>46071</c:v>
                </c:pt>
                <c:pt idx="747">
                  <c:v>46072</c:v>
                </c:pt>
                <c:pt idx="748">
                  <c:v>46073</c:v>
                </c:pt>
                <c:pt idx="749">
                  <c:v>46074</c:v>
                </c:pt>
                <c:pt idx="750">
                  <c:v>46075</c:v>
                </c:pt>
                <c:pt idx="751">
                  <c:v>46076</c:v>
                </c:pt>
                <c:pt idx="752">
                  <c:v>46079</c:v>
                </c:pt>
                <c:pt idx="753">
                  <c:v>46080</c:v>
                </c:pt>
                <c:pt idx="754">
                  <c:v>46081</c:v>
                </c:pt>
                <c:pt idx="755">
                  <c:v>46082</c:v>
                </c:pt>
                <c:pt idx="756">
                  <c:v>46083</c:v>
                </c:pt>
                <c:pt idx="757">
                  <c:v>46084</c:v>
                </c:pt>
                <c:pt idx="758">
                  <c:v>46088</c:v>
                </c:pt>
                <c:pt idx="759">
                  <c:v>46089</c:v>
                </c:pt>
                <c:pt idx="760">
                  <c:v>46090</c:v>
                </c:pt>
                <c:pt idx="761">
                  <c:v>46091</c:v>
                </c:pt>
                <c:pt idx="762">
                  <c:v>46092</c:v>
                </c:pt>
                <c:pt idx="763">
                  <c:v>46093</c:v>
                </c:pt>
                <c:pt idx="764">
                  <c:v>46094</c:v>
                </c:pt>
                <c:pt idx="765">
                  <c:v>46096</c:v>
                </c:pt>
                <c:pt idx="766">
                  <c:v>46097</c:v>
                </c:pt>
                <c:pt idx="767">
                  <c:v>46101</c:v>
                </c:pt>
                <c:pt idx="768">
                  <c:v>46102</c:v>
                </c:pt>
                <c:pt idx="769">
                  <c:v>46103</c:v>
                </c:pt>
                <c:pt idx="770">
                  <c:v>46104</c:v>
                </c:pt>
                <c:pt idx="771">
                  <c:v>46116</c:v>
                </c:pt>
                <c:pt idx="772">
                  <c:v>46117</c:v>
                </c:pt>
                <c:pt idx="773">
                  <c:v>46118</c:v>
                </c:pt>
                <c:pt idx="774">
                  <c:v>46119</c:v>
                </c:pt>
                <c:pt idx="775">
                  <c:v>46120</c:v>
                </c:pt>
                <c:pt idx="776">
                  <c:v>46121</c:v>
                </c:pt>
                <c:pt idx="777">
                  <c:v>46122</c:v>
                </c:pt>
                <c:pt idx="778">
                  <c:v>46123</c:v>
                </c:pt>
                <c:pt idx="779">
                  <c:v>46124</c:v>
                </c:pt>
                <c:pt idx="780">
                  <c:v>46125</c:v>
                </c:pt>
                <c:pt idx="781">
                  <c:v>46126</c:v>
                </c:pt>
                <c:pt idx="782">
                  <c:v>46127</c:v>
                </c:pt>
                <c:pt idx="783">
                  <c:v>46128</c:v>
                </c:pt>
                <c:pt idx="784">
                  <c:v>46129</c:v>
                </c:pt>
                <c:pt idx="785">
                  <c:v>46135</c:v>
                </c:pt>
                <c:pt idx="786">
                  <c:v>46136</c:v>
                </c:pt>
                <c:pt idx="787">
                  <c:v>46137</c:v>
                </c:pt>
                <c:pt idx="788">
                  <c:v>46138</c:v>
                </c:pt>
                <c:pt idx="789">
                  <c:v>46139</c:v>
                </c:pt>
                <c:pt idx="790">
                  <c:v>46140</c:v>
                </c:pt>
                <c:pt idx="791">
                  <c:v>46141</c:v>
                </c:pt>
                <c:pt idx="792">
                  <c:v>46142</c:v>
                </c:pt>
                <c:pt idx="793">
                  <c:v>46143</c:v>
                </c:pt>
                <c:pt idx="794">
                  <c:v>46144</c:v>
                </c:pt>
                <c:pt idx="795">
                  <c:v>46147</c:v>
                </c:pt>
                <c:pt idx="796">
                  <c:v>46148</c:v>
                </c:pt>
              </c:numCache>
            </c:numRef>
          </c:cat>
          <c:val>
            <c:numRef>
              <c:f>Pesos_R!$Y$2:$Y$798</c:f>
              <c:numCache>
                <c:formatCode>_(* #,##0.00_);_(* \(#,##0.00\);_(* "-"??_);_(@_)</c:formatCode>
                <c:ptCount val="797"/>
                <c:pt idx="0">
                  <c:v>45.471800000000002</c:v>
                </c:pt>
                <c:pt idx="1">
                  <c:v>45.495999999999995</c:v>
                </c:pt>
                <c:pt idx="2">
                  <c:v>45.330300000000008</c:v>
                </c:pt>
                <c:pt idx="3">
                  <c:v>45.574800000000003</c:v>
                </c:pt>
                <c:pt idx="4">
                  <c:v>45.036199999999994</c:v>
                </c:pt>
                <c:pt idx="5">
                  <c:v>45.136350000000007</c:v>
                </c:pt>
                <c:pt idx="6">
                  <c:v>45.5625</c:v>
                </c:pt>
                <c:pt idx="7">
                  <c:v>45.141850000000005</c:v>
                </c:pt>
                <c:pt idx="8">
                  <c:v>45.676799999999993</c:v>
                </c:pt>
                <c:pt idx="9">
                  <c:v>45.60755000000001</c:v>
                </c:pt>
                <c:pt idx="10">
                  <c:v>46.420199999999994</c:v>
                </c:pt>
                <c:pt idx="11">
                  <c:v>45.544400000000003</c:v>
                </c:pt>
                <c:pt idx="12">
                  <c:v>45.875400000000006</c:v>
                </c:pt>
                <c:pt idx="13">
                  <c:v>45.157200000000003</c:v>
                </c:pt>
                <c:pt idx="14">
                  <c:v>45.46875</c:v>
                </c:pt>
                <c:pt idx="15">
                  <c:v>45.416699999999992</c:v>
                </c:pt>
                <c:pt idx="16">
                  <c:v>45.375</c:v>
                </c:pt>
                <c:pt idx="17">
                  <c:v>45.308000000000007</c:v>
                </c:pt>
                <c:pt idx="18">
                  <c:v>45.495999999999995</c:v>
                </c:pt>
                <c:pt idx="19">
                  <c:v>45.717000000000013</c:v>
                </c:pt>
                <c:pt idx="20">
                  <c:v>44.894850000000005</c:v>
                </c:pt>
                <c:pt idx="21">
                  <c:v>44.9465</c:v>
                </c:pt>
                <c:pt idx="22">
                  <c:v>45.051500000000004</c:v>
                </c:pt>
                <c:pt idx="23">
                  <c:v>44.8292</c:v>
                </c:pt>
                <c:pt idx="24">
                  <c:v>45.274749999999997</c:v>
                </c:pt>
                <c:pt idx="25">
                  <c:v>45.024000000000001</c:v>
                </c:pt>
                <c:pt idx="26">
                  <c:v>45.108800000000002</c:v>
                </c:pt>
                <c:pt idx="27">
                  <c:v>44.959500000000006</c:v>
                </c:pt>
                <c:pt idx="28">
                  <c:v>44.575649999999996</c:v>
                </c:pt>
                <c:pt idx="29">
                  <c:v>45.049949999999995</c:v>
                </c:pt>
                <c:pt idx="30">
                  <c:v>45.356200000000001</c:v>
                </c:pt>
                <c:pt idx="31">
                  <c:v>45.329549999999998</c:v>
                </c:pt>
                <c:pt idx="32">
                  <c:v>45.257100000000008</c:v>
                </c:pt>
                <c:pt idx="33">
                  <c:v>45.132999999999996</c:v>
                </c:pt>
                <c:pt idx="34">
                  <c:v>45.09620000000001</c:v>
                </c:pt>
                <c:pt idx="35">
                  <c:v>44.1892</c:v>
                </c:pt>
                <c:pt idx="36">
                  <c:v>44.63355</c:v>
                </c:pt>
                <c:pt idx="37">
                  <c:v>44.203900000000012</c:v>
                </c:pt>
                <c:pt idx="38">
                  <c:v>44.095500000000001</c:v>
                </c:pt>
                <c:pt idx="39">
                  <c:v>44.741250000000008</c:v>
                </c:pt>
                <c:pt idx="40">
                  <c:v>44.556750000000008</c:v>
                </c:pt>
                <c:pt idx="41">
                  <c:v>44.416300000000007</c:v>
                </c:pt>
                <c:pt idx="42">
                  <c:v>44.444700000000005</c:v>
                </c:pt>
                <c:pt idx="43">
                  <c:v>43.69885</c:v>
                </c:pt>
                <c:pt idx="44">
                  <c:v>43.764749999999999</c:v>
                </c:pt>
                <c:pt idx="45">
                  <c:v>43.708750000000002</c:v>
                </c:pt>
                <c:pt idx="46">
                  <c:v>44.092400000000005</c:v>
                </c:pt>
                <c:pt idx="47">
                  <c:v>43.771000000000001</c:v>
                </c:pt>
                <c:pt idx="48">
                  <c:v>43.320000000000007</c:v>
                </c:pt>
                <c:pt idx="49">
                  <c:v>43.450200000000009</c:v>
                </c:pt>
                <c:pt idx="50">
                  <c:v>43.411199999999994</c:v>
                </c:pt>
                <c:pt idx="51">
                  <c:v>43.6892</c:v>
                </c:pt>
                <c:pt idx="52">
                  <c:v>43.474100000000007</c:v>
                </c:pt>
                <c:pt idx="53">
                  <c:v>43.736999999999995</c:v>
                </c:pt>
                <c:pt idx="54">
                  <c:v>43.736999999999995</c:v>
                </c:pt>
                <c:pt idx="55">
                  <c:v>43.597800000000007</c:v>
                </c:pt>
                <c:pt idx="56">
                  <c:v>43.299900000000001</c:v>
                </c:pt>
                <c:pt idx="57">
                  <c:v>43.465800000000002</c:v>
                </c:pt>
                <c:pt idx="58">
                  <c:v>43.69885</c:v>
                </c:pt>
                <c:pt idx="59">
                  <c:v>43.569700000000005</c:v>
                </c:pt>
                <c:pt idx="60">
                  <c:v>43.744400000000006</c:v>
                </c:pt>
                <c:pt idx="61">
                  <c:v>43.411200000000008</c:v>
                </c:pt>
                <c:pt idx="62">
                  <c:v>43.411200000000008</c:v>
                </c:pt>
                <c:pt idx="63">
                  <c:v>42.904800000000009</c:v>
                </c:pt>
                <c:pt idx="64">
                  <c:v>43.947199999999995</c:v>
                </c:pt>
                <c:pt idx="65">
                  <c:v>43.554550000000006</c:v>
                </c:pt>
                <c:pt idx="66">
                  <c:v>42.962400000000002</c:v>
                </c:pt>
                <c:pt idx="67">
                  <c:v>43.415000000000006</c:v>
                </c:pt>
                <c:pt idx="68">
                  <c:v>43.72290000000001</c:v>
                </c:pt>
                <c:pt idx="69">
                  <c:v>43.729400000000005</c:v>
                </c:pt>
                <c:pt idx="70">
                  <c:v>43.607999999999997</c:v>
                </c:pt>
                <c:pt idx="71">
                  <c:v>43.3675</c:v>
                </c:pt>
                <c:pt idx="72">
                  <c:v>43.173200000000001</c:v>
                </c:pt>
                <c:pt idx="73">
                  <c:v>43.407000000000004</c:v>
                </c:pt>
                <c:pt idx="74">
                  <c:v>43.137600000000006</c:v>
                </c:pt>
                <c:pt idx="75">
                  <c:v>43.106250000000003</c:v>
                </c:pt>
                <c:pt idx="76">
                  <c:v>42.892500000000005</c:v>
                </c:pt>
                <c:pt idx="77">
                  <c:v>43.115600000000008</c:v>
                </c:pt>
                <c:pt idx="78">
                  <c:v>43.096949999999993</c:v>
                </c:pt>
                <c:pt idx="79">
                  <c:v>42.920699999999997</c:v>
                </c:pt>
                <c:pt idx="80">
                  <c:v>43.125600000000006</c:v>
                </c:pt>
                <c:pt idx="81">
                  <c:v>43.196999999999989</c:v>
                </c:pt>
                <c:pt idx="82">
                  <c:v>43.101799999999997</c:v>
                </c:pt>
                <c:pt idx="83">
                  <c:v>43.378500000000003</c:v>
                </c:pt>
                <c:pt idx="84">
                  <c:v>43.311599999999999</c:v>
                </c:pt>
                <c:pt idx="85">
                  <c:v>43.861999999999995</c:v>
                </c:pt>
                <c:pt idx="86">
                  <c:v>43.578599999999994</c:v>
                </c:pt>
                <c:pt idx="87">
                  <c:v>43.416000000000004</c:v>
                </c:pt>
                <c:pt idx="88">
                  <c:v>43.073100000000004</c:v>
                </c:pt>
                <c:pt idx="89">
                  <c:v>43.216200000000001</c:v>
                </c:pt>
                <c:pt idx="90">
                  <c:v>42.688250000000011</c:v>
                </c:pt>
                <c:pt idx="91">
                  <c:v>43.032000000000011</c:v>
                </c:pt>
                <c:pt idx="92">
                  <c:v>42.709300000000006</c:v>
                </c:pt>
                <c:pt idx="93">
                  <c:v>42.447600000000001</c:v>
                </c:pt>
                <c:pt idx="94">
                  <c:v>42.834000000000003</c:v>
                </c:pt>
                <c:pt idx="95">
                  <c:v>42.802200000000013</c:v>
                </c:pt>
                <c:pt idx="96">
                  <c:v>42.283799999999992</c:v>
                </c:pt>
                <c:pt idx="97">
                  <c:v>43.229750000000003</c:v>
                </c:pt>
                <c:pt idx="98">
                  <c:v>42.846550000000008</c:v>
                </c:pt>
                <c:pt idx="99">
                  <c:v>43.139499999999998</c:v>
                </c:pt>
                <c:pt idx="100">
                  <c:v>42.813900000000004</c:v>
                </c:pt>
                <c:pt idx="101">
                  <c:v>42.884550000000004</c:v>
                </c:pt>
                <c:pt idx="102">
                  <c:v>43.030400000000007</c:v>
                </c:pt>
                <c:pt idx="103">
                  <c:v>43.049500000000009</c:v>
                </c:pt>
                <c:pt idx="104">
                  <c:v>43.062100000000001</c:v>
                </c:pt>
                <c:pt idx="105">
                  <c:v>42.351900000000001</c:v>
                </c:pt>
                <c:pt idx="106">
                  <c:v>42.953850000000003</c:v>
                </c:pt>
                <c:pt idx="107">
                  <c:v>43.039199999999994</c:v>
                </c:pt>
                <c:pt idx="108">
                  <c:v>43.406999999999996</c:v>
                </c:pt>
                <c:pt idx="109">
                  <c:v>43.620999999999995</c:v>
                </c:pt>
                <c:pt idx="110">
                  <c:v>43.247999999999998</c:v>
                </c:pt>
                <c:pt idx="111">
                  <c:v>43.819749999999999</c:v>
                </c:pt>
                <c:pt idx="112">
                  <c:v>42.920700000000011</c:v>
                </c:pt>
                <c:pt idx="113">
                  <c:v>42.664600000000007</c:v>
                </c:pt>
                <c:pt idx="114">
                  <c:v>42.6173</c:v>
                </c:pt>
                <c:pt idx="115">
                  <c:v>42.664600000000007</c:v>
                </c:pt>
                <c:pt idx="116">
                  <c:v>43.006599999999999</c:v>
                </c:pt>
                <c:pt idx="117">
                  <c:v>43.09695</c:v>
                </c:pt>
                <c:pt idx="118">
                  <c:v>42.692399999999999</c:v>
                </c:pt>
                <c:pt idx="119">
                  <c:v>42.853799999999993</c:v>
                </c:pt>
                <c:pt idx="120">
                  <c:v>43.011250000000004</c:v>
                </c:pt>
                <c:pt idx="121">
                  <c:v>43.197000000000003</c:v>
                </c:pt>
                <c:pt idx="122">
                  <c:v>42.972200000000001</c:v>
                </c:pt>
                <c:pt idx="123">
                  <c:v>42.834599999999995</c:v>
                </c:pt>
                <c:pt idx="124">
                  <c:v>42.621600000000001</c:v>
                </c:pt>
                <c:pt idx="125">
                  <c:v>42.385599999999997</c:v>
                </c:pt>
                <c:pt idx="126">
                  <c:v>42.409200000000006</c:v>
                </c:pt>
                <c:pt idx="127">
                  <c:v>42.904800000000009</c:v>
                </c:pt>
                <c:pt idx="128">
                  <c:v>42.849600000000009</c:v>
                </c:pt>
                <c:pt idx="129">
                  <c:v>42.574400000000004</c:v>
                </c:pt>
                <c:pt idx="130">
                  <c:v>42.387799999999999</c:v>
                </c:pt>
                <c:pt idx="131">
                  <c:v>42.393749999999997</c:v>
                </c:pt>
                <c:pt idx="132">
                  <c:v>42.201599999999992</c:v>
                </c:pt>
                <c:pt idx="133">
                  <c:v>42.213600000000007</c:v>
                </c:pt>
                <c:pt idx="134">
                  <c:v>41.886000000000003</c:v>
                </c:pt>
                <c:pt idx="135">
                  <c:v>42.041500000000013</c:v>
                </c:pt>
                <c:pt idx="136">
                  <c:v>42.167950000000005</c:v>
                </c:pt>
                <c:pt idx="137">
                  <c:v>42.123400000000011</c:v>
                </c:pt>
                <c:pt idx="138">
                  <c:v>42.280349999999999</c:v>
                </c:pt>
                <c:pt idx="139">
                  <c:v>42.3</c:v>
                </c:pt>
                <c:pt idx="140">
                  <c:v>42.173199999999994</c:v>
                </c:pt>
                <c:pt idx="141">
                  <c:v>42.096999999999994</c:v>
                </c:pt>
                <c:pt idx="142">
                  <c:v>41.753599999999999</c:v>
                </c:pt>
                <c:pt idx="143">
                  <c:v>41.866550000000018</c:v>
                </c:pt>
                <c:pt idx="144">
                  <c:v>41.956200000000003</c:v>
                </c:pt>
                <c:pt idx="145">
                  <c:v>42.201599999999992</c:v>
                </c:pt>
                <c:pt idx="146">
                  <c:v>41.919750000000008</c:v>
                </c:pt>
                <c:pt idx="147">
                  <c:v>42.038399999999996</c:v>
                </c:pt>
                <c:pt idx="148">
                  <c:v>42.143399999999993</c:v>
                </c:pt>
                <c:pt idx="149">
                  <c:v>41.560999999999993</c:v>
                </c:pt>
                <c:pt idx="150">
                  <c:v>41.972700000000003</c:v>
                </c:pt>
                <c:pt idx="151">
                  <c:v>42.810400000000008</c:v>
                </c:pt>
                <c:pt idx="152">
                  <c:v>42.763199999999998</c:v>
                </c:pt>
                <c:pt idx="153">
                  <c:v>43.220800000000011</c:v>
                </c:pt>
                <c:pt idx="154">
                  <c:v>43.296000000000006</c:v>
                </c:pt>
                <c:pt idx="155">
                  <c:v>42.607500000000009</c:v>
                </c:pt>
                <c:pt idx="156">
                  <c:v>42.66</c:v>
                </c:pt>
                <c:pt idx="157">
                  <c:v>42.6173</c:v>
                </c:pt>
                <c:pt idx="158">
                  <c:v>42.303799999999995</c:v>
                </c:pt>
                <c:pt idx="159">
                  <c:v>42.467949999999995</c:v>
                </c:pt>
                <c:pt idx="160">
                  <c:v>42.55080000000001</c:v>
                </c:pt>
                <c:pt idx="161">
                  <c:v>42.096999999999994</c:v>
                </c:pt>
                <c:pt idx="162">
                  <c:v>41.947500000000005</c:v>
                </c:pt>
                <c:pt idx="163">
                  <c:v>42.256899999999987</c:v>
                </c:pt>
                <c:pt idx="164">
                  <c:v>42.385599999999997</c:v>
                </c:pt>
                <c:pt idx="165">
                  <c:v>41.461650000000006</c:v>
                </c:pt>
                <c:pt idx="166">
                  <c:v>41.717550000000003</c:v>
                </c:pt>
                <c:pt idx="167">
                  <c:v>41.853499999999997</c:v>
                </c:pt>
                <c:pt idx="168">
                  <c:v>41.877000000000002</c:v>
                </c:pt>
                <c:pt idx="169">
                  <c:v>42.060300000000005</c:v>
                </c:pt>
                <c:pt idx="170">
                  <c:v>42.144300000000001</c:v>
                </c:pt>
                <c:pt idx="171">
                  <c:v>42.280350000000006</c:v>
                </c:pt>
                <c:pt idx="172">
                  <c:v>42.003</c:v>
                </c:pt>
                <c:pt idx="173">
                  <c:v>42.138599999999997</c:v>
                </c:pt>
                <c:pt idx="174">
                  <c:v>42.071399999999997</c:v>
                </c:pt>
                <c:pt idx="175">
                  <c:v>41.724800000000002</c:v>
                </c:pt>
                <c:pt idx="176">
                  <c:v>41.764449999999997</c:v>
                </c:pt>
                <c:pt idx="177">
                  <c:v>41.703100000000013</c:v>
                </c:pt>
                <c:pt idx="178">
                  <c:v>41.687249999999999</c:v>
                </c:pt>
                <c:pt idx="179">
                  <c:v>41.846800000000002</c:v>
                </c:pt>
                <c:pt idx="180">
                  <c:v>41.664000000000001</c:v>
                </c:pt>
                <c:pt idx="181">
                  <c:v>41.641999999999996</c:v>
                </c:pt>
                <c:pt idx="182">
                  <c:v>41.473999999999997</c:v>
                </c:pt>
                <c:pt idx="183">
                  <c:v>41.834800000000001</c:v>
                </c:pt>
                <c:pt idx="184">
                  <c:v>41.7879</c:v>
                </c:pt>
                <c:pt idx="185">
                  <c:v>41.736000000000004</c:v>
                </c:pt>
                <c:pt idx="186">
                  <c:v>42.078800000000008</c:v>
                </c:pt>
                <c:pt idx="187">
                  <c:v>41.586349999999996</c:v>
                </c:pt>
                <c:pt idx="188">
                  <c:v>41.796500000000009</c:v>
                </c:pt>
                <c:pt idx="189">
                  <c:v>41.590499999999999</c:v>
                </c:pt>
                <c:pt idx="190">
                  <c:v>41.9253</c:v>
                </c:pt>
                <c:pt idx="191">
                  <c:v>41.647650000000006</c:v>
                </c:pt>
                <c:pt idx="192">
                  <c:v>41.283150000000006</c:v>
                </c:pt>
                <c:pt idx="193">
                  <c:v>41.406999999999989</c:v>
                </c:pt>
                <c:pt idx="194">
                  <c:v>41.142700000000005</c:v>
                </c:pt>
                <c:pt idx="195">
                  <c:v>40.906049999999986</c:v>
                </c:pt>
                <c:pt idx="196">
                  <c:v>41.594249999999995</c:v>
                </c:pt>
                <c:pt idx="197">
                  <c:v>41.501000000000005</c:v>
                </c:pt>
                <c:pt idx="198">
                  <c:v>41.659950000000009</c:v>
                </c:pt>
                <c:pt idx="199">
                  <c:v>41.201650000000001</c:v>
                </c:pt>
                <c:pt idx="200">
                  <c:v>40.952349999999996</c:v>
                </c:pt>
                <c:pt idx="201">
                  <c:v>41.291999999999994</c:v>
                </c:pt>
                <c:pt idx="202">
                  <c:v>41.376200000000004</c:v>
                </c:pt>
                <c:pt idx="203">
                  <c:v>40.967149999999997</c:v>
                </c:pt>
                <c:pt idx="204">
                  <c:v>40.990599999999993</c:v>
                </c:pt>
                <c:pt idx="205">
                  <c:v>40.803750000000008</c:v>
                </c:pt>
                <c:pt idx="206">
                  <c:v>40.460799999999999</c:v>
                </c:pt>
                <c:pt idx="207">
                  <c:v>40.548000000000009</c:v>
                </c:pt>
                <c:pt idx="208">
                  <c:v>40.929200000000002</c:v>
                </c:pt>
                <c:pt idx="209">
                  <c:v>40.92</c:v>
                </c:pt>
                <c:pt idx="210">
                  <c:v>40.850250000000003</c:v>
                </c:pt>
                <c:pt idx="211">
                  <c:v>40.850249999999996</c:v>
                </c:pt>
                <c:pt idx="212">
                  <c:v>41.404099999999993</c:v>
                </c:pt>
                <c:pt idx="213">
                  <c:v>41.336500000000008</c:v>
                </c:pt>
                <c:pt idx="214">
                  <c:v>41.2455</c:v>
                </c:pt>
                <c:pt idx="215">
                  <c:v>41.319199999999995</c:v>
                </c:pt>
                <c:pt idx="216">
                  <c:v>41.430500000000009</c:v>
                </c:pt>
                <c:pt idx="217">
                  <c:v>41.553049999999999</c:v>
                </c:pt>
                <c:pt idx="218">
                  <c:v>41.178200000000004</c:v>
                </c:pt>
                <c:pt idx="219">
                  <c:v>40.901600000000002</c:v>
                </c:pt>
                <c:pt idx="220">
                  <c:v>40.660200000000003</c:v>
                </c:pt>
                <c:pt idx="221">
                  <c:v>40.948</c:v>
                </c:pt>
                <c:pt idx="222">
                  <c:v>41.072650000000017</c:v>
                </c:pt>
                <c:pt idx="223">
                  <c:v>41.520599999999995</c:v>
                </c:pt>
                <c:pt idx="224">
                  <c:v>41.131299999999996</c:v>
                </c:pt>
                <c:pt idx="225">
                  <c:v>41.084399999999995</c:v>
                </c:pt>
                <c:pt idx="226">
                  <c:v>41.147800000000004</c:v>
                </c:pt>
                <c:pt idx="227">
                  <c:v>41.641999999999996</c:v>
                </c:pt>
                <c:pt idx="228">
                  <c:v>40.790299999999995</c:v>
                </c:pt>
                <c:pt idx="229">
                  <c:v>40.764400000000009</c:v>
                </c:pt>
                <c:pt idx="230">
                  <c:v>41.352850000000004</c:v>
                </c:pt>
                <c:pt idx="231">
                  <c:v>41.5124</c:v>
                </c:pt>
                <c:pt idx="232">
                  <c:v>41.265999999999998</c:v>
                </c:pt>
                <c:pt idx="233">
                  <c:v>41.160600000000002</c:v>
                </c:pt>
                <c:pt idx="234">
                  <c:v>41.268750000000004</c:v>
                </c:pt>
                <c:pt idx="235">
                  <c:v>41.679750000000006</c:v>
                </c:pt>
                <c:pt idx="236">
                  <c:v>41.570999999999998</c:v>
                </c:pt>
                <c:pt idx="237">
                  <c:v>41.230150000000002</c:v>
                </c:pt>
                <c:pt idx="238">
                  <c:v>41.633050000000019</c:v>
                </c:pt>
                <c:pt idx="239">
                  <c:v>41.553399999999996</c:v>
                </c:pt>
                <c:pt idx="240">
                  <c:v>41.83</c:v>
                </c:pt>
                <c:pt idx="241">
                  <c:v>41.365600000000008</c:v>
                </c:pt>
                <c:pt idx="242">
                  <c:v>41.464799999999997</c:v>
                </c:pt>
                <c:pt idx="243">
                  <c:v>41.453999999999994</c:v>
                </c:pt>
                <c:pt idx="244">
                  <c:v>41.129249999999999</c:v>
                </c:pt>
                <c:pt idx="245">
                  <c:v>41.09490000000001</c:v>
                </c:pt>
                <c:pt idx="246">
                  <c:v>40.764400000000016</c:v>
                </c:pt>
                <c:pt idx="247">
                  <c:v>40.919999999999995</c:v>
                </c:pt>
                <c:pt idx="248">
                  <c:v>41.282550000000001</c:v>
                </c:pt>
                <c:pt idx="249">
                  <c:v>41.947500000000005</c:v>
                </c:pt>
                <c:pt idx="250">
                  <c:v>41.506499999999996</c:v>
                </c:pt>
                <c:pt idx="251">
                  <c:v>41.553049999999999</c:v>
                </c:pt>
                <c:pt idx="252">
                  <c:v>41.201649999999987</c:v>
                </c:pt>
                <c:pt idx="253">
                  <c:v>41.576699999999995</c:v>
                </c:pt>
                <c:pt idx="254">
                  <c:v>40.831999999999994</c:v>
                </c:pt>
                <c:pt idx="255">
                  <c:v>41.021799999999992</c:v>
                </c:pt>
                <c:pt idx="256">
                  <c:v>41.04495</c:v>
                </c:pt>
                <c:pt idx="257">
                  <c:v>41.049300000000009</c:v>
                </c:pt>
                <c:pt idx="258">
                  <c:v>40.932550000000013</c:v>
                </c:pt>
                <c:pt idx="259">
                  <c:v>40.651399999999995</c:v>
                </c:pt>
                <c:pt idx="260">
                  <c:v>41.287599999999998</c:v>
                </c:pt>
                <c:pt idx="261">
                  <c:v>41.236100000000008</c:v>
                </c:pt>
                <c:pt idx="262">
                  <c:v>41.203199999999995</c:v>
                </c:pt>
                <c:pt idx="263">
                  <c:v>41.565750000000001</c:v>
                </c:pt>
                <c:pt idx="264">
                  <c:v>41.576850000000007</c:v>
                </c:pt>
                <c:pt idx="265">
                  <c:v>41.534999999999997</c:v>
                </c:pt>
                <c:pt idx="266">
                  <c:v>41.436150000000012</c:v>
                </c:pt>
                <c:pt idx="267">
                  <c:v>41.990000000000009</c:v>
                </c:pt>
                <c:pt idx="268">
                  <c:v>40.774999999999991</c:v>
                </c:pt>
                <c:pt idx="269">
                  <c:v>40.850250000000003</c:v>
                </c:pt>
                <c:pt idx="270">
                  <c:v>41.044950000000007</c:v>
                </c:pt>
                <c:pt idx="271">
                  <c:v>41.2074</c:v>
                </c:pt>
                <c:pt idx="272">
                  <c:v>41.021799999999992</c:v>
                </c:pt>
                <c:pt idx="273">
                  <c:v>41.044950000000007</c:v>
                </c:pt>
                <c:pt idx="274">
                  <c:v>41.600300000000004</c:v>
                </c:pt>
                <c:pt idx="275">
                  <c:v>41.147800000000004</c:v>
                </c:pt>
                <c:pt idx="276">
                  <c:v>41.184000000000005</c:v>
                </c:pt>
                <c:pt idx="277">
                  <c:v>40.826999999999998</c:v>
                </c:pt>
                <c:pt idx="278">
                  <c:v>41.36</c:v>
                </c:pt>
                <c:pt idx="279">
                  <c:v>41.18</c:v>
                </c:pt>
                <c:pt idx="280">
                  <c:v>41.435199999999988</c:v>
                </c:pt>
                <c:pt idx="281">
                  <c:v>41.259450000000001</c:v>
                </c:pt>
                <c:pt idx="282">
                  <c:v>41.306699999999992</c:v>
                </c:pt>
                <c:pt idx="283">
                  <c:v>41.407000000000011</c:v>
                </c:pt>
                <c:pt idx="284">
                  <c:v>40.803750000000008</c:v>
                </c:pt>
                <c:pt idx="285">
                  <c:v>41.236049999999999</c:v>
                </c:pt>
                <c:pt idx="286">
                  <c:v>40.8735</c:v>
                </c:pt>
                <c:pt idx="287">
                  <c:v>40.878399999999992</c:v>
                </c:pt>
                <c:pt idx="288">
                  <c:v>40.686999999999998</c:v>
                </c:pt>
                <c:pt idx="289">
                  <c:v>41.106000000000002</c:v>
                </c:pt>
                <c:pt idx="290">
                  <c:v>40.989750000000001</c:v>
                </c:pt>
                <c:pt idx="291">
                  <c:v>41.106000000000002</c:v>
                </c:pt>
                <c:pt idx="292">
                  <c:v>41.319199999999995</c:v>
                </c:pt>
                <c:pt idx="293">
                  <c:v>41.254199999999997</c:v>
                </c:pt>
                <c:pt idx="294">
                  <c:v>41.129249999999999</c:v>
                </c:pt>
                <c:pt idx="295">
                  <c:v>40.92</c:v>
                </c:pt>
                <c:pt idx="296">
                  <c:v>40.96139999999999</c:v>
                </c:pt>
                <c:pt idx="297">
                  <c:v>40.617999999999995</c:v>
                </c:pt>
                <c:pt idx="298">
                  <c:v>40.702200000000005</c:v>
                </c:pt>
                <c:pt idx="299">
                  <c:v>40.563600000000001</c:v>
                </c:pt>
                <c:pt idx="300">
                  <c:v>40.628250000000001</c:v>
                </c:pt>
                <c:pt idx="301">
                  <c:v>40.632899999999999</c:v>
                </c:pt>
                <c:pt idx="302">
                  <c:v>40.189500000000002</c:v>
                </c:pt>
                <c:pt idx="303">
                  <c:v>39.824999999999989</c:v>
                </c:pt>
                <c:pt idx="304">
                  <c:v>40.090500000000006</c:v>
                </c:pt>
                <c:pt idx="305">
                  <c:v>40.617999999999995</c:v>
                </c:pt>
                <c:pt idx="306">
                  <c:v>40.621499999999997</c:v>
                </c:pt>
                <c:pt idx="307">
                  <c:v>40.535650000000004</c:v>
                </c:pt>
                <c:pt idx="308">
                  <c:v>40.9148</c:v>
                </c:pt>
                <c:pt idx="309">
                  <c:v>41.101199999999992</c:v>
                </c:pt>
                <c:pt idx="310">
                  <c:v>41.633049999999997</c:v>
                </c:pt>
                <c:pt idx="311">
                  <c:v>41.141099999999994</c:v>
                </c:pt>
                <c:pt idx="312">
                  <c:v>41.129249999999999</c:v>
                </c:pt>
                <c:pt idx="313">
                  <c:v>40.637149999999998</c:v>
                </c:pt>
                <c:pt idx="314">
                  <c:v>40.350450000000009</c:v>
                </c:pt>
                <c:pt idx="315">
                  <c:v>40.725300000000004</c:v>
                </c:pt>
                <c:pt idx="316">
                  <c:v>41.129249999999999</c:v>
                </c:pt>
                <c:pt idx="317">
                  <c:v>41.241000000000007</c:v>
                </c:pt>
                <c:pt idx="318">
                  <c:v>40.844599999999993</c:v>
                </c:pt>
                <c:pt idx="319">
                  <c:v>41.489999999999995</c:v>
                </c:pt>
                <c:pt idx="320">
                  <c:v>41.33850000000001</c:v>
                </c:pt>
                <c:pt idx="321">
                  <c:v>41.345899999999993</c:v>
                </c:pt>
                <c:pt idx="322">
                  <c:v>41.647199999999998</c:v>
                </c:pt>
                <c:pt idx="323">
                  <c:v>41.511600000000001</c:v>
                </c:pt>
                <c:pt idx="324">
                  <c:v>41.618499999999997</c:v>
                </c:pt>
                <c:pt idx="325">
                  <c:v>41.430500000000009</c:v>
                </c:pt>
                <c:pt idx="326">
                  <c:v>41.217699999999994</c:v>
                </c:pt>
                <c:pt idx="327">
                  <c:v>41.347799999999999</c:v>
                </c:pt>
                <c:pt idx="328">
                  <c:v>41.600299999999997</c:v>
                </c:pt>
                <c:pt idx="329">
                  <c:v>41.641999999999996</c:v>
                </c:pt>
                <c:pt idx="330">
                  <c:v>41.884149999999991</c:v>
                </c:pt>
                <c:pt idx="331">
                  <c:v>41.872799999999991</c:v>
                </c:pt>
                <c:pt idx="332">
                  <c:v>41.411149999999999</c:v>
                </c:pt>
                <c:pt idx="333">
                  <c:v>41.054599999999994</c:v>
                </c:pt>
                <c:pt idx="334">
                  <c:v>40.90605</c:v>
                </c:pt>
                <c:pt idx="335">
                  <c:v>41.287599999999998</c:v>
                </c:pt>
                <c:pt idx="336">
                  <c:v>41.412699999999994</c:v>
                </c:pt>
                <c:pt idx="337">
                  <c:v>41.741000000000007</c:v>
                </c:pt>
                <c:pt idx="338">
                  <c:v>41.534999999999989</c:v>
                </c:pt>
                <c:pt idx="339">
                  <c:v>41.4315</c:v>
                </c:pt>
                <c:pt idx="340">
                  <c:v>41.535000000000011</c:v>
                </c:pt>
                <c:pt idx="341">
                  <c:v>41.37735</c:v>
                </c:pt>
                <c:pt idx="342">
                  <c:v>41.084399999999995</c:v>
                </c:pt>
                <c:pt idx="343">
                  <c:v>41.871900000000004</c:v>
                </c:pt>
                <c:pt idx="344">
                  <c:v>41.292000000000002</c:v>
                </c:pt>
                <c:pt idx="345">
                  <c:v>41.201649999999987</c:v>
                </c:pt>
                <c:pt idx="346">
                  <c:v>40.751700000000007</c:v>
                </c:pt>
                <c:pt idx="347">
                  <c:v>41.030999999999999</c:v>
                </c:pt>
                <c:pt idx="348">
                  <c:v>40.361999999999995</c:v>
                </c:pt>
                <c:pt idx="349">
                  <c:v>40.709200000000003</c:v>
                </c:pt>
                <c:pt idx="350">
                  <c:v>40.859249999999996</c:v>
                </c:pt>
                <c:pt idx="351">
                  <c:v>39.853449999999995</c:v>
                </c:pt>
                <c:pt idx="352">
                  <c:v>39.726449999999993</c:v>
                </c:pt>
                <c:pt idx="353">
                  <c:v>39.731499999999997</c:v>
                </c:pt>
                <c:pt idx="354">
                  <c:v>39.818249999999999</c:v>
                </c:pt>
                <c:pt idx="355">
                  <c:v>40.199249999999999</c:v>
                </c:pt>
                <c:pt idx="356">
                  <c:v>40.006099999999996</c:v>
                </c:pt>
                <c:pt idx="357">
                  <c:v>39.79529999999999</c:v>
                </c:pt>
                <c:pt idx="358">
                  <c:v>39.67499999999999</c:v>
                </c:pt>
                <c:pt idx="359">
                  <c:v>40.474699999999999</c:v>
                </c:pt>
                <c:pt idx="360">
                  <c:v>39.516749999999995</c:v>
                </c:pt>
                <c:pt idx="361">
                  <c:v>39.736149999999995</c:v>
                </c:pt>
                <c:pt idx="362">
                  <c:v>40.049499999999995</c:v>
                </c:pt>
                <c:pt idx="363">
                  <c:v>40.250000000000007</c:v>
                </c:pt>
                <c:pt idx="364">
                  <c:v>40.542000000000002</c:v>
                </c:pt>
                <c:pt idx="365">
                  <c:v>40.5685</c:v>
                </c:pt>
                <c:pt idx="366">
                  <c:v>40.912199999999991</c:v>
                </c:pt>
                <c:pt idx="367">
                  <c:v>40.2624</c:v>
                </c:pt>
                <c:pt idx="368">
                  <c:v>40.049499999999995</c:v>
                </c:pt>
                <c:pt idx="369">
                  <c:v>39.715149999999994</c:v>
                </c:pt>
                <c:pt idx="370">
                  <c:v>39.834399999999995</c:v>
                </c:pt>
                <c:pt idx="371">
                  <c:v>40.068599999999996</c:v>
                </c:pt>
                <c:pt idx="372">
                  <c:v>39.616499999999988</c:v>
                </c:pt>
                <c:pt idx="373">
                  <c:v>39.375999999999991</c:v>
                </c:pt>
                <c:pt idx="374">
                  <c:v>39.260999999999996</c:v>
                </c:pt>
                <c:pt idx="375">
                  <c:v>39.33</c:v>
                </c:pt>
                <c:pt idx="376">
                  <c:v>38.753599999999999</c:v>
                </c:pt>
                <c:pt idx="377">
                  <c:v>38.595599999999997</c:v>
                </c:pt>
                <c:pt idx="378">
                  <c:v>39.096349999999994</c:v>
                </c:pt>
                <c:pt idx="379">
                  <c:v>38.907100000000007</c:v>
                </c:pt>
                <c:pt idx="380">
                  <c:v>39.398400000000002</c:v>
                </c:pt>
                <c:pt idx="381">
                  <c:v>38.930500000000002</c:v>
                </c:pt>
                <c:pt idx="382">
                  <c:v>39.161950000000004</c:v>
                </c:pt>
                <c:pt idx="383">
                  <c:v>38.984999999999992</c:v>
                </c:pt>
                <c:pt idx="384">
                  <c:v>38.93</c:v>
                </c:pt>
                <c:pt idx="385">
                  <c:v>39.400299999999987</c:v>
                </c:pt>
                <c:pt idx="386">
                  <c:v>38.680799999999998</c:v>
                </c:pt>
                <c:pt idx="387">
                  <c:v>39.410999999999987</c:v>
                </c:pt>
                <c:pt idx="388">
                  <c:v>39.576199999999993</c:v>
                </c:pt>
                <c:pt idx="389">
                  <c:v>39.329999999999991</c:v>
                </c:pt>
                <c:pt idx="390">
                  <c:v>39.233449999999984</c:v>
                </c:pt>
                <c:pt idx="391">
                  <c:v>38.975899999999989</c:v>
                </c:pt>
                <c:pt idx="392">
                  <c:v>39.562249999999999</c:v>
                </c:pt>
                <c:pt idx="393">
                  <c:v>39.266500000000001</c:v>
                </c:pt>
                <c:pt idx="394">
                  <c:v>38.763449999999992</c:v>
                </c:pt>
                <c:pt idx="395">
                  <c:v>38.441999999999993</c:v>
                </c:pt>
                <c:pt idx="396">
                  <c:v>38.572799999999994</c:v>
                </c:pt>
                <c:pt idx="397">
                  <c:v>38.804199999999994</c:v>
                </c:pt>
                <c:pt idx="398">
                  <c:v>38.925249999999998</c:v>
                </c:pt>
                <c:pt idx="399">
                  <c:v>38.759</c:v>
                </c:pt>
                <c:pt idx="400">
                  <c:v>38.646000000000001</c:v>
                </c:pt>
                <c:pt idx="401">
                  <c:v>38.069749999999985</c:v>
                </c:pt>
                <c:pt idx="402">
                  <c:v>38.214399999999998</c:v>
                </c:pt>
                <c:pt idx="403">
                  <c:v>38.873999999999988</c:v>
                </c:pt>
                <c:pt idx="404">
                  <c:v>38.919599999999988</c:v>
                </c:pt>
                <c:pt idx="405">
                  <c:v>38.828399999999995</c:v>
                </c:pt>
                <c:pt idx="406">
                  <c:v>38.730749999999993</c:v>
                </c:pt>
                <c:pt idx="407">
                  <c:v>38.652249999999995</c:v>
                </c:pt>
                <c:pt idx="408">
                  <c:v>38.857499999999995</c:v>
                </c:pt>
                <c:pt idx="409">
                  <c:v>38.885099999999994</c:v>
                </c:pt>
                <c:pt idx="410">
                  <c:v>38.765999999999998</c:v>
                </c:pt>
                <c:pt idx="411">
                  <c:v>39.877199999999995</c:v>
                </c:pt>
                <c:pt idx="412">
                  <c:v>39.644749999999995</c:v>
                </c:pt>
                <c:pt idx="413">
                  <c:v>39.685800000000008</c:v>
                </c:pt>
                <c:pt idx="414">
                  <c:v>39.136099999999992</c:v>
                </c:pt>
                <c:pt idx="415">
                  <c:v>39.233449999999991</c:v>
                </c:pt>
                <c:pt idx="416">
                  <c:v>39.191900000000004</c:v>
                </c:pt>
                <c:pt idx="417">
                  <c:v>39.388349999999996</c:v>
                </c:pt>
                <c:pt idx="418">
                  <c:v>39.256300000000003</c:v>
                </c:pt>
                <c:pt idx="419">
                  <c:v>39.290399999999984</c:v>
                </c:pt>
                <c:pt idx="420">
                  <c:v>39.210599999999992</c:v>
                </c:pt>
                <c:pt idx="421">
                  <c:v>39.016250000000007</c:v>
                </c:pt>
                <c:pt idx="422">
                  <c:v>39.038999999999994</c:v>
                </c:pt>
                <c:pt idx="423">
                  <c:v>39.082499999999989</c:v>
                </c:pt>
                <c:pt idx="424">
                  <c:v>38.839700000000001</c:v>
                </c:pt>
                <c:pt idx="425">
                  <c:v>39.680550000000004</c:v>
                </c:pt>
                <c:pt idx="426">
                  <c:v>38.917200000000001</c:v>
                </c:pt>
                <c:pt idx="427">
                  <c:v>38.654999999999994</c:v>
                </c:pt>
                <c:pt idx="428">
                  <c:v>38.834250000000004</c:v>
                </c:pt>
                <c:pt idx="429">
                  <c:v>38.587499999999999</c:v>
                </c:pt>
                <c:pt idx="430">
                  <c:v>39.773399999999995</c:v>
                </c:pt>
                <c:pt idx="431">
                  <c:v>39.79529999999999</c:v>
                </c:pt>
                <c:pt idx="432">
                  <c:v>39.507649999999998</c:v>
                </c:pt>
                <c:pt idx="433">
                  <c:v>39.479599999999991</c:v>
                </c:pt>
                <c:pt idx="434">
                  <c:v>39.296399999999991</c:v>
                </c:pt>
                <c:pt idx="435">
                  <c:v>39.052799999999991</c:v>
                </c:pt>
                <c:pt idx="436">
                  <c:v>39.034049999999993</c:v>
                </c:pt>
                <c:pt idx="437">
                  <c:v>39.33475</c:v>
                </c:pt>
                <c:pt idx="438">
                  <c:v>39.342199999999998</c:v>
                </c:pt>
                <c:pt idx="439">
                  <c:v>39.180199999999985</c:v>
                </c:pt>
                <c:pt idx="440">
                  <c:v>39.084499999999998</c:v>
                </c:pt>
                <c:pt idx="441">
                  <c:v>39.261599999999994</c:v>
                </c:pt>
                <c:pt idx="442">
                  <c:v>39.0486</c:v>
                </c:pt>
                <c:pt idx="443">
                  <c:v>39.025950000000002</c:v>
                </c:pt>
                <c:pt idx="444">
                  <c:v>39.056399999999989</c:v>
                </c:pt>
                <c:pt idx="445">
                  <c:v>38.748899999999985</c:v>
                </c:pt>
                <c:pt idx="446">
                  <c:v>38.720499999999994</c:v>
                </c:pt>
                <c:pt idx="447">
                  <c:v>39.198599999999999</c:v>
                </c:pt>
                <c:pt idx="448">
                  <c:v>38.703799999999994</c:v>
                </c:pt>
                <c:pt idx="449">
                  <c:v>38.748899999999985</c:v>
                </c:pt>
                <c:pt idx="450">
                  <c:v>38.782799999999995</c:v>
                </c:pt>
                <c:pt idx="451">
                  <c:v>38.805599999999991</c:v>
                </c:pt>
                <c:pt idx="452">
                  <c:v>38.606749999999991</c:v>
                </c:pt>
                <c:pt idx="453">
                  <c:v>38.646000000000001</c:v>
                </c:pt>
                <c:pt idx="454">
                  <c:v>38.424749999999989</c:v>
                </c:pt>
                <c:pt idx="455">
                  <c:v>38.35649999999999</c:v>
                </c:pt>
                <c:pt idx="456">
                  <c:v>38.317499999999995</c:v>
                </c:pt>
                <c:pt idx="457">
                  <c:v>38.380099999999992</c:v>
                </c:pt>
                <c:pt idx="458">
                  <c:v>38.380099999999985</c:v>
                </c:pt>
                <c:pt idx="459">
                  <c:v>38.892999999999994</c:v>
                </c:pt>
                <c:pt idx="460">
                  <c:v>38.824000000000005</c:v>
                </c:pt>
                <c:pt idx="461">
                  <c:v>38.923199999999987</c:v>
                </c:pt>
                <c:pt idx="462">
                  <c:v>38.538499999999992</c:v>
                </c:pt>
                <c:pt idx="463">
                  <c:v>38.431100000000001</c:v>
                </c:pt>
                <c:pt idx="464">
                  <c:v>37.856000000000002</c:v>
                </c:pt>
                <c:pt idx="465">
                  <c:v>38.204999999999991</c:v>
                </c:pt>
                <c:pt idx="466">
                  <c:v>38.317499999999995</c:v>
                </c:pt>
                <c:pt idx="467">
                  <c:v>38.492849999999997</c:v>
                </c:pt>
                <c:pt idx="468">
                  <c:v>38.249499999999998</c:v>
                </c:pt>
                <c:pt idx="469">
                  <c:v>38.675000000000004</c:v>
                </c:pt>
                <c:pt idx="470">
                  <c:v>38.623199999999997</c:v>
                </c:pt>
                <c:pt idx="471">
                  <c:v>38.340299999999999</c:v>
                </c:pt>
                <c:pt idx="472">
                  <c:v>37.748699999999999</c:v>
                </c:pt>
                <c:pt idx="473">
                  <c:v>37.957499999999996</c:v>
                </c:pt>
                <c:pt idx="474">
                  <c:v>37.795499999999997</c:v>
                </c:pt>
                <c:pt idx="475">
                  <c:v>38.078600000000002</c:v>
                </c:pt>
                <c:pt idx="476">
                  <c:v>36.563399999999994</c:v>
                </c:pt>
                <c:pt idx="477">
                  <c:v>37.029600000000002</c:v>
                </c:pt>
                <c:pt idx="478">
                  <c:v>36.884200000000007</c:v>
                </c:pt>
                <c:pt idx="479">
                  <c:v>36.896850000000001</c:v>
                </c:pt>
                <c:pt idx="480">
                  <c:v>36.66879999999999</c:v>
                </c:pt>
                <c:pt idx="481">
                  <c:v>36.801599999999993</c:v>
                </c:pt>
                <c:pt idx="482">
                  <c:v>37.458599999999997</c:v>
                </c:pt>
                <c:pt idx="483">
                  <c:v>37.79549999999999</c:v>
                </c:pt>
                <c:pt idx="484">
                  <c:v>37.29610000000001</c:v>
                </c:pt>
                <c:pt idx="485">
                  <c:v>37.275150000000004</c:v>
                </c:pt>
                <c:pt idx="486">
                  <c:v>37.282499999999985</c:v>
                </c:pt>
                <c:pt idx="487">
                  <c:v>37.374799999999986</c:v>
                </c:pt>
                <c:pt idx="488">
                  <c:v>37.424149999999983</c:v>
                </c:pt>
                <c:pt idx="489">
                  <c:v>37.945400000000006</c:v>
                </c:pt>
                <c:pt idx="490">
                  <c:v>37.606400000000001</c:v>
                </c:pt>
                <c:pt idx="491">
                  <c:v>37.4482</c:v>
                </c:pt>
                <c:pt idx="492">
                  <c:v>37.147499999999987</c:v>
                </c:pt>
                <c:pt idx="493">
                  <c:v>37.5075</c:v>
                </c:pt>
                <c:pt idx="494">
                  <c:v>37.1616</c:v>
                </c:pt>
                <c:pt idx="495">
                  <c:v>37.087399999999988</c:v>
                </c:pt>
                <c:pt idx="496">
                  <c:v>36.906499999999994</c:v>
                </c:pt>
                <c:pt idx="497">
                  <c:v>37.297699999999992</c:v>
                </c:pt>
                <c:pt idx="498">
                  <c:v>37.094749999999991</c:v>
                </c:pt>
                <c:pt idx="499">
                  <c:v>37.318399999999997</c:v>
                </c:pt>
                <c:pt idx="500">
                  <c:v>37.240999999999993</c:v>
                </c:pt>
                <c:pt idx="501">
                  <c:v>37.260000000000005</c:v>
                </c:pt>
                <c:pt idx="502">
                  <c:v>37.049599999999998</c:v>
                </c:pt>
                <c:pt idx="503">
                  <c:v>36.398699999999998</c:v>
                </c:pt>
                <c:pt idx="504">
                  <c:v>37.116799999999991</c:v>
                </c:pt>
                <c:pt idx="505">
                  <c:v>37.027200000000008</c:v>
                </c:pt>
                <c:pt idx="506">
                  <c:v>37.056299999999993</c:v>
                </c:pt>
                <c:pt idx="507">
                  <c:v>36.951099999999997</c:v>
                </c:pt>
                <c:pt idx="508">
                  <c:v>37.346849999999996</c:v>
                </c:pt>
                <c:pt idx="509">
                  <c:v>37.135249999999992</c:v>
                </c:pt>
                <c:pt idx="510">
                  <c:v>37.218699999999991</c:v>
                </c:pt>
                <c:pt idx="511">
                  <c:v>37.222099999999998</c:v>
                </c:pt>
                <c:pt idx="512">
                  <c:v>37.246000000000002</c:v>
                </c:pt>
                <c:pt idx="513">
                  <c:v>37.330199999999998</c:v>
                </c:pt>
                <c:pt idx="514">
                  <c:v>38.9529</c:v>
                </c:pt>
                <c:pt idx="515">
                  <c:v>39.16194999999999</c:v>
                </c:pt>
                <c:pt idx="516">
                  <c:v>39.120699999999992</c:v>
                </c:pt>
                <c:pt idx="517">
                  <c:v>38.776250000000005</c:v>
                </c:pt>
                <c:pt idx="518">
                  <c:v>38.151749999999993</c:v>
                </c:pt>
                <c:pt idx="519">
                  <c:v>38.372399999999992</c:v>
                </c:pt>
                <c:pt idx="520">
                  <c:v>38.106250000000003</c:v>
                </c:pt>
                <c:pt idx="521">
                  <c:v>37.893449999999994</c:v>
                </c:pt>
                <c:pt idx="522">
                  <c:v>37.430399999999992</c:v>
                </c:pt>
                <c:pt idx="523">
                  <c:v>38.115419999999986</c:v>
                </c:pt>
                <c:pt idx="524">
                  <c:v>38.197249999999997</c:v>
                </c:pt>
                <c:pt idx="525">
                  <c:v>38.572949999999999</c:v>
                </c:pt>
                <c:pt idx="526">
                  <c:v>37.893450000000001</c:v>
                </c:pt>
                <c:pt idx="527">
                  <c:v>38.174500000000009</c:v>
                </c:pt>
                <c:pt idx="528">
                  <c:v>37.961399999999998</c:v>
                </c:pt>
                <c:pt idx="529">
                  <c:v>37.934999999999988</c:v>
                </c:pt>
                <c:pt idx="530">
                  <c:v>37.985399999999984</c:v>
                </c:pt>
                <c:pt idx="531">
                  <c:v>38.563600000000001</c:v>
                </c:pt>
                <c:pt idx="532">
                  <c:v>38.487149999999993</c:v>
                </c:pt>
                <c:pt idx="533">
                  <c:v>38.499199999999995</c:v>
                </c:pt>
                <c:pt idx="534">
                  <c:v>39.330399999999997</c:v>
                </c:pt>
                <c:pt idx="535">
                  <c:v>38.738699999999994</c:v>
                </c:pt>
                <c:pt idx="536">
                  <c:v>38.892000000000003</c:v>
                </c:pt>
                <c:pt idx="537">
                  <c:v>38.387999999999991</c:v>
                </c:pt>
                <c:pt idx="538">
                  <c:v>38.182349999999992</c:v>
                </c:pt>
                <c:pt idx="539">
                  <c:v>38.326799999999999</c:v>
                </c:pt>
                <c:pt idx="540">
                  <c:v>38.113299999999988</c:v>
                </c:pt>
                <c:pt idx="541">
                  <c:v>38.098799999999997</c:v>
                </c:pt>
                <c:pt idx="542">
                  <c:v>38.144399999999997</c:v>
                </c:pt>
                <c:pt idx="543">
                  <c:v>37.984049999999996</c:v>
                </c:pt>
                <c:pt idx="544">
                  <c:v>37.861450000000005</c:v>
                </c:pt>
                <c:pt idx="545">
                  <c:v>38.524999999999991</c:v>
                </c:pt>
                <c:pt idx="546">
                  <c:v>37.793849999999992</c:v>
                </c:pt>
                <c:pt idx="547">
                  <c:v>39.370400000000004</c:v>
                </c:pt>
                <c:pt idx="548">
                  <c:v>39.478500000000004</c:v>
                </c:pt>
                <c:pt idx="549">
                  <c:v>38.931450000000005</c:v>
                </c:pt>
                <c:pt idx="550">
                  <c:v>38.7697</c:v>
                </c:pt>
                <c:pt idx="551">
                  <c:v>38.395200000000003</c:v>
                </c:pt>
                <c:pt idx="552">
                  <c:v>38.449100000000008</c:v>
                </c:pt>
                <c:pt idx="553">
                  <c:v>38.5092</c:v>
                </c:pt>
                <c:pt idx="554">
                  <c:v>38.431100000000001</c:v>
                </c:pt>
                <c:pt idx="555">
                  <c:v>37.985399999999991</c:v>
                </c:pt>
                <c:pt idx="556">
                  <c:v>37.755000000000003</c:v>
                </c:pt>
                <c:pt idx="557">
                  <c:v>37.811199999999999</c:v>
                </c:pt>
                <c:pt idx="558">
                  <c:v>37.990600000000001</c:v>
                </c:pt>
                <c:pt idx="559">
                  <c:v>37.795499999999997</c:v>
                </c:pt>
                <c:pt idx="560">
                  <c:v>37.974200000000003</c:v>
                </c:pt>
                <c:pt idx="561">
                  <c:v>37.410449999999997</c:v>
                </c:pt>
                <c:pt idx="562">
                  <c:v>38.105599999999995</c:v>
                </c:pt>
                <c:pt idx="563">
                  <c:v>37.726149999999997</c:v>
                </c:pt>
                <c:pt idx="564">
                  <c:v>37.755000000000003</c:v>
                </c:pt>
                <c:pt idx="565">
                  <c:v>37.140599999999999</c:v>
                </c:pt>
                <c:pt idx="566">
                  <c:v>37.478099999999998</c:v>
                </c:pt>
                <c:pt idx="567">
                  <c:v>37.267399999999995</c:v>
                </c:pt>
                <c:pt idx="568">
                  <c:v>37.056299999999993</c:v>
                </c:pt>
                <c:pt idx="569">
                  <c:v>36.597599999999986</c:v>
                </c:pt>
                <c:pt idx="570">
                  <c:v>36.607999999999997</c:v>
                </c:pt>
                <c:pt idx="571">
                  <c:v>36.899849999999986</c:v>
                </c:pt>
                <c:pt idx="572">
                  <c:v>36.855149999999995</c:v>
                </c:pt>
                <c:pt idx="573">
                  <c:v>36.929099999999991</c:v>
                </c:pt>
                <c:pt idx="574">
                  <c:v>37.189849999999993</c:v>
                </c:pt>
                <c:pt idx="575">
                  <c:v>37.007399999999983</c:v>
                </c:pt>
                <c:pt idx="576">
                  <c:v>36.857599999999991</c:v>
                </c:pt>
                <c:pt idx="577">
                  <c:v>36.872</c:v>
                </c:pt>
                <c:pt idx="578">
                  <c:v>36.663899999999998</c:v>
                </c:pt>
                <c:pt idx="579">
                  <c:v>37.235099999999996</c:v>
                </c:pt>
                <c:pt idx="580">
                  <c:v>37.157499999999999</c:v>
                </c:pt>
                <c:pt idx="581">
                  <c:v>37.362600000000008</c:v>
                </c:pt>
                <c:pt idx="582">
                  <c:v>36.901899999999991</c:v>
                </c:pt>
                <c:pt idx="583">
                  <c:v>37.413899999999998</c:v>
                </c:pt>
                <c:pt idx="584">
                  <c:v>37.095500000000001</c:v>
                </c:pt>
                <c:pt idx="585">
                  <c:v>38.013199999999991</c:v>
                </c:pt>
                <c:pt idx="586">
                  <c:v>37.951649999999994</c:v>
                </c:pt>
                <c:pt idx="587">
                  <c:v>37.557999999999993</c:v>
                </c:pt>
                <c:pt idx="588">
                  <c:v>37.664999999999999</c:v>
                </c:pt>
                <c:pt idx="589">
                  <c:v>37.484999999999985</c:v>
                </c:pt>
                <c:pt idx="590">
                  <c:v>37.473599999999998</c:v>
                </c:pt>
                <c:pt idx="591">
                  <c:v>38.086949999999995</c:v>
                </c:pt>
                <c:pt idx="592">
                  <c:v>38.632299999999994</c:v>
                </c:pt>
                <c:pt idx="593">
                  <c:v>38.329599999999999</c:v>
                </c:pt>
                <c:pt idx="594">
                  <c:v>38.854199999999999</c:v>
                </c:pt>
                <c:pt idx="595">
                  <c:v>39.013500000000008</c:v>
                </c:pt>
                <c:pt idx="596">
                  <c:v>38.410850000000003</c:v>
                </c:pt>
                <c:pt idx="597">
                  <c:v>38.154599999999995</c:v>
                </c:pt>
                <c:pt idx="598">
                  <c:v>38.333750000000002</c:v>
                </c:pt>
                <c:pt idx="599">
                  <c:v>37.999199999999995</c:v>
                </c:pt>
                <c:pt idx="600">
                  <c:v>38.121599999999994</c:v>
                </c:pt>
                <c:pt idx="601">
                  <c:v>38.174299999999988</c:v>
                </c:pt>
                <c:pt idx="602">
                  <c:v>38.151749999999993</c:v>
                </c:pt>
                <c:pt idx="603">
                  <c:v>37.877600000000001</c:v>
                </c:pt>
                <c:pt idx="604">
                  <c:v>38.136000000000003</c:v>
                </c:pt>
                <c:pt idx="605">
                  <c:v>38.310999999999993</c:v>
                </c:pt>
                <c:pt idx="606">
                  <c:v>37.940499999999993</c:v>
                </c:pt>
                <c:pt idx="607">
                  <c:v>37.401699999999998</c:v>
                </c:pt>
                <c:pt idx="608">
                  <c:v>37.433</c:v>
                </c:pt>
                <c:pt idx="609">
                  <c:v>37.507499999999993</c:v>
                </c:pt>
                <c:pt idx="610">
                  <c:v>37.689599999999992</c:v>
                </c:pt>
                <c:pt idx="611">
                  <c:v>37.878749999999989</c:v>
                </c:pt>
                <c:pt idx="612">
                  <c:v>37.251600000000003</c:v>
                </c:pt>
                <c:pt idx="613">
                  <c:v>37.198349999999991</c:v>
                </c:pt>
                <c:pt idx="614">
                  <c:v>37.42414999999999</c:v>
                </c:pt>
                <c:pt idx="615">
                  <c:v>38.294899999999991</c:v>
                </c:pt>
                <c:pt idx="616">
                  <c:v>38.219999999999992</c:v>
                </c:pt>
                <c:pt idx="617">
                  <c:v>38.197199999999995</c:v>
                </c:pt>
                <c:pt idx="618">
                  <c:v>37.79999999999999</c:v>
                </c:pt>
                <c:pt idx="619">
                  <c:v>37.455649999999991</c:v>
                </c:pt>
                <c:pt idx="620">
                  <c:v>37.665000000000006</c:v>
                </c:pt>
                <c:pt idx="621">
                  <c:v>37.916099999999993</c:v>
                </c:pt>
                <c:pt idx="622">
                  <c:v>37.873149999999995</c:v>
                </c:pt>
                <c:pt idx="623">
                  <c:v>37.754999999999988</c:v>
                </c:pt>
                <c:pt idx="624">
                  <c:v>37.924250000000001</c:v>
                </c:pt>
                <c:pt idx="625">
                  <c:v>37.887700000000002</c:v>
                </c:pt>
                <c:pt idx="626">
                  <c:v>37.918050000000001</c:v>
                </c:pt>
                <c:pt idx="627">
                  <c:v>38.074649999999991</c:v>
                </c:pt>
                <c:pt idx="628">
                  <c:v>38.303549999999994</c:v>
                </c:pt>
                <c:pt idx="629">
                  <c:v>37.352499999999992</c:v>
                </c:pt>
                <c:pt idx="630">
                  <c:v>37.179749999999991</c:v>
                </c:pt>
                <c:pt idx="631">
                  <c:v>37.385599999999997</c:v>
                </c:pt>
                <c:pt idx="632">
                  <c:v>37.628999999999998</c:v>
                </c:pt>
                <c:pt idx="633">
                  <c:v>37.674199999999992</c:v>
                </c:pt>
                <c:pt idx="634">
                  <c:v>36.829799999999992</c:v>
                </c:pt>
                <c:pt idx="635">
                  <c:v>37.349999999999994</c:v>
                </c:pt>
                <c:pt idx="636">
                  <c:v>37.452799999999989</c:v>
                </c:pt>
                <c:pt idx="637">
                  <c:v>37.517999999999994</c:v>
                </c:pt>
                <c:pt idx="638">
                  <c:v>37.637399999999992</c:v>
                </c:pt>
                <c:pt idx="639">
                  <c:v>37.732500000000002</c:v>
                </c:pt>
                <c:pt idx="640">
                  <c:v>37.780200000000001</c:v>
                </c:pt>
                <c:pt idx="641">
                  <c:v>37.689599999999999</c:v>
                </c:pt>
                <c:pt idx="642">
                  <c:v>37.613899999999994</c:v>
                </c:pt>
                <c:pt idx="643">
                  <c:v>37.401699999999991</c:v>
                </c:pt>
                <c:pt idx="644">
                  <c:v>37.374750000000006</c:v>
                </c:pt>
                <c:pt idx="645">
                  <c:v>37.419399999999989</c:v>
                </c:pt>
                <c:pt idx="646">
                  <c:v>37.581299999999999</c:v>
                </c:pt>
                <c:pt idx="647">
                  <c:v>37.446600000000004</c:v>
                </c:pt>
                <c:pt idx="648">
                  <c:v>37.561199999999992</c:v>
                </c:pt>
                <c:pt idx="649">
                  <c:v>37.267000000000003</c:v>
                </c:pt>
                <c:pt idx="650">
                  <c:v>37.417499999999997</c:v>
                </c:pt>
                <c:pt idx="651">
                  <c:v>37.132300000000001</c:v>
                </c:pt>
                <c:pt idx="652">
                  <c:v>37.515999999999998</c:v>
                </c:pt>
                <c:pt idx="653">
                  <c:v>37.29</c:v>
                </c:pt>
                <c:pt idx="654">
                  <c:v>36.690249999999999</c:v>
                </c:pt>
                <c:pt idx="655">
                  <c:v>36.563399999999987</c:v>
                </c:pt>
                <c:pt idx="656">
                  <c:v>37.192499999999995</c:v>
                </c:pt>
                <c:pt idx="657">
                  <c:v>36.392449999999997</c:v>
                </c:pt>
                <c:pt idx="658">
                  <c:v>36.734749999999991</c:v>
                </c:pt>
                <c:pt idx="659">
                  <c:v>37.094749999999998</c:v>
                </c:pt>
                <c:pt idx="660">
                  <c:v>36.922499999999992</c:v>
                </c:pt>
                <c:pt idx="661">
                  <c:v>36.482800000000005</c:v>
                </c:pt>
                <c:pt idx="662">
                  <c:v>36.690249999999999</c:v>
                </c:pt>
                <c:pt idx="663">
                  <c:v>36.877499999999998</c:v>
                </c:pt>
                <c:pt idx="664">
                  <c:v>36.222600000000007</c:v>
                </c:pt>
                <c:pt idx="665">
                  <c:v>36.156899999999986</c:v>
                </c:pt>
                <c:pt idx="666">
                  <c:v>36.613949999999996</c:v>
                </c:pt>
                <c:pt idx="667">
                  <c:v>36.041899999999998</c:v>
                </c:pt>
                <c:pt idx="668">
                  <c:v>36.161999999999999</c:v>
                </c:pt>
                <c:pt idx="669">
                  <c:v>35.981699999999996</c:v>
                </c:pt>
                <c:pt idx="670">
                  <c:v>36.161999999999999</c:v>
                </c:pt>
                <c:pt idx="671">
                  <c:v>36.227500000000013</c:v>
                </c:pt>
                <c:pt idx="672">
                  <c:v>36.261399999999988</c:v>
                </c:pt>
                <c:pt idx="673">
                  <c:v>36.823499999999989</c:v>
                </c:pt>
                <c:pt idx="674">
                  <c:v>36.531299999999995</c:v>
                </c:pt>
                <c:pt idx="675">
                  <c:v>36.558899999999994</c:v>
                </c:pt>
                <c:pt idx="676">
                  <c:v>36.810449999999996</c:v>
                </c:pt>
                <c:pt idx="677">
                  <c:v>36.619700000000002</c:v>
                </c:pt>
                <c:pt idx="678">
                  <c:v>36.498000000000005</c:v>
                </c:pt>
                <c:pt idx="679">
                  <c:v>36.563999999999993</c:v>
                </c:pt>
                <c:pt idx="680">
                  <c:v>36.041899999999991</c:v>
                </c:pt>
                <c:pt idx="681">
                  <c:v>36.166200000000011</c:v>
                </c:pt>
                <c:pt idx="682">
                  <c:v>36.877499999999991</c:v>
                </c:pt>
                <c:pt idx="683">
                  <c:v>36.161999999999999</c:v>
                </c:pt>
                <c:pt idx="684">
                  <c:v>36.360449999999993</c:v>
                </c:pt>
                <c:pt idx="685">
                  <c:v>36.211999999999996</c:v>
                </c:pt>
                <c:pt idx="686">
                  <c:v>35.932149999999993</c:v>
                </c:pt>
                <c:pt idx="687">
                  <c:v>35.374200000000009</c:v>
                </c:pt>
                <c:pt idx="688">
                  <c:v>35.921399999999998</c:v>
                </c:pt>
                <c:pt idx="689">
                  <c:v>35.910199999999996</c:v>
                </c:pt>
                <c:pt idx="690">
                  <c:v>35.934600000000003</c:v>
                </c:pt>
                <c:pt idx="691">
                  <c:v>35.8005</c:v>
                </c:pt>
                <c:pt idx="692">
                  <c:v>35.255800000000001</c:v>
                </c:pt>
                <c:pt idx="693">
                  <c:v>35.4407</c:v>
                </c:pt>
                <c:pt idx="694">
                  <c:v>35.499899999999997</c:v>
                </c:pt>
                <c:pt idx="695">
                  <c:v>35.094649999999994</c:v>
                </c:pt>
                <c:pt idx="696">
                  <c:v>35.327599999999997</c:v>
                </c:pt>
                <c:pt idx="697">
                  <c:v>35.073000000000008</c:v>
                </c:pt>
                <c:pt idx="698">
                  <c:v>34.970400000000005</c:v>
                </c:pt>
                <c:pt idx="699">
                  <c:v>35.445600000000013</c:v>
                </c:pt>
                <c:pt idx="700">
                  <c:v>35.648249999999997</c:v>
                </c:pt>
                <c:pt idx="701">
                  <c:v>36.051749999999991</c:v>
                </c:pt>
                <c:pt idx="702">
                  <c:v>35.515099999999997</c:v>
                </c:pt>
                <c:pt idx="703">
                  <c:v>35.403200000000005</c:v>
                </c:pt>
                <c:pt idx="704">
                  <c:v>35.57180000000001</c:v>
                </c:pt>
                <c:pt idx="705">
                  <c:v>35.298899999999996</c:v>
                </c:pt>
                <c:pt idx="706">
                  <c:v>35.631400000000006</c:v>
                </c:pt>
                <c:pt idx="707">
                  <c:v>36.087100000000014</c:v>
                </c:pt>
                <c:pt idx="708">
                  <c:v>35.937899999999992</c:v>
                </c:pt>
                <c:pt idx="709">
                  <c:v>35.779899999999998</c:v>
                </c:pt>
                <c:pt idx="710">
                  <c:v>35.702900000000007</c:v>
                </c:pt>
                <c:pt idx="711">
                  <c:v>35.392700000000012</c:v>
                </c:pt>
                <c:pt idx="712">
                  <c:v>36.436999999999998</c:v>
                </c:pt>
                <c:pt idx="713">
                  <c:v>36.641799999999996</c:v>
                </c:pt>
                <c:pt idx="714">
                  <c:v>36.718799999999987</c:v>
                </c:pt>
                <c:pt idx="715">
                  <c:v>37.004549999999995</c:v>
                </c:pt>
                <c:pt idx="716">
                  <c:v>36.569649999999989</c:v>
                </c:pt>
                <c:pt idx="717">
                  <c:v>36.410000000000004</c:v>
                </c:pt>
                <c:pt idx="718">
                  <c:v>36.683499999999995</c:v>
                </c:pt>
                <c:pt idx="719">
                  <c:v>36.111399999999989</c:v>
                </c:pt>
                <c:pt idx="720">
                  <c:v>36.310300000000005</c:v>
                </c:pt>
                <c:pt idx="721">
                  <c:v>36.07435000000001</c:v>
                </c:pt>
                <c:pt idx="722">
                  <c:v>36.409999999999997</c:v>
                </c:pt>
                <c:pt idx="723">
                  <c:v>36.803199999999997</c:v>
                </c:pt>
                <c:pt idx="724">
                  <c:v>36.505099999999992</c:v>
                </c:pt>
                <c:pt idx="725">
                  <c:v>36.652200000000001</c:v>
                </c:pt>
                <c:pt idx="726">
                  <c:v>36.107749999999989</c:v>
                </c:pt>
                <c:pt idx="727">
                  <c:v>35.514400000000009</c:v>
                </c:pt>
                <c:pt idx="728">
                  <c:v>36.000300000000003</c:v>
                </c:pt>
                <c:pt idx="729">
                  <c:v>36.393099999999997</c:v>
                </c:pt>
                <c:pt idx="730">
                  <c:v>36.36045</c:v>
                </c:pt>
                <c:pt idx="731">
                  <c:v>37.805800000000005</c:v>
                </c:pt>
                <c:pt idx="732">
                  <c:v>37.922800000000009</c:v>
                </c:pt>
                <c:pt idx="733">
                  <c:v>37.809800000000003</c:v>
                </c:pt>
                <c:pt idx="734">
                  <c:v>37.72679999999999</c:v>
                </c:pt>
                <c:pt idx="735">
                  <c:v>37.263299999999987</c:v>
                </c:pt>
                <c:pt idx="736">
                  <c:v>37.42414999999999</c:v>
                </c:pt>
                <c:pt idx="737">
                  <c:v>37.109850000000002</c:v>
                </c:pt>
                <c:pt idx="738">
                  <c:v>37.387899999999995</c:v>
                </c:pt>
                <c:pt idx="739">
                  <c:v>37.129499999999986</c:v>
                </c:pt>
                <c:pt idx="740">
                  <c:v>37.162799999999997</c:v>
                </c:pt>
                <c:pt idx="741">
                  <c:v>37.150099999999995</c:v>
                </c:pt>
                <c:pt idx="742">
                  <c:v>36.829799999999992</c:v>
                </c:pt>
                <c:pt idx="743">
                  <c:v>37.072000000000003</c:v>
                </c:pt>
                <c:pt idx="744">
                  <c:v>37.228799999999993</c:v>
                </c:pt>
                <c:pt idx="745">
                  <c:v>36.879599999999996</c:v>
                </c:pt>
                <c:pt idx="746">
                  <c:v>37.285599999999995</c:v>
                </c:pt>
                <c:pt idx="747">
                  <c:v>37.704449999999994</c:v>
                </c:pt>
                <c:pt idx="748">
                  <c:v>37.424149999999983</c:v>
                </c:pt>
                <c:pt idx="749">
                  <c:v>37.742250000000006</c:v>
                </c:pt>
                <c:pt idx="750">
                  <c:v>36.989249999999991</c:v>
                </c:pt>
                <c:pt idx="751">
                  <c:v>36.563999999999986</c:v>
                </c:pt>
                <c:pt idx="752">
                  <c:v>37.256299999999996</c:v>
                </c:pt>
                <c:pt idx="753">
                  <c:v>37.787199999999991</c:v>
                </c:pt>
                <c:pt idx="754">
                  <c:v>37.924249999999994</c:v>
                </c:pt>
                <c:pt idx="755">
                  <c:v>37.084900000000005</c:v>
                </c:pt>
                <c:pt idx="756">
                  <c:v>37.135249999999999</c:v>
                </c:pt>
                <c:pt idx="757">
                  <c:v>37.480949999999986</c:v>
                </c:pt>
                <c:pt idx="758">
                  <c:v>38.334999999999994</c:v>
                </c:pt>
                <c:pt idx="759">
                  <c:v>37.44</c:v>
                </c:pt>
                <c:pt idx="760">
                  <c:v>37.772800000000004</c:v>
                </c:pt>
                <c:pt idx="761">
                  <c:v>37.497600000000006</c:v>
                </c:pt>
                <c:pt idx="762">
                  <c:v>37.732499999999995</c:v>
                </c:pt>
                <c:pt idx="763">
                  <c:v>37.626199999999997</c:v>
                </c:pt>
                <c:pt idx="764">
                  <c:v>37.503299999999989</c:v>
                </c:pt>
                <c:pt idx="765">
                  <c:v>37.613399999999999</c:v>
                </c:pt>
                <c:pt idx="766">
                  <c:v>37.105899999999998</c:v>
                </c:pt>
                <c:pt idx="767">
                  <c:v>37.176300000000005</c:v>
                </c:pt>
                <c:pt idx="768">
                  <c:v>37.558849999999993</c:v>
                </c:pt>
                <c:pt idx="769">
                  <c:v>37.374799999999993</c:v>
                </c:pt>
                <c:pt idx="770">
                  <c:v>37.441700000000004</c:v>
                </c:pt>
                <c:pt idx="771">
                  <c:v>38.617599999999996</c:v>
                </c:pt>
                <c:pt idx="772">
                  <c:v>38.650699999999993</c:v>
                </c:pt>
                <c:pt idx="773">
                  <c:v>38.707899999999995</c:v>
                </c:pt>
                <c:pt idx="774">
                  <c:v>38.916000000000004</c:v>
                </c:pt>
                <c:pt idx="775">
                  <c:v>38.707900000000002</c:v>
                </c:pt>
                <c:pt idx="776">
                  <c:v>38.815499999999993</c:v>
                </c:pt>
                <c:pt idx="777">
                  <c:v>38.854199999999999</c:v>
                </c:pt>
                <c:pt idx="778">
                  <c:v>38.700950000000006</c:v>
                </c:pt>
                <c:pt idx="779">
                  <c:v>38.854199999999999</c:v>
                </c:pt>
                <c:pt idx="780">
                  <c:v>38.437049999999999</c:v>
                </c:pt>
                <c:pt idx="781">
                  <c:v>38.652249999999995</c:v>
                </c:pt>
                <c:pt idx="782">
                  <c:v>38.456550000000007</c:v>
                </c:pt>
                <c:pt idx="783">
                  <c:v>38.426199999999994</c:v>
                </c:pt>
                <c:pt idx="784">
                  <c:v>38.777999999999999</c:v>
                </c:pt>
                <c:pt idx="785">
                  <c:v>38.340299999999992</c:v>
                </c:pt>
                <c:pt idx="786">
                  <c:v>39.231199999999987</c:v>
                </c:pt>
                <c:pt idx="787">
                  <c:v>39.726499999999987</c:v>
                </c:pt>
                <c:pt idx="788">
                  <c:v>39.524999999999999</c:v>
                </c:pt>
                <c:pt idx="789">
                  <c:v>39.216099999999997</c:v>
                </c:pt>
                <c:pt idx="790">
                  <c:v>38.753599999999999</c:v>
                </c:pt>
                <c:pt idx="791">
                  <c:v>38.969699999999989</c:v>
                </c:pt>
                <c:pt idx="792">
                  <c:v>38.770099999999992</c:v>
                </c:pt>
                <c:pt idx="793">
                  <c:v>38.943749999999994</c:v>
                </c:pt>
                <c:pt idx="794">
                  <c:v>38.409999999999989</c:v>
                </c:pt>
                <c:pt idx="795">
                  <c:v>38.879749999999994</c:v>
                </c:pt>
                <c:pt idx="796">
                  <c:v>38.6325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DA-4254-947B-48CE3169D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095216"/>
        <c:axId val="1798068240"/>
      </c:lineChart>
      <c:dateAx>
        <c:axId val="18309521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98068240"/>
        <c:crosses val="autoZero"/>
        <c:auto val="1"/>
        <c:lblOffset val="100"/>
        <c:baseTimeUnit val="days"/>
      </c:dateAx>
      <c:valAx>
        <c:axId val="1798068240"/>
        <c:scaling>
          <c:orientation val="minMax"/>
          <c:min val="3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309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5.6563185749322321E-2"/>
          <c:y val="2.0898641588296761E-2"/>
          <c:w val="0.88610860117895096"/>
          <c:h val="0.9228981643752211"/>
        </c:manualLayout>
      </c:layout>
      <c:lineChart>
        <c:grouping val="standard"/>
        <c:varyColors val="0"/>
        <c:ser>
          <c:idx val="2"/>
          <c:order val="0"/>
          <c:tx>
            <c:strRef>
              <c:f>Pesos_R!$AD$1</c:f>
              <c:strCache>
                <c:ptCount val="1"/>
                <c:pt idx="0">
                  <c:v> Ratio 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Pesos_R!$AB$8:$AB$612</c:f>
              <c:numCache>
                <c:formatCode>_(* #,##0.00_);_(* \(#,##0.00\);_(* "-"??_);_(@_)</c:formatCode>
                <c:ptCount val="605"/>
                <c:pt idx="0">
                  <c:v>24.06427857142857</c:v>
                </c:pt>
                <c:pt idx="1">
                  <c:v>23.993028571428571</c:v>
                </c:pt>
                <c:pt idx="2">
                  <c:v>24.002914285714287</c:v>
                </c:pt>
                <c:pt idx="3">
                  <c:v>23.910928571428574</c:v>
                </c:pt>
                <c:pt idx="4">
                  <c:v>23.946735714285715</c:v>
                </c:pt>
                <c:pt idx="5">
                  <c:v>23.937214285714283</c:v>
                </c:pt>
                <c:pt idx="6">
                  <c:v>23.968607142857142</c:v>
                </c:pt>
                <c:pt idx="7">
                  <c:v>24.029678571428569</c:v>
                </c:pt>
                <c:pt idx="8">
                  <c:v>24.07910714285714</c:v>
                </c:pt>
                <c:pt idx="9">
                  <c:v>24.112792857142857</c:v>
                </c:pt>
                <c:pt idx="10">
                  <c:v>24.036692857142857</c:v>
                </c:pt>
                <c:pt idx="11">
                  <c:v>23.56</c:v>
                </c:pt>
                <c:pt idx="12">
                  <c:v>23.794999999999995</c:v>
                </c:pt>
                <c:pt idx="13">
                  <c:v>24.084399999999999</c:v>
                </c:pt>
                <c:pt idx="14">
                  <c:v>24.132787499999999</c:v>
                </c:pt>
                <c:pt idx="15">
                  <c:v>24.049329999999998</c:v>
                </c:pt>
                <c:pt idx="16">
                  <c:v>23.838483333333329</c:v>
                </c:pt>
                <c:pt idx="17">
                  <c:v>23.845442857142853</c:v>
                </c:pt>
                <c:pt idx="18">
                  <c:v>23.80517857142857</c:v>
                </c:pt>
                <c:pt idx="19">
                  <c:v>23.702949999999998</c:v>
                </c:pt>
                <c:pt idx="20">
                  <c:v>23.552149999999994</c:v>
                </c:pt>
                <c:pt idx="21">
                  <c:v>23.488428571428567</c:v>
                </c:pt>
                <c:pt idx="22">
                  <c:v>23.48347857142857</c:v>
                </c:pt>
                <c:pt idx="23">
                  <c:v>23.568549999999998</c:v>
                </c:pt>
                <c:pt idx="24">
                  <c:v>23.622875000000001</c:v>
                </c:pt>
                <c:pt idx="25">
                  <c:v>23.743833333333331</c:v>
                </c:pt>
                <c:pt idx="26">
                  <c:v>23.79325</c:v>
                </c:pt>
                <c:pt idx="27">
                  <c:v>23.870950000000001</c:v>
                </c:pt>
                <c:pt idx="28">
                  <c:v>23.967524999999998</c:v>
                </c:pt>
                <c:pt idx="29">
                  <c:v>24.110478571428569</c:v>
                </c:pt>
                <c:pt idx="30">
                  <c:v>24.208292857142858</c:v>
                </c:pt>
                <c:pt idx="31">
                  <c:v>24.275221428571427</c:v>
                </c:pt>
                <c:pt idx="32">
                  <c:v>24.115542857142856</c:v>
                </c:pt>
                <c:pt idx="33">
                  <c:v>24.067614285714285</c:v>
                </c:pt>
                <c:pt idx="34">
                  <c:v>23.959007142857143</c:v>
                </c:pt>
                <c:pt idx="35">
                  <c:v>23.834150000000001</c:v>
                </c:pt>
                <c:pt idx="36">
                  <c:v>23.657978571428576</c:v>
                </c:pt>
                <c:pt idx="37">
                  <c:v>23.571207142857144</c:v>
                </c:pt>
                <c:pt idx="38">
                  <c:v>23.39432142857143</c:v>
                </c:pt>
                <c:pt idx="39">
                  <c:v>23.496571428571428</c:v>
                </c:pt>
                <c:pt idx="40">
                  <c:v>23.552057142857144</c:v>
                </c:pt>
                <c:pt idx="41">
                  <c:v>23.629557142857145</c:v>
                </c:pt>
                <c:pt idx="42">
                  <c:v>23.602414285714286</c:v>
                </c:pt>
                <c:pt idx="43">
                  <c:v>23.617799999999999</c:v>
                </c:pt>
                <c:pt idx="44">
                  <c:v>23.645878571428572</c:v>
                </c:pt>
                <c:pt idx="45">
                  <c:v>23.72277857142857</c:v>
                </c:pt>
                <c:pt idx="46">
                  <c:v>23.78792142857143</c:v>
                </c:pt>
                <c:pt idx="47">
                  <c:v>23.792221428571427</c:v>
                </c:pt>
                <c:pt idx="48">
                  <c:v>23.735507142857141</c:v>
                </c:pt>
                <c:pt idx="49">
                  <c:v>23.743992857142853</c:v>
                </c:pt>
                <c:pt idx="50">
                  <c:v>23.619921428571423</c:v>
                </c:pt>
                <c:pt idx="51">
                  <c:v>23.575992857142857</c:v>
                </c:pt>
                <c:pt idx="52">
                  <c:v>23.604571428571429</c:v>
                </c:pt>
                <c:pt idx="53">
                  <c:v>23.535157142857141</c:v>
                </c:pt>
                <c:pt idx="54">
                  <c:v>23.368671428571428</c:v>
                </c:pt>
                <c:pt idx="55">
                  <c:v>23.355899999999998</c:v>
                </c:pt>
                <c:pt idx="56">
                  <c:v>23.373471428571431</c:v>
                </c:pt>
                <c:pt idx="57">
                  <c:v>23.380671428571429</c:v>
                </c:pt>
                <c:pt idx="58">
                  <c:v>23.459228571428575</c:v>
                </c:pt>
                <c:pt idx="59">
                  <c:v>23.588621428571432</c:v>
                </c:pt>
                <c:pt idx="60">
                  <c:v>23.393442857142862</c:v>
                </c:pt>
                <c:pt idx="61">
                  <c:v>23.398914285714287</c:v>
                </c:pt>
                <c:pt idx="62">
                  <c:v>23.490028571428574</c:v>
                </c:pt>
                <c:pt idx="63">
                  <c:v>23.634421428571432</c:v>
                </c:pt>
                <c:pt idx="64">
                  <c:v>23.801042857142857</c:v>
                </c:pt>
                <c:pt idx="65">
                  <c:v>23.666385714285717</c:v>
                </c:pt>
                <c:pt idx="66">
                  <c:v>23.530542857142855</c:v>
                </c:pt>
                <c:pt idx="67">
                  <c:v>23.758314285714288</c:v>
                </c:pt>
                <c:pt idx="68">
                  <c:v>23.841200000000004</c:v>
                </c:pt>
                <c:pt idx="69">
                  <c:v>23.795749999999998</c:v>
                </c:pt>
                <c:pt idx="70">
                  <c:v>23.677414285714288</c:v>
                </c:pt>
                <c:pt idx="71">
                  <c:v>23.687564285714291</c:v>
                </c:pt>
                <c:pt idx="72">
                  <c:v>23.789642857142862</c:v>
                </c:pt>
                <c:pt idx="73">
                  <c:v>23.770257142857144</c:v>
                </c:pt>
                <c:pt idx="74">
                  <c:v>23.791828571428571</c:v>
                </c:pt>
                <c:pt idx="75">
                  <c:v>23.876385714285707</c:v>
                </c:pt>
                <c:pt idx="76">
                  <c:v>23.880664285714285</c:v>
                </c:pt>
                <c:pt idx="77">
                  <c:v>23.926135714285714</c:v>
                </c:pt>
                <c:pt idx="78">
                  <c:v>23.835964285714279</c:v>
                </c:pt>
                <c:pt idx="79">
                  <c:v>23.851285714285712</c:v>
                </c:pt>
                <c:pt idx="80">
                  <c:v>23.931085714285707</c:v>
                </c:pt>
                <c:pt idx="81">
                  <c:v>23.937471428571424</c:v>
                </c:pt>
                <c:pt idx="82">
                  <c:v>23.879099999999998</c:v>
                </c:pt>
                <c:pt idx="83">
                  <c:v>23.790671428571425</c:v>
                </c:pt>
                <c:pt idx="84">
                  <c:v>23.678564285714284</c:v>
                </c:pt>
                <c:pt idx="85">
                  <c:v>23.74437857142857</c:v>
                </c:pt>
                <c:pt idx="86">
                  <c:v>23.813128571428575</c:v>
                </c:pt>
                <c:pt idx="87">
                  <c:v>23.662014285714289</c:v>
                </c:pt>
                <c:pt idx="88">
                  <c:v>23.480664285714287</c:v>
                </c:pt>
                <c:pt idx="89">
                  <c:v>23.377464285714289</c:v>
                </c:pt>
                <c:pt idx="90">
                  <c:v>23.315228571428577</c:v>
                </c:pt>
                <c:pt idx="91">
                  <c:v>23.41837142857143</c:v>
                </c:pt>
                <c:pt idx="92">
                  <c:v>23.473407142857148</c:v>
                </c:pt>
                <c:pt idx="93">
                  <c:v>23.436550000000004</c:v>
                </c:pt>
                <c:pt idx="94">
                  <c:v>23.43196428571429</c:v>
                </c:pt>
                <c:pt idx="95">
                  <c:v>23.431428571428572</c:v>
                </c:pt>
                <c:pt idx="96">
                  <c:v>23.564785714285716</c:v>
                </c:pt>
                <c:pt idx="97">
                  <c:v>23.810492857142862</c:v>
                </c:pt>
                <c:pt idx="98">
                  <c:v>23.846514285714289</c:v>
                </c:pt>
                <c:pt idx="99">
                  <c:v>23.790957142857145</c:v>
                </c:pt>
                <c:pt idx="100">
                  <c:v>23.743535714285716</c:v>
                </c:pt>
                <c:pt idx="101">
                  <c:v>23.778264285714283</c:v>
                </c:pt>
                <c:pt idx="102">
                  <c:v>23.893192857142854</c:v>
                </c:pt>
                <c:pt idx="103">
                  <c:v>23.962192857142856</c:v>
                </c:pt>
                <c:pt idx="104">
                  <c:v>23.886221428571424</c:v>
                </c:pt>
                <c:pt idx="105">
                  <c:v>23.89330714285714</c:v>
                </c:pt>
                <c:pt idx="106">
                  <c:v>23.778457142857143</c:v>
                </c:pt>
                <c:pt idx="107">
                  <c:v>23.720585714285711</c:v>
                </c:pt>
                <c:pt idx="108">
                  <c:v>23.793957142857135</c:v>
                </c:pt>
                <c:pt idx="109">
                  <c:v>23.798442857142856</c:v>
                </c:pt>
                <c:pt idx="110">
                  <c:v>23.68854285714286</c:v>
                </c:pt>
                <c:pt idx="111">
                  <c:v>23.712414285714289</c:v>
                </c:pt>
                <c:pt idx="112">
                  <c:v>23.587628571428574</c:v>
                </c:pt>
                <c:pt idx="113">
                  <c:v>23.667414285714283</c:v>
                </c:pt>
                <c:pt idx="114">
                  <c:v>23.747142857142851</c:v>
                </c:pt>
                <c:pt idx="115">
                  <c:v>23.81426428571428</c:v>
                </c:pt>
                <c:pt idx="116">
                  <c:v>23.916907142857145</c:v>
                </c:pt>
                <c:pt idx="117">
                  <c:v>24.008635714285713</c:v>
                </c:pt>
                <c:pt idx="118">
                  <c:v>23.90323571428571</c:v>
                </c:pt>
                <c:pt idx="119">
                  <c:v>23.939521428571425</c:v>
                </c:pt>
                <c:pt idx="120">
                  <c:v>23.919785714285716</c:v>
                </c:pt>
                <c:pt idx="121">
                  <c:v>23.831199999999999</c:v>
                </c:pt>
                <c:pt idx="122">
                  <c:v>23.751278571428568</c:v>
                </c:pt>
                <c:pt idx="123">
                  <c:v>23.622864285714286</c:v>
                </c:pt>
                <c:pt idx="124">
                  <c:v>23.589542857142863</c:v>
                </c:pt>
                <c:pt idx="125">
                  <c:v>23.697542857142857</c:v>
                </c:pt>
                <c:pt idx="126">
                  <c:v>23.714428571428574</c:v>
                </c:pt>
                <c:pt idx="127">
                  <c:v>23.613707142857141</c:v>
                </c:pt>
                <c:pt idx="128">
                  <c:v>23.605250000000002</c:v>
                </c:pt>
                <c:pt idx="129">
                  <c:v>23.602599999999999</c:v>
                </c:pt>
                <c:pt idx="130">
                  <c:v>23.710428571428569</c:v>
                </c:pt>
                <c:pt idx="131">
                  <c:v>23.581121428571429</c:v>
                </c:pt>
                <c:pt idx="132">
                  <c:v>23.479571428571429</c:v>
                </c:pt>
                <c:pt idx="133">
                  <c:v>23.432828571428576</c:v>
                </c:pt>
                <c:pt idx="134">
                  <c:v>23.537292857142855</c:v>
                </c:pt>
                <c:pt idx="135">
                  <c:v>23.642864285714285</c:v>
                </c:pt>
                <c:pt idx="136">
                  <c:v>23.546999999999997</c:v>
                </c:pt>
                <c:pt idx="137">
                  <c:v>23.428407142857139</c:v>
                </c:pt>
                <c:pt idx="138">
                  <c:v>23.494721428571427</c:v>
                </c:pt>
                <c:pt idx="139">
                  <c:v>23.547871428571426</c:v>
                </c:pt>
                <c:pt idx="140">
                  <c:v>23.489949999999997</c:v>
                </c:pt>
                <c:pt idx="141">
                  <c:v>23.350628571428569</c:v>
                </c:pt>
                <c:pt idx="142">
                  <c:v>23.230192857142857</c:v>
                </c:pt>
                <c:pt idx="143">
                  <c:v>23.107128571428568</c:v>
                </c:pt>
                <c:pt idx="144">
                  <c:v>23.015964285714283</c:v>
                </c:pt>
                <c:pt idx="145">
                  <c:v>23.009735714285714</c:v>
                </c:pt>
                <c:pt idx="146">
                  <c:v>22.988878571428568</c:v>
                </c:pt>
                <c:pt idx="147">
                  <c:v>23.133199999999995</c:v>
                </c:pt>
                <c:pt idx="148">
                  <c:v>23.374228571428571</c:v>
                </c:pt>
                <c:pt idx="149">
                  <c:v>23.525864285714288</c:v>
                </c:pt>
                <c:pt idx="150">
                  <c:v>23.833042857142861</c:v>
                </c:pt>
                <c:pt idx="151">
                  <c:v>23.98217142857143</c:v>
                </c:pt>
                <c:pt idx="152">
                  <c:v>23.909199999999998</c:v>
                </c:pt>
                <c:pt idx="153">
                  <c:v>23.842364285714279</c:v>
                </c:pt>
                <c:pt idx="154">
                  <c:v>23.775314285714281</c:v>
                </c:pt>
                <c:pt idx="155">
                  <c:v>23.721828571428567</c:v>
                </c:pt>
                <c:pt idx="156">
                  <c:v>23.612521428571426</c:v>
                </c:pt>
                <c:pt idx="157">
                  <c:v>23.475364285714281</c:v>
                </c:pt>
                <c:pt idx="158">
                  <c:v>23.436678571428569</c:v>
                </c:pt>
                <c:pt idx="159">
                  <c:v>23.460364285714284</c:v>
                </c:pt>
                <c:pt idx="160">
                  <c:v>23.532257142857137</c:v>
                </c:pt>
                <c:pt idx="161">
                  <c:v>23.510085714285712</c:v>
                </c:pt>
                <c:pt idx="162">
                  <c:v>23.43817142857143</c:v>
                </c:pt>
                <c:pt idx="163">
                  <c:v>23.389321428571428</c:v>
                </c:pt>
                <c:pt idx="164">
                  <c:v>23.448435714285711</c:v>
                </c:pt>
                <c:pt idx="165">
                  <c:v>23.412021428571428</c:v>
                </c:pt>
                <c:pt idx="166">
                  <c:v>23.420592857142854</c:v>
                </c:pt>
                <c:pt idx="167">
                  <c:v>23.469192857142854</c:v>
                </c:pt>
                <c:pt idx="168">
                  <c:v>23.608557142857141</c:v>
                </c:pt>
                <c:pt idx="169">
                  <c:v>23.678985714285712</c:v>
                </c:pt>
                <c:pt idx="170">
                  <c:v>23.693678571428567</c:v>
                </c:pt>
                <c:pt idx="171">
                  <c:v>23.600392857142854</c:v>
                </c:pt>
                <c:pt idx="172">
                  <c:v>23.527878571428566</c:v>
                </c:pt>
                <c:pt idx="173">
                  <c:v>23.491535714285707</c:v>
                </c:pt>
                <c:pt idx="174">
                  <c:v>23.31793571428571</c:v>
                </c:pt>
                <c:pt idx="175">
                  <c:v>23.184278571428571</c:v>
                </c:pt>
                <c:pt idx="176">
                  <c:v>23.084049999999998</c:v>
                </c:pt>
                <c:pt idx="177">
                  <c:v>23.090542857142854</c:v>
                </c:pt>
                <c:pt idx="178">
                  <c:v>23.158371428571428</c:v>
                </c:pt>
                <c:pt idx="179">
                  <c:v>23.325642857142856</c:v>
                </c:pt>
                <c:pt idx="180">
                  <c:v>23.387214285714283</c:v>
                </c:pt>
                <c:pt idx="181">
                  <c:v>23.402121428571427</c:v>
                </c:pt>
                <c:pt idx="182">
                  <c:v>23.300949999999997</c:v>
                </c:pt>
                <c:pt idx="183">
                  <c:v>23.248057142857142</c:v>
                </c:pt>
                <c:pt idx="184">
                  <c:v>23.367221428571423</c:v>
                </c:pt>
                <c:pt idx="185">
                  <c:v>23.472414285714283</c:v>
                </c:pt>
                <c:pt idx="186">
                  <c:v>23.509135714285716</c:v>
                </c:pt>
                <c:pt idx="187">
                  <c:v>23.565921428571425</c:v>
                </c:pt>
                <c:pt idx="188">
                  <c:v>23.638614285714283</c:v>
                </c:pt>
                <c:pt idx="189">
                  <c:v>23.642135714285708</c:v>
                </c:pt>
                <c:pt idx="190">
                  <c:v>23.625121428571422</c:v>
                </c:pt>
                <c:pt idx="191">
                  <c:v>23.567914285714284</c:v>
                </c:pt>
                <c:pt idx="192">
                  <c:v>23.497578571428569</c:v>
                </c:pt>
                <c:pt idx="193">
                  <c:v>23.468985714285711</c:v>
                </c:pt>
                <c:pt idx="194">
                  <c:v>23.369164285714284</c:v>
                </c:pt>
                <c:pt idx="195">
                  <c:v>23.323849999999997</c:v>
                </c:pt>
                <c:pt idx="196">
                  <c:v>23.434157142857138</c:v>
                </c:pt>
                <c:pt idx="197">
                  <c:v>23.571478571428571</c:v>
                </c:pt>
                <c:pt idx="198">
                  <c:v>23.545778571428574</c:v>
                </c:pt>
                <c:pt idx="199">
                  <c:v>23.502242857142853</c:v>
                </c:pt>
                <c:pt idx="200">
                  <c:v>23.46245714285714</c:v>
                </c:pt>
                <c:pt idx="201">
                  <c:v>23.522292857142855</c:v>
                </c:pt>
                <c:pt idx="202">
                  <c:v>23.517664285714282</c:v>
                </c:pt>
                <c:pt idx="203">
                  <c:v>23.528978571428571</c:v>
                </c:pt>
                <c:pt idx="204">
                  <c:v>23.486921428571428</c:v>
                </c:pt>
                <c:pt idx="205">
                  <c:v>23.469264285714281</c:v>
                </c:pt>
                <c:pt idx="206">
                  <c:v>23.416278571428567</c:v>
                </c:pt>
                <c:pt idx="207">
                  <c:v>23.447985714285714</c:v>
                </c:pt>
                <c:pt idx="208">
                  <c:v>23.373628571428565</c:v>
                </c:pt>
                <c:pt idx="209">
                  <c:v>23.401764285714282</c:v>
                </c:pt>
                <c:pt idx="210">
                  <c:v>23.39583571428571</c:v>
                </c:pt>
                <c:pt idx="211">
                  <c:v>23.49623571428571</c:v>
                </c:pt>
                <c:pt idx="212">
                  <c:v>23.567549999999994</c:v>
                </c:pt>
                <c:pt idx="213">
                  <c:v>23.589514285714284</c:v>
                </c:pt>
                <c:pt idx="214">
                  <c:v>23.451178571428574</c:v>
                </c:pt>
                <c:pt idx="215">
                  <c:v>23.482257142857147</c:v>
                </c:pt>
                <c:pt idx="216">
                  <c:v>23.486621428571429</c:v>
                </c:pt>
                <c:pt idx="217">
                  <c:v>23.465049999999998</c:v>
                </c:pt>
                <c:pt idx="218">
                  <c:v>23.384821428571428</c:v>
                </c:pt>
                <c:pt idx="219">
                  <c:v>23.377592857142854</c:v>
                </c:pt>
                <c:pt idx="220">
                  <c:v>23.407664285714283</c:v>
                </c:pt>
                <c:pt idx="221">
                  <c:v>23.511778571428568</c:v>
                </c:pt>
                <c:pt idx="222">
                  <c:v>23.480071428571424</c:v>
                </c:pt>
                <c:pt idx="223">
                  <c:v>23.267114285714282</c:v>
                </c:pt>
                <c:pt idx="224">
                  <c:v>23.319050000000001</c:v>
                </c:pt>
                <c:pt idx="225">
                  <c:v>23.378692857142855</c:v>
                </c:pt>
                <c:pt idx="226">
                  <c:v>23.423549999999999</c:v>
                </c:pt>
                <c:pt idx="227">
                  <c:v>23.49615</c:v>
                </c:pt>
                <c:pt idx="228">
                  <c:v>23.439357142857141</c:v>
                </c:pt>
                <c:pt idx="229">
                  <c:v>23.450885714285711</c:v>
                </c:pt>
                <c:pt idx="230">
                  <c:v>23.636314285714285</c:v>
                </c:pt>
                <c:pt idx="231">
                  <c:v>23.456549999999996</c:v>
                </c:pt>
                <c:pt idx="232">
                  <c:v>23.294214285714286</c:v>
                </c:pt>
                <c:pt idx="233">
                  <c:v>23.166014285714287</c:v>
                </c:pt>
                <c:pt idx="234">
                  <c:v>23.08597142857143</c:v>
                </c:pt>
                <c:pt idx="235">
                  <c:v>23.065078571428575</c:v>
                </c:pt>
                <c:pt idx="236">
                  <c:v>23.113164285714284</c:v>
                </c:pt>
                <c:pt idx="237">
                  <c:v>23.225535714285716</c:v>
                </c:pt>
                <c:pt idx="238">
                  <c:v>23.325042857142858</c:v>
                </c:pt>
                <c:pt idx="239">
                  <c:v>23.252964285714285</c:v>
                </c:pt>
                <c:pt idx="240">
                  <c:v>23.062478571428578</c:v>
                </c:pt>
                <c:pt idx="241">
                  <c:v>23.058478571428573</c:v>
                </c:pt>
                <c:pt idx="242">
                  <c:v>22.986071428571428</c:v>
                </c:pt>
                <c:pt idx="243">
                  <c:v>22.963485714285714</c:v>
                </c:pt>
                <c:pt idx="244">
                  <c:v>22.951614285714289</c:v>
                </c:pt>
                <c:pt idx="245">
                  <c:v>23.088621428571429</c:v>
                </c:pt>
                <c:pt idx="246">
                  <c:v>23.270057142857144</c:v>
                </c:pt>
                <c:pt idx="247">
                  <c:v>23.544785714285712</c:v>
                </c:pt>
                <c:pt idx="248">
                  <c:v>23.519642857142852</c:v>
                </c:pt>
                <c:pt idx="249">
                  <c:v>23.593792857142851</c:v>
                </c:pt>
                <c:pt idx="250">
                  <c:v>23.52991428571428</c:v>
                </c:pt>
                <c:pt idx="251">
                  <c:v>23.490699999999997</c:v>
                </c:pt>
                <c:pt idx="252">
                  <c:v>23.420771428571424</c:v>
                </c:pt>
                <c:pt idx="253">
                  <c:v>23.31820714285714</c:v>
                </c:pt>
                <c:pt idx="254">
                  <c:v>23.210278571428567</c:v>
                </c:pt>
                <c:pt idx="255">
                  <c:v>23.246864285714285</c:v>
                </c:pt>
                <c:pt idx="256">
                  <c:v>23.242807142857142</c:v>
                </c:pt>
                <c:pt idx="257">
                  <c:v>23.366078571428574</c:v>
                </c:pt>
                <c:pt idx="258">
                  <c:v>23.348635714285709</c:v>
                </c:pt>
                <c:pt idx="259">
                  <c:v>23.358021428571423</c:v>
                </c:pt>
                <c:pt idx="260">
                  <c:v>23.519000000000002</c:v>
                </c:pt>
                <c:pt idx="261">
                  <c:v>23.647628571428573</c:v>
                </c:pt>
                <c:pt idx="262">
                  <c:v>23.664328571428566</c:v>
                </c:pt>
                <c:pt idx="263">
                  <c:v>23.723878571428568</c:v>
                </c:pt>
                <c:pt idx="264">
                  <c:v>23.651264285714287</c:v>
                </c:pt>
                <c:pt idx="265">
                  <c:v>23.664478571428567</c:v>
                </c:pt>
                <c:pt idx="266">
                  <c:v>23.532892857142858</c:v>
                </c:pt>
                <c:pt idx="267">
                  <c:v>23.394421428571427</c:v>
                </c:pt>
                <c:pt idx="268">
                  <c:v>23.319178571428569</c:v>
                </c:pt>
                <c:pt idx="269">
                  <c:v>23.302478571428569</c:v>
                </c:pt>
                <c:pt idx="270">
                  <c:v>23.346814285714284</c:v>
                </c:pt>
                <c:pt idx="271">
                  <c:v>23.374478571428572</c:v>
                </c:pt>
                <c:pt idx="272">
                  <c:v>23.332850000000001</c:v>
                </c:pt>
                <c:pt idx="273">
                  <c:v>23.225150000000003</c:v>
                </c:pt>
                <c:pt idx="274">
                  <c:v>23.139999999999997</c:v>
                </c:pt>
                <c:pt idx="275">
                  <c:v>23.149892857142856</c:v>
                </c:pt>
                <c:pt idx="276">
                  <c:v>23.248864285714287</c:v>
                </c:pt>
                <c:pt idx="277">
                  <c:v>23.303664285714284</c:v>
                </c:pt>
                <c:pt idx="278">
                  <c:v>23.337328571428571</c:v>
                </c:pt>
                <c:pt idx="279">
                  <c:v>23.406985714285714</c:v>
                </c:pt>
                <c:pt idx="280">
                  <c:v>23.535014285714283</c:v>
                </c:pt>
                <c:pt idx="281">
                  <c:v>23.585471428571427</c:v>
                </c:pt>
                <c:pt idx="282">
                  <c:v>23.450892857142854</c:v>
                </c:pt>
                <c:pt idx="283">
                  <c:v>23.244307142857139</c:v>
                </c:pt>
                <c:pt idx="284">
                  <c:v>23.158414285714283</c:v>
                </c:pt>
                <c:pt idx="285">
                  <c:v>23.075292857142852</c:v>
                </c:pt>
                <c:pt idx="286">
                  <c:v>23.013371428571425</c:v>
                </c:pt>
                <c:pt idx="287">
                  <c:v>23.135835714285712</c:v>
                </c:pt>
                <c:pt idx="288">
                  <c:v>23.26295714285714</c:v>
                </c:pt>
                <c:pt idx="289">
                  <c:v>23.382085714285704</c:v>
                </c:pt>
                <c:pt idx="290">
                  <c:v>23.511557142857132</c:v>
                </c:pt>
                <c:pt idx="291">
                  <c:v>23.404649999999993</c:v>
                </c:pt>
                <c:pt idx="292">
                  <c:v>23.427807142857141</c:v>
                </c:pt>
                <c:pt idx="293">
                  <c:v>23.423871428571427</c:v>
                </c:pt>
                <c:pt idx="294">
                  <c:v>23.368378571428568</c:v>
                </c:pt>
                <c:pt idx="295">
                  <c:v>23.346164285714281</c:v>
                </c:pt>
                <c:pt idx="296">
                  <c:v>23.31005714285714</c:v>
                </c:pt>
                <c:pt idx="297">
                  <c:v>23.069399999999998</c:v>
                </c:pt>
                <c:pt idx="298">
                  <c:v>22.989471428571427</c:v>
                </c:pt>
                <c:pt idx="299">
                  <c:v>22.985571428571429</c:v>
                </c:pt>
                <c:pt idx="300">
                  <c:v>22.978342857142856</c:v>
                </c:pt>
                <c:pt idx="301">
                  <c:v>23.069542857142856</c:v>
                </c:pt>
                <c:pt idx="302">
                  <c:v>23.087964285714282</c:v>
                </c:pt>
                <c:pt idx="303">
                  <c:v>23.132899999999999</c:v>
                </c:pt>
                <c:pt idx="304">
                  <c:v>23.350771428571427</c:v>
                </c:pt>
                <c:pt idx="305">
                  <c:v>23.539171428571425</c:v>
                </c:pt>
                <c:pt idx="306">
                  <c:v>23.621499999999997</c:v>
                </c:pt>
                <c:pt idx="307">
                  <c:v>23.61889285714285</c:v>
                </c:pt>
                <c:pt idx="308">
                  <c:v>23.613171428571427</c:v>
                </c:pt>
                <c:pt idx="309">
                  <c:v>23.51548571428571</c:v>
                </c:pt>
                <c:pt idx="310">
                  <c:v>23.488614285714284</c:v>
                </c:pt>
                <c:pt idx="311">
                  <c:v>23.485671428571429</c:v>
                </c:pt>
                <c:pt idx="312">
                  <c:v>23.42802857142857</c:v>
                </c:pt>
                <c:pt idx="313">
                  <c:v>23.226671428571425</c:v>
                </c:pt>
                <c:pt idx="314">
                  <c:v>23.284749999999999</c:v>
                </c:pt>
                <c:pt idx="315">
                  <c:v>23.102071428571424</c:v>
                </c:pt>
                <c:pt idx="316">
                  <c:v>23.119214285714282</c:v>
                </c:pt>
                <c:pt idx="317">
                  <c:v>23.168157142857144</c:v>
                </c:pt>
                <c:pt idx="318">
                  <c:v>23.182992857142857</c:v>
                </c:pt>
                <c:pt idx="319">
                  <c:v>23.276849999999996</c:v>
                </c:pt>
                <c:pt idx="320">
                  <c:v>23.353499999999997</c:v>
                </c:pt>
                <c:pt idx="321">
                  <c:v>23.293178571428566</c:v>
                </c:pt>
                <c:pt idx="322">
                  <c:v>23.332692857142856</c:v>
                </c:pt>
                <c:pt idx="323">
                  <c:v>23.336721428571426</c:v>
                </c:pt>
                <c:pt idx="324">
                  <c:v>23.306435714285708</c:v>
                </c:pt>
                <c:pt idx="325">
                  <c:v>23.379171428571425</c:v>
                </c:pt>
                <c:pt idx="326">
                  <c:v>23.379221428571423</c:v>
                </c:pt>
                <c:pt idx="327">
                  <c:v>23.488428571428567</c:v>
                </c:pt>
                <c:pt idx="328">
                  <c:v>23.474142857142855</c:v>
                </c:pt>
                <c:pt idx="329">
                  <c:v>23.419214285714283</c:v>
                </c:pt>
                <c:pt idx="330">
                  <c:v>23.393614285714278</c:v>
                </c:pt>
                <c:pt idx="331">
                  <c:v>23.349714285714281</c:v>
                </c:pt>
                <c:pt idx="332">
                  <c:v>23.223964285714281</c:v>
                </c:pt>
                <c:pt idx="333">
                  <c:v>23.088057142857139</c:v>
                </c:pt>
                <c:pt idx="334">
                  <c:v>23.078807142857141</c:v>
                </c:pt>
                <c:pt idx="335">
                  <c:v>23.1844</c:v>
                </c:pt>
                <c:pt idx="336">
                  <c:v>23.304657142857138</c:v>
                </c:pt>
                <c:pt idx="337">
                  <c:v>23.355942857142853</c:v>
                </c:pt>
                <c:pt idx="338">
                  <c:v>23.358428571428568</c:v>
                </c:pt>
                <c:pt idx="339">
                  <c:v>23.319728571428566</c:v>
                </c:pt>
                <c:pt idx="340">
                  <c:v>23.3887</c:v>
                </c:pt>
                <c:pt idx="341">
                  <c:v>23.351864285714282</c:v>
                </c:pt>
                <c:pt idx="342">
                  <c:v>23.255464285714282</c:v>
                </c:pt>
                <c:pt idx="343">
                  <c:v>23.170435714285713</c:v>
                </c:pt>
                <c:pt idx="344">
                  <c:v>23.176207142857145</c:v>
                </c:pt>
                <c:pt idx="345">
                  <c:v>23.138171428571422</c:v>
                </c:pt>
                <c:pt idx="346">
                  <c:v>23.045178571428568</c:v>
                </c:pt>
                <c:pt idx="347">
                  <c:v>22.94002142857142</c:v>
                </c:pt>
                <c:pt idx="348">
                  <c:v>22.754714285714279</c:v>
                </c:pt>
                <c:pt idx="349">
                  <c:v>22.764014285714286</c:v>
                </c:pt>
                <c:pt idx="350">
                  <c:v>22.820599999999995</c:v>
                </c:pt>
                <c:pt idx="351">
                  <c:v>22.64497142857142</c:v>
                </c:pt>
                <c:pt idx="352">
                  <c:v>22.586914285714279</c:v>
                </c:pt>
                <c:pt idx="353">
                  <c:v>22.785857142857136</c:v>
                </c:pt>
                <c:pt idx="354">
                  <c:v>22.666099999999997</c:v>
                </c:pt>
                <c:pt idx="355">
                  <c:v>22.724214285714279</c:v>
                </c:pt>
                <c:pt idx="356">
                  <c:v>22.664642857142848</c:v>
                </c:pt>
                <c:pt idx="357">
                  <c:v>22.513657142857138</c:v>
                </c:pt>
                <c:pt idx="358">
                  <c:v>22.650714285714283</c:v>
                </c:pt>
                <c:pt idx="359">
                  <c:v>22.809821428571428</c:v>
                </c:pt>
                <c:pt idx="360">
                  <c:v>22.794071428571424</c:v>
                </c:pt>
                <c:pt idx="361">
                  <c:v>22.960442857142855</c:v>
                </c:pt>
                <c:pt idx="362">
                  <c:v>23.027721428571425</c:v>
                </c:pt>
                <c:pt idx="363">
                  <c:v>23.012471428571427</c:v>
                </c:pt>
                <c:pt idx="364">
                  <c:v>23.138928571428568</c:v>
                </c:pt>
                <c:pt idx="365">
                  <c:v>23.17192857142857</c:v>
                </c:pt>
                <c:pt idx="366">
                  <c:v>23.040178571428566</c:v>
                </c:pt>
                <c:pt idx="367">
                  <c:v>22.975514285714276</c:v>
                </c:pt>
                <c:pt idx="368">
                  <c:v>22.953849999999989</c:v>
                </c:pt>
                <c:pt idx="369">
                  <c:v>22.946778571428563</c:v>
                </c:pt>
                <c:pt idx="370">
                  <c:v>22.924299999999992</c:v>
                </c:pt>
                <c:pt idx="371">
                  <c:v>22.834471428571426</c:v>
                </c:pt>
                <c:pt idx="372">
                  <c:v>22.74989285714285</c:v>
                </c:pt>
                <c:pt idx="373">
                  <c:v>22.775485714285711</c:v>
                </c:pt>
                <c:pt idx="374">
                  <c:v>22.699942857142851</c:v>
                </c:pt>
                <c:pt idx="375">
                  <c:v>22.631849999999996</c:v>
                </c:pt>
                <c:pt idx="376">
                  <c:v>22.656114285714285</c:v>
                </c:pt>
                <c:pt idx="377">
                  <c:v>22.726557142857139</c:v>
                </c:pt>
                <c:pt idx="378">
                  <c:v>22.802785714285712</c:v>
                </c:pt>
                <c:pt idx="379">
                  <c:v>22.833321428571427</c:v>
                </c:pt>
                <c:pt idx="380">
                  <c:v>22.783607142857139</c:v>
                </c:pt>
                <c:pt idx="381">
                  <c:v>22.685207142857141</c:v>
                </c:pt>
                <c:pt idx="382">
                  <c:v>22.697135714285707</c:v>
                </c:pt>
                <c:pt idx="383">
                  <c:v>22.656692857142847</c:v>
                </c:pt>
                <c:pt idx="384">
                  <c:v>22.681507142857136</c:v>
                </c:pt>
                <c:pt idx="385">
                  <c:v>22.609257142857132</c:v>
                </c:pt>
                <c:pt idx="386">
                  <c:v>22.503885714285705</c:v>
                </c:pt>
                <c:pt idx="387">
                  <c:v>22.564457142857133</c:v>
                </c:pt>
                <c:pt idx="388">
                  <c:v>22.655721428571418</c:v>
                </c:pt>
                <c:pt idx="389">
                  <c:v>22.544007142857133</c:v>
                </c:pt>
                <c:pt idx="390">
                  <c:v>22.500571428571419</c:v>
                </c:pt>
                <c:pt idx="391">
                  <c:v>22.353399999999993</c:v>
                </c:pt>
                <c:pt idx="392">
                  <c:v>22.35254999999999</c:v>
                </c:pt>
                <c:pt idx="393">
                  <c:v>22.362714285714283</c:v>
                </c:pt>
                <c:pt idx="394">
                  <c:v>22.315299999999997</c:v>
                </c:pt>
                <c:pt idx="395">
                  <c:v>22.249099999999995</c:v>
                </c:pt>
                <c:pt idx="396">
                  <c:v>22.341657142857141</c:v>
                </c:pt>
                <c:pt idx="397">
                  <c:v>22.390235714285705</c:v>
                </c:pt>
                <c:pt idx="398">
                  <c:v>22.454157142857134</c:v>
                </c:pt>
                <c:pt idx="399">
                  <c:v>22.521821428571421</c:v>
                </c:pt>
                <c:pt idx="400">
                  <c:v>22.635928571428565</c:v>
                </c:pt>
                <c:pt idx="401">
                  <c:v>22.708892857142846</c:v>
                </c:pt>
                <c:pt idx="402">
                  <c:v>22.718392857142849</c:v>
                </c:pt>
                <c:pt idx="403">
                  <c:v>22.806957142857133</c:v>
                </c:pt>
                <c:pt idx="404">
                  <c:v>22.82909285714285</c:v>
                </c:pt>
                <c:pt idx="405">
                  <c:v>22.79626428571428</c:v>
                </c:pt>
                <c:pt idx="406">
                  <c:v>22.793449999999989</c:v>
                </c:pt>
                <c:pt idx="407">
                  <c:v>22.882178571428565</c:v>
                </c:pt>
                <c:pt idx="408">
                  <c:v>22.904678571428565</c:v>
                </c:pt>
                <c:pt idx="409">
                  <c:v>23.006107142857136</c:v>
                </c:pt>
                <c:pt idx="410">
                  <c:v>22.850242857142852</c:v>
                </c:pt>
                <c:pt idx="411">
                  <c:v>22.778935714285712</c:v>
                </c:pt>
                <c:pt idx="412">
                  <c:v>22.848157142857136</c:v>
                </c:pt>
                <c:pt idx="413">
                  <c:v>22.846635714285707</c:v>
                </c:pt>
                <c:pt idx="414">
                  <c:v>22.707249999999995</c:v>
                </c:pt>
                <c:pt idx="415">
                  <c:v>22.610499999999995</c:v>
                </c:pt>
                <c:pt idx="416">
                  <c:v>22.645078571428567</c:v>
                </c:pt>
                <c:pt idx="417">
                  <c:v>22.64299285714285</c:v>
                </c:pt>
                <c:pt idx="418">
                  <c:v>22.619857142857139</c:v>
                </c:pt>
                <c:pt idx="419">
                  <c:v>22.582307142857136</c:v>
                </c:pt>
                <c:pt idx="420">
                  <c:v>22.481521428571426</c:v>
                </c:pt>
                <c:pt idx="421">
                  <c:v>22.424564285714279</c:v>
                </c:pt>
                <c:pt idx="422">
                  <c:v>22.431464285714281</c:v>
                </c:pt>
                <c:pt idx="423">
                  <c:v>22.380249999999997</c:v>
                </c:pt>
                <c:pt idx="424">
                  <c:v>22.444964285714285</c:v>
                </c:pt>
                <c:pt idx="425">
                  <c:v>22.494578571428569</c:v>
                </c:pt>
                <c:pt idx="426">
                  <c:v>22.53162857142857</c:v>
                </c:pt>
                <c:pt idx="427">
                  <c:v>22.659071428571426</c:v>
                </c:pt>
                <c:pt idx="428">
                  <c:v>22.740542857142852</c:v>
                </c:pt>
                <c:pt idx="429">
                  <c:v>22.712685714285708</c:v>
                </c:pt>
                <c:pt idx="430">
                  <c:v>22.698199999999993</c:v>
                </c:pt>
                <c:pt idx="431">
                  <c:v>22.789699999999993</c:v>
                </c:pt>
                <c:pt idx="432">
                  <c:v>22.890171428571421</c:v>
                </c:pt>
                <c:pt idx="433">
                  <c:v>22.88361428571428</c:v>
                </c:pt>
                <c:pt idx="434">
                  <c:v>22.821199999999994</c:v>
                </c:pt>
                <c:pt idx="435">
                  <c:v>22.834485714285709</c:v>
                </c:pt>
                <c:pt idx="436">
                  <c:v>22.899742857142854</c:v>
                </c:pt>
                <c:pt idx="437">
                  <c:v>22.931714285714282</c:v>
                </c:pt>
                <c:pt idx="438">
                  <c:v>22.982392857142855</c:v>
                </c:pt>
                <c:pt idx="439">
                  <c:v>22.896835714285707</c:v>
                </c:pt>
                <c:pt idx="440">
                  <c:v>22.965949999999992</c:v>
                </c:pt>
                <c:pt idx="441">
                  <c:v>22.895221428571421</c:v>
                </c:pt>
                <c:pt idx="442">
                  <c:v>22.677992857142847</c:v>
                </c:pt>
                <c:pt idx="443">
                  <c:v>22.604014285714278</c:v>
                </c:pt>
                <c:pt idx="444">
                  <c:v>22.604528571428563</c:v>
                </c:pt>
                <c:pt idx="445">
                  <c:v>22.55562142857142</c:v>
                </c:pt>
                <c:pt idx="446">
                  <c:v>22.594228571428566</c:v>
                </c:pt>
                <c:pt idx="447">
                  <c:v>22.554214285714277</c:v>
                </c:pt>
                <c:pt idx="448">
                  <c:v>22.621671428571421</c:v>
                </c:pt>
                <c:pt idx="449">
                  <c:v>22.819399999999995</c:v>
                </c:pt>
                <c:pt idx="450">
                  <c:v>22.786357142857135</c:v>
                </c:pt>
                <c:pt idx="451">
                  <c:v>22.739942857142847</c:v>
                </c:pt>
                <c:pt idx="452">
                  <c:v>22.630528571428563</c:v>
                </c:pt>
                <c:pt idx="453">
                  <c:v>22.641271428571422</c:v>
                </c:pt>
                <c:pt idx="454">
                  <c:v>22.722028571428559</c:v>
                </c:pt>
                <c:pt idx="455">
                  <c:v>22.786085714285708</c:v>
                </c:pt>
                <c:pt idx="456">
                  <c:v>22.719385714285711</c:v>
                </c:pt>
                <c:pt idx="457">
                  <c:v>22.782392857142849</c:v>
                </c:pt>
                <c:pt idx="458">
                  <c:v>22.756164285714281</c:v>
                </c:pt>
                <c:pt idx="459">
                  <c:v>22.783921428571428</c:v>
                </c:pt>
                <c:pt idx="460">
                  <c:v>22.677114285714282</c:v>
                </c:pt>
                <c:pt idx="461">
                  <c:v>22.513535714285712</c:v>
                </c:pt>
                <c:pt idx="462">
                  <c:v>22.452599999999997</c:v>
                </c:pt>
                <c:pt idx="463">
                  <c:v>22.44151428571428</c:v>
                </c:pt>
                <c:pt idx="464">
                  <c:v>22.419528571428568</c:v>
                </c:pt>
                <c:pt idx="465">
                  <c:v>22.501792857142853</c:v>
                </c:pt>
                <c:pt idx="466">
                  <c:v>22.545164285714282</c:v>
                </c:pt>
                <c:pt idx="467">
                  <c:v>22.510421428571423</c:v>
                </c:pt>
                <c:pt idx="468">
                  <c:v>22.549742857142853</c:v>
                </c:pt>
                <c:pt idx="469">
                  <c:v>22.561049999999994</c:v>
                </c:pt>
                <c:pt idx="470">
                  <c:v>22.306557142857137</c:v>
                </c:pt>
                <c:pt idx="471">
                  <c:v>22.061099999999993</c:v>
                </c:pt>
                <c:pt idx="472">
                  <c:v>21.749035714285714</c:v>
                </c:pt>
                <c:pt idx="473">
                  <c:v>21.65107857142857</c:v>
                </c:pt>
                <c:pt idx="474">
                  <c:v>21.556792857142856</c:v>
                </c:pt>
                <c:pt idx="475">
                  <c:v>21.391678571428567</c:v>
                </c:pt>
                <c:pt idx="476">
                  <c:v>21.051307142857144</c:v>
                </c:pt>
                <c:pt idx="477">
                  <c:v>21.184121428571423</c:v>
                </c:pt>
                <c:pt idx="478">
                  <c:v>21.319928571428569</c:v>
                </c:pt>
                <c:pt idx="479">
                  <c:v>21.400492857142858</c:v>
                </c:pt>
                <c:pt idx="480">
                  <c:v>21.332699999999996</c:v>
                </c:pt>
                <c:pt idx="481">
                  <c:v>21.261757142857139</c:v>
                </c:pt>
                <c:pt idx="482">
                  <c:v>21.219435714285709</c:v>
                </c:pt>
                <c:pt idx="483">
                  <c:v>21.357485714285708</c:v>
                </c:pt>
                <c:pt idx="484">
                  <c:v>21.43853571428571</c:v>
                </c:pt>
                <c:pt idx="485">
                  <c:v>21.433728571428563</c:v>
                </c:pt>
                <c:pt idx="486">
                  <c:v>21.500214285714282</c:v>
                </c:pt>
                <c:pt idx="487">
                  <c:v>21.497899999999991</c:v>
                </c:pt>
                <c:pt idx="488">
                  <c:v>21.664014285714281</c:v>
                </c:pt>
                <c:pt idx="489">
                  <c:v>21.785592857142856</c:v>
                </c:pt>
                <c:pt idx="490">
                  <c:v>21.829249999999995</c:v>
                </c:pt>
                <c:pt idx="491">
                  <c:v>21.83087857142857</c:v>
                </c:pt>
                <c:pt idx="492">
                  <c:v>21.934071428571425</c:v>
                </c:pt>
                <c:pt idx="493">
                  <c:v>21.931049999999995</c:v>
                </c:pt>
                <c:pt idx="494">
                  <c:v>21.96131428571428</c:v>
                </c:pt>
                <c:pt idx="495">
                  <c:v>22.013857142857141</c:v>
                </c:pt>
                <c:pt idx="496">
                  <c:v>22.065542857142855</c:v>
                </c:pt>
                <c:pt idx="497">
                  <c:v>22.118699999999993</c:v>
                </c:pt>
                <c:pt idx="498">
                  <c:v>22.149014285714284</c:v>
                </c:pt>
                <c:pt idx="499">
                  <c:v>22.096171428571427</c:v>
                </c:pt>
                <c:pt idx="500">
                  <c:v>22.173657142857138</c:v>
                </c:pt>
                <c:pt idx="501">
                  <c:v>22.216721428571425</c:v>
                </c:pt>
                <c:pt idx="502">
                  <c:v>22.190578571428567</c:v>
                </c:pt>
                <c:pt idx="503">
                  <c:v>22.081164285714284</c:v>
                </c:pt>
                <c:pt idx="504">
                  <c:v>22.046585714285708</c:v>
                </c:pt>
                <c:pt idx="505">
                  <c:v>22.108028571428569</c:v>
                </c:pt>
                <c:pt idx="506">
                  <c:v>21.930271428571423</c:v>
                </c:pt>
                <c:pt idx="507">
                  <c:v>21.858085714285714</c:v>
                </c:pt>
                <c:pt idx="508">
                  <c:v>21.893821428571425</c:v>
                </c:pt>
                <c:pt idx="509">
                  <c:v>21.953271428571423</c:v>
                </c:pt>
                <c:pt idx="510">
                  <c:v>22.214700000000001</c:v>
                </c:pt>
                <c:pt idx="511">
                  <c:v>22.383264285714287</c:v>
                </c:pt>
                <c:pt idx="512">
                  <c:v>22.354414285714284</c:v>
                </c:pt>
                <c:pt idx="513">
                  <c:v>22.598385714285712</c:v>
                </c:pt>
                <c:pt idx="514">
                  <c:v>22.732142857142858</c:v>
                </c:pt>
                <c:pt idx="515">
                  <c:v>22.755392857142855</c:v>
                </c:pt>
                <c:pt idx="516">
                  <c:v>22.648199999999999</c:v>
                </c:pt>
                <c:pt idx="517">
                  <c:v>22.404519999999994</c:v>
                </c:pt>
                <c:pt idx="518">
                  <c:v>22.269662857142855</c:v>
                </c:pt>
                <c:pt idx="519">
                  <c:v>22.144955714285711</c:v>
                </c:pt>
                <c:pt idx="520">
                  <c:v>22.087034285714282</c:v>
                </c:pt>
                <c:pt idx="521">
                  <c:v>22.033791428571426</c:v>
                </c:pt>
                <c:pt idx="522">
                  <c:v>21.980555714285714</c:v>
                </c:pt>
                <c:pt idx="523">
                  <c:v>21.904741428571423</c:v>
                </c:pt>
                <c:pt idx="524">
                  <c:v>21.85200714285714</c:v>
                </c:pt>
                <c:pt idx="525">
                  <c:v>21.911014285714284</c:v>
                </c:pt>
                <c:pt idx="526">
                  <c:v>21.999785714285711</c:v>
                </c:pt>
                <c:pt idx="527">
                  <c:v>21.98731428571428</c:v>
                </c:pt>
                <c:pt idx="528">
                  <c:v>22.09364285714285</c:v>
                </c:pt>
                <c:pt idx="529">
                  <c:v>22.263514285714276</c:v>
                </c:pt>
                <c:pt idx="530">
                  <c:v>22.466871428571427</c:v>
                </c:pt>
                <c:pt idx="531">
                  <c:v>22.59758571428571</c:v>
                </c:pt>
                <c:pt idx="532">
                  <c:v>22.61663571428571</c:v>
                </c:pt>
                <c:pt idx="533">
                  <c:v>22.671185714285713</c:v>
                </c:pt>
                <c:pt idx="534">
                  <c:v>22.754442857142855</c:v>
                </c:pt>
                <c:pt idx="535">
                  <c:v>22.70437857142857</c:v>
                </c:pt>
                <c:pt idx="536">
                  <c:v>22.611642857142858</c:v>
                </c:pt>
                <c:pt idx="537">
                  <c:v>22.557021428571428</c:v>
                </c:pt>
                <c:pt idx="538">
                  <c:v>22.518842857142854</c:v>
                </c:pt>
                <c:pt idx="539">
                  <c:v>22.467964285714285</c:v>
                </c:pt>
                <c:pt idx="540">
                  <c:v>22.323428571428568</c:v>
                </c:pt>
                <c:pt idx="541">
                  <c:v>22.387785714285712</c:v>
                </c:pt>
                <c:pt idx="542">
                  <c:v>22.470249999999997</c:v>
                </c:pt>
                <c:pt idx="543">
                  <c:v>22.515635714285715</c:v>
                </c:pt>
                <c:pt idx="544">
                  <c:v>22.548757142857145</c:v>
                </c:pt>
                <c:pt idx="545">
                  <c:v>22.629564285714284</c:v>
                </c:pt>
                <c:pt idx="546">
                  <c:v>22.686335714285715</c:v>
                </c:pt>
                <c:pt idx="547">
                  <c:v>22.7424</c:v>
                </c:pt>
                <c:pt idx="548">
                  <c:v>22.636685714285715</c:v>
                </c:pt>
                <c:pt idx="549">
                  <c:v>22.47811428571428</c:v>
                </c:pt>
                <c:pt idx="550">
                  <c:v>22.453521428571424</c:v>
                </c:pt>
                <c:pt idx="551">
                  <c:v>22.358049999999999</c:v>
                </c:pt>
                <c:pt idx="552">
                  <c:v>22.351364285714283</c:v>
                </c:pt>
                <c:pt idx="553">
                  <c:v>22.377235714285707</c:v>
                </c:pt>
                <c:pt idx="554">
                  <c:v>22.400242857142853</c:v>
                </c:pt>
                <c:pt idx="555">
                  <c:v>22.53922857142857</c:v>
                </c:pt>
                <c:pt idx="556">
                  <c:v>22.704257142857138</c:v>
                </c:pt>
                <c:pt idx="557">
                  <c:v>22.693078571428568</c:v>
                </c:pt>
                <c:pt idx="558">
                  <c:v>22.709692857142858</c:v>
                </c:pt>
                <c:pt idx="559">
                  <c:v>22.620164285714282</c:v>
                </c:pt>
                <c:pt idx="560">
                  <c:v>22.58015</c:v>
                </c:pt>
                <c:pt idx="561">
                  <c:v>22.682585714285715</c:v>
                </c:pt>
                <c:pt idx="562">
                  <c:v>22.609214285714284</c:v>
                </c:pt>
                <c:pt idx="563">
                  <c:v>22.451271428571424</c:v>
                </c:pt>
                <c:pt idx="564">
                  <c:v>22.336064285714283</c:v>
                </c:pt>
                <c:pt idx="565">
                  <c:v>22.324414285714283</c:v>
                </c:pt>
                <c:pt idx="566">
                  <c:v>22.380471428571418</c:v>
                </c:pt>
                <c:pt idx="567">
                  <c:v>22.150007142857135</c:v>
                </c:pt>
                <c:pt idx="568">
                  <c:v>21.95494999999999</c:v>
                </c:pt>
                <c:pt idx="569">
                  <c:v>21.763442857142845</c:v>
                </c:pt>
                <c:pt idx="570">
                  <c:v>21.745499999999993</c:v>
                </c:pt>
                <c:pt idx="571">
                  <c:v>21.687842857142847</c:v>
                </c:pt>
                <c:pt idx="572">
                  <c:v>21.693649999999995</c:v>
                </c:pt>
                <c:pt idx="573">
                  <c:v>21.705592857142847</c:v>
                </c:pt>
                <c:pt idx="574">
                  <c:v>21.798928571428565</c:v>
                </c:pt>
                <c:pt idx="575">
                  <c:v>21.865314285714284</c:v>
                </c:pt>
                <c:pt idx="576">
                  <c:v>21.955992857142853</c:v>
                </c:pt>
                <c:pt idx="577">
                  <c:v>22.011464285714283</c:v>
                </c:pt>
                <c:pt idx="578">
                  <c:v>21.958978571428567</c:v>
                </c:pt>
                <c:pt idx="579">
                  <c:v>21.995292857142854</c:v>
                </c:pt>
                <c:pt idx="580">
                  <c:v>21.949149999999996</c:v>
                </c:pt>
                <c:pt idx="581">
                  <c:v>21.925335714285705</c:v>
                </c:pt>
                <c:pt idx="582">
                  <c:v>21.967842857142852</c:v>
                </c:pt>
                <c:pt idx="583">
                  <c:v>22.134442857142851</c:v>
                </c:pt>
                <c:pt idx="584">
                  <c:v>21.950742857142849</c:v>
                </c:pt>
                <c:pt idx="585">
                  <c:v>22.163607142857135</c:v>
                </c:pt>
                <c:pt idx="586">
                  <c:v>22.283057142857135</c:v>
                </c:pt>
                <c:pt idx="587">
                  <c:v>22.311471428571426</c:v>
                </c:pt>
                <c:pt idx="588">
                  <c:v>22.587085714285706</c:v>
                </c:pt>
                <c:pt idx="589">
                  <c:v>22.737442857142849</c:v>
                </c:pt>
                <c:pt idx="590">
                  <c:v>22.666157142857145</c:v>
                </c:pt>
                <c:pt idx="591">
                  <c:v>22.7591</c:v>
                </c:pt>
                <c:pt idx="592">
                  <c:v>22.740485714285715</c:v>
                </c:pt>
                <c:pt idx="593">
                  <c:v>22.486864285714283</c:v>
                </c:pt>
                <c:pt idx="594">
                  <c:v>22.61355</c:v>
                </c:pt>
                <c:pt idx="595">
                  <c:v>22.58153571428571</c:v>
                </c:pt>
                <c:pt idx="596">
                  <c:v>22.471428571428564</c:v>
                </c:pt>
                <c:pt idx="597">
                  <c:v>22.422057142857138</c:v>
                </c:pt>
                <c:pt idx="598">
                  <c:v>22.456428571428571</c:v>
                </c:pt>
                <c:pt idx="599">
                  <c:v>22.418149999999997</c:v>
                </c:pt>
                <c:pt idx="600">
                  <c:v>22.475564285714281</c:v>
                </c:pt>
                <c:pt idx="601">
                  <c:v>22.390407142857139</c:v>
                </c:pt>
                <c:pt idx="602">
                  <c:v>22.338835714285715</c:v>
                </c:pt>
                <c:pt idx="603">
                  <c:v>22.295042857142853</c:v>
                </c:pt>
                <c:pt idx="604">
                  <c:v>22.375442857142854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30-43E7-A02A-2CBAA2F16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4017680"/>
        <c:axId val="1524017200"/>
      </c:lineChart>
      <c:catAx>
        <c:axId val="1524017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24017200"/>
        <c:crosses val="autoZero"/>
        <c:auto val="0"/>
        <c:lblAlgn val="ctr"/>
        <c:lblOffset val="100"/>
        <c:noMultiLvlLbl val="0"/>
      </c:catAx>
      <c:valAx>
        <c:axId val="1524017200"/>
        <c:scaling>
          <c:orientation val="minMax"/>
          <c:max val="25"/>
          <c:min val="2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24017680"/>
        <c:crosses val="max"/>
        <c:crossBetween val="between"/>
        <c:majorUnit val="2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17"/>
          <c:order val="0"/>
          <c:tx>
            <c:strRef>
              <c:f>Pesos_R!$X$1</c:f>
              <c:strCache>
                <c:ptCount val="1"/>
                <c:pt idx="0">
                  <c:v>AVG%Musculo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6">
                  <a:lumMod val="80000"/>
                  <a:lumOff val="2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80000"/>
                  <a:lumOff val="2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lumMod val="80000"/>
                    <a:lumOff val="20000"/>
                    <a:satMod val="175000"/>
                    <a:alpha val="25000"/>
                  </a:schemeClr>
                </a:glow>
              </a:effectLst>
            </c:spPr>
          </c:marker>
          <c:dPt>
            <c:idx val="545"/>
            <c:marker>
              <c:symbol val="circle"/>
              <c:size val="3"/>
              <c:spPr>
                <a:solidFill>
                  <a:schemeClr val="accent2"/>
                </a:solidFill>
                <a:ln>
                  <a:noFill/>
                </a:ln>
                <a:effectLst>
                  <a:glow rad="63500">
                    <a:schemeClr val="accent6">
                      <a:lumMod val="80000"/>
                      <a:lumOff val="2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6034-44F9-AEA9-5ECE07BC5BBB}"/>
              </c:ext>
            </c:extLst>
          </c:dPt>
          <c:dPt>
            <c:idx val="546"/>
            <c:marker>
              <c:symbol val="circle"/>
              <c:size val="3"/>
              <c:spPr>
                <a:solidFill>
                  <a:schemeClr val="accent2"/>
                </a:solidFill>
                <a:ln>
                  <a:noFill/>
                </a:ln>
                <a:effectLst>
                  <a:glow rad="63500">
                    <a:schemeClr val="accent6">
                      <a:lumMod val="80000"/>
                      <a:lumOff val="2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6034-44F9-AEA9-5ECE07BC5BBB}"/>
              </c:ext>
            </c:extLst>
          </c:dPt>
          <c:dPt>
            <c:idx val="547"/>
            <c:marker>
              <c:symbol val="circle"/>
              <c:size val="3"/>
              <c:spPr>
                <a:solidFill>
                  <a:schemeClr val="accent2"/>
                </a:solidFill>
                <a:ln>
                  <a:noFill/>
                </a:ln>
                <a:effectLst>
                  <a:glow rad="63500">
                    <a:schemeClr val="accent6">
                      <a:lumMod val="80000"/>
                      <a:lumOff val="2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034-44F9-AEA9-5ECE07BC5BBB}"/>
              </c:ext>
            </c:extLst>
          </c:dPt>
          <c:dPt>
            <c:idx val="548"/>
            <c:marker>
              <c:symbol val="circle"/>
              <c:size val="3"/>
              <c:spPr>
                <a:solidFill>
                  <a:schemeClr val="accent2"/>
                </a:solidFill>
                <a:ln>
                  <a:noFill/>
                </a:ln>
                <a:effectLst>
                  <a:glow rad="63500">
                    <a:schemeClr val="accent6">
                      <a:lumMod val="80000"/>
                      <a:lumOff val="2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034-44F9-AEA9-5ECE07BC5BBB}"/>
              </c:ext>
            </c:extLst>
          </c:dPt>
          <c:dPt>
            <c:idx val="551"/>
            <c:marker>
              <c:symbol val="circle"/>
              <c:size val="3"/>
              <c:spPr>
                <a:solidFill>
                  <a:schemeClr val="accent6">
                    <a:lumMod val="80000"/>
                    <a:lumOff val="2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6">
                      <a:lumMod val="80000"/>
                      <a:lumOff val="2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5097-4BEB-91E9-4666CA8BD38A}"/>
              </c:ext>
            </c:extLst>
          </c:dPt>
          <c:dPt>
            <c:idx val="552"/>
            <c:marker>
              <c:symbol val="circle"/>
              <c:size val="3"/>
              <c:spPr>
                <a:solidFill>
                  <a:schemeClr val="accent6">
                    <a:lumMod val="80000"/>
                    <a:lumOff val="2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6">
                      <a:lumMod val="80000"/>
                      <a:lumOff val="2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5097-4BEB-91E9-4666CA8BD38A}"/>
              </c:ext>
            </c:extLst>
          </c:dPt>
          <c:dPt>
            <c:idx val="553"/>
            <c:marker>
              <c:symbol val="circle"/>
              <c:size val="3"/>
              <c:spPr>
                <a:solidFill>
                  <a:schemeClr val="accent6">
                    <a:lumMod val="80000"/>
                    <a:lumOff val="2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6">
                      <a:lumMod val="80000"/>
                      <a:lumOff val="2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5097-4BEB-91E9-4666CA8BD38A}"/>
              </c:ext>
            </c:extLst>
          </c:dPt>
          <c:dPt>
            <c:idx val="554"/>
            <c:marker>
              <c:symbol val="circle"/>
              <c:size val="3"/>
              <c:spPr>
                <a:solidFill>
                  <a:schemeClr val="accent6">
                    <a:lumMod val="80000"/>
                    <a:lumOff val="2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6">
                      <a:lumMod val="80000"/>
                      <a:lumOff val="2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5097-4BEB-91E9-4666CA8BD38A}"/>
              </c:ext>
            </c:extLst>
          </c:dPt>
          <c:dPt>
            <c:idx val="585"/>
            <c:marker>
              <c:symbol val="circle"/>
              <c:size val="3"/>
              <c:spPr>
                <a:solidFill>
                  <a:srgbClr val="FF0000"/>
                </a:solidFill>
                <a:ln>
                  <a:noFill/>
                </a:ln>
                <a:effectLst>
                  <a:glow rad="63500">
                    <a:schemeClr val="accent6">
                      <a:lumMod val="80000"/>
                      <a:lumOff val="2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4659-4DE5-A5EC-D5F2933D5641}"/>
              </c:ext>
            </c:extLst>
          </c:dPt>
          <c:dPt>
            <c:idx val="589"/>
            <c:marker>
              <c:symbol val="circle"/>
              <c:size val="3"/>
              <c:spPr>
                <a:solidFill>
                  <a:srgbClr val="FF0000"/>
                </a:solidFill>
                <a:ln>
                  <a:noFill/>
                </a:ln>
                <a:effectLst>
                  <a:glow rad="63500">
                    <a:schemeClr val="accent6">
                      <a:lumMod val="80000"/>
                      <a:lumOff val="2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4659-4DE5-A5EC-D5F2933D5641}"/>
              </c:ext>
            </c:extLst>
          </c:dPt>
          <c:dPt>
            <c:idx val="591"/>
            <c:marker>
              <c:symbol val="circle"/>
              <c:size val="3"/>
              <c:spPr>
                <a:solidFill>
                  <a:srgbClr val="FFFF00"/>
                </a:solidFill>
                <a:ln>
                  <a:noFill/>
                </a:ln>
                <a:effectLst>
                  <a:glow rad="63500">
                    <a:schemeClr val="accent6">
                      <a:lumMod val="80000"/>
                      <a:lumOff val="2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625D-42C9-A046-7A63691F533B}"/>
              </c:ext>
            </c:extLst>
          </c:dPt>
          <c:dPt>
            <c:idx val="594"/>
            <c:marker>
              <c:symbol val="circle"/>
              <c:size val="3"/>
              <c:spPr>
                <a:solidFill>
                  <a:srgbClr val="FF0000"/>
                </a:solidFill>
                <a:ln>
                  <a:noFill/>
                </a:ln>
                <a:effectLst>
                  <a:glow rad="63500">
                    <a:schemeClr val="accent6">
                      <a:lumMod val="80000"/>
                      <a:lumOff val="2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009A-4830-8BDF-970774696038}"/>
              </c:ext>
            </c:extLst>
          </c:dPt>
          <c:dPt>
            <c:idx val="600"/>
            <c:marker>
              <c:symbol val="circle"/>
              <c:size val="3"/>
              <c:spPr>
                <a:solidFill>
                  <a:schemeClr val="accent2"/>
                </a:solidFill>
                <a:ln>
                  <a:noFill/>
                </a:ln>
                <a:effectLst>
                  <a:glow rad="63500">
                    <a:schemeClr val="accent6">
                      <a:lumMod val="80000"/>
                      <a:lumOff val="2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2152-44C5-8C00-4EF0E8615B34}"/>
              </c:ext>
            </c:extLst>
          </c:dPt>
          <c:dPt>
            <c:idx val="611"/>
            <c:marker>
              <c:symbol val="circle"/>
              <c:size val="3"/>
              <c:spPr>
                <a:solidFill>
                  <a:schemeClr val="accent2"/>
                </a:solidFill>
                <a:ln>
                  <a:noFill/>
                </a:ln>
                <a:effectLst>
                  <a:glow rad="63500">
                    <a:schemeClr val="accent6">
                      <a:lumMod val="80000"/>
                      <a:lumOff val="2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2152-44C5-8C00-4EF0E8615B34}"/>
              </c:ext>
            </c:extLst>
          </c:dPt>
          <c:dPt>
            <c:idx val="612"/>
            <c:marker>
              <c:symbol val="circle"/>
              <c:size val="3"/>
              <c:spPr>
                <a:solidFill>
                  <a:schemeClr val="accent6">
                    <a:lumMod val="80000"/>
                    <a:lumOff val="20000"/>
                    <a:lumMod val="60000"/>
                    <a:lumOff val="40000"/>
                  </a:schemeClr>
                </a:solidFill>
                <a:ln>
                  <a:solidFill>
                    <a:schemeClr val="accent2"/>
                  </a:solidFill>
                </a:ln>
                <a:effectLst>
                  <a:glow rad="63500">
                    <a:schemeClr val="accent6">
                      <a:lumMod val="80000"/>
                      <a:lumOff val="2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2152-44C5-8C00-4EF0E8615B34}"/>
              </c:ext>
            </c:extLst>
          </c:dPt>
          <c:dPt>
            <c:idx val="621"/>
            <c:marker>
              <c:symbol val="circle"/>
              <c:size val="3"/>
              <c:spPr>
                <a:solidFill>
                  <a:schemeClr val="accent2"/>
                </a:solidFill>
                <a:ln>
                  <a:noFill/>
                </a:ln>
                <a:effectLst>
                  <a:glow rad="63500">
                    <a:schemeClr val="accent6">
                      <a:lumMod val="80000"/>
                      <a:lumOff val="2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2152-44C5-8C00-4EF0E8615B34}"/>
              </c:ext>
            </c:extLst>
          </c:dPt>
          <c:trendline>
            <c:spPr>
              <a:ln w="25400" cap="rnd">
                <a:solidFill>
                  <a:schemeClr val="accent6">
                    <a:lumMod val="80000"/>
                    <a:lumOff val="20000"/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strRef>
              <c:f>Pesos_R!$A$2:$A$798</c:f>
              <c:strCache>
                <c:ptCount val="79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6</c:v>
                </c:pt>
                <c:pt idx="173">
                  <c:v>6</c:v>
                </c:pt>
                <c:pt idx="174">
                  <c:v>6</c:v>
                </c:pt>
                <c:pt idx="175">
                  <c:v>6</c:v>
                </c:pt>
                <c:pt idx="176">
                  <c:v>6</c:v>
                </c:pt>
                <c:pt idx="177">
                  <c:v>6</c:v>
                </c:pt>
                <c:pt idx="178">
                  <c:v>6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6</c:v>
                </c:pt>
                <c:pt idx="184">
                  <c:v>6</c:v>
                </c:pt>
                <c:pt idx="185">
                  <c:v>6</c:v>
                </c:pt>
                <c:pt idx="186">
                  <c:v>6</c:v>
                </c:pt>
                <c:pt idx="187">
                  <c:v>6</c:v>
                </c:pt>
                <c:pt idx="188">
                  <c:v>6</c:v>
                </c:pt>
                <c:pt idx="189">
                  <c:v>6</c:v>
                </c:pt>
                <c:pt idx="190">
                  <c:v>6</c:v>
                </c:pt>
                <c:pt idx="191">
                  <c:v>6</c:v>
                </c:pt>
                <c:pt idx="192">
                  <c:v>6</c:v>
                </c:pt>
                <c:pt idx="193">
                  <c:v>6</c:v>
                </c:pt>
                <c:pt idx="194">
                  <c:v>6</c:v>
                </c:pt>
                <c:pt idx="195">
                  <c:v>6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6</c:v>
                </c:pt>
                <c:pt idx="201">
                  <c:v>6</c:v>
                </c:pt>
                <c:pt idx="202">
                  <c:v>6</c:v>
                </c:pt>
                <c:pt idx="203">
                  <c:v>6</c:v>
                </c:pt>
                <c:pt idx="204">
                  <c:v>6</c:v>
                </c:pt>
                <c:pt idx="205">
                  <c:v>6</c:v>
                </c:pt>
                <c:pt idx="206">
                  <c:v>6</c:v>
                </c:pt>
                <c:pt idx="207">
                  <c:v>6</c:v>
                </c:pt>
                <c:pt idx="208">
                  <c:v>6</c:v>
                </c:pt>
                <c:pt idx="209">
                  <c:v>6</c:v>
                </c:pt>
                <c:pt idx="210">
                  <c:v>6</c:v>
                </c:pt>
                <c:pt idx="211">
                  <c:v>6</c:v>
                </c:pt>
                <c:pt idx="212">
                  <c:v>6</c:v>
                </c:pt>
                <c:pt idx="213">
                  <c:v>6</c:v>
                </c:pt>
                <c:pt idx="214">
                  <c:v>6</c:v>
                </c:pt>
                <c:pt idx="215">
                  <c:v>6</c:v>
                </c:pt>
                <c:pt idx="216">
                  <c:v>6</c:v>
                </c:pt>
                <c:pt idx="217">
                  <c:v>6</c:v>
                </c:pt>
                <c:pt idx="218">
                  <c:v>6</c:v>
                </c:pt>
                <c:pt idx="219">
                  <c:v>6</c:v>
                </c:pt>
                <c:pt idx="220">
                  <c:v>6</c:v>
                </c:pt>
                <c:pt idx="221">
                  <c:v>6</c:v>
                </c:pt>
                <c:pt idx="222">
                  <c:v>6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CR</c:v>
                </c:pt>
                <c:pt idx="276">
                  <c:v>CR</c:v>
                </c:pt>
                <c:pt idx="277">
                  <c:v>CR</c:v>
                </c:pt>
                <c:pt idx="278">
                  <c:v>CR</c:v>
                </c:pt>
                <c:pt idx="279">
                  <c:v>CR</c:v>
                </c:pt>
                <c:pt idx="280">
                  <c:v>CR</c:v>
                </c:pt>
                <c:pt idx="281">
                  <c:v>CR</c:v>
                </c:pt>
                <c:pt idx="282">
                  <c:v>CR</c:v>
                </c:pt>
                <c:pt idx="283">
                  <c:v>CR</c:v>
                </c:pt>
                <c:pt idx="284">
                  <c:v>CR</c:v>
                </c:pt>
                <c:pt idx="285">
                  <c:v>CR</c:v>
                </c:pt>
                <c:pt idx="286">
                  <c:v>CR</c:v>
                </c:pt>
                <c:pt idx="287">
                  <c:v>CR</c:v>
                </c:pt>
                <c:pt idx="288">
                  <c:v>CR</c:v>
                </c:pt>
                <c:pt idx="289">
                  <c:v>CR</c:v>
                </c:pt>
                <c:pt idx="290">
                  <c:v>CR</c:v>
                </c:pt>
                <c:pt idx="291">
                  <c:v>CR</c:v>
                </c:pt>
                <c:pt idx="292">
                  <c:v>CR</c:v>
                </c:pt>
                <c:pt idx="293">
                  <c:v>CR</c:v>
                </c:pt>
                <c:pt idx="294">
                  <c:v>CR</c:v>
                </c:pt>
                <c:pt idx="295">
                  <c:v>CR</c:v>
                </c:pt>
                <c:pt idx="296">
                  <c:v>CR</c:v>
                </c:pt>
                <c:pt idx="297">
                  <c:v>CR</c:v>
                </c:pt>
                <c:pt idx="298">
                  <c:v>CR</c:v>
                </c:pt>
                <c:pt idx="299">
                  <c:v>CR</c:v>
                </c:pt>
                <c:pt idx="300">
                  <c:v>CR</c:v>
                </c:pt>
                <c:pt idx="301">
                  <c:v>CR</c:v>
                </c:pt>
                <c:pt idx="302">
                  <c:v>CR</c:v>
                </c:pt>
                <c:pt idx="303">
                  <c:v>CR</c:v>
                </c:pt>
                <c:pt idx="304">
                  <c:v>CR</c:v>
                </c:pt>
                <c:pt idx="305">
                  <c:v>CR</c:v>
                </c:pt>
                <c:pt idx="306">
                  <c:v>CR</c:v>
                </c:pt>
                <c:pt idx="307">
                  <c:v>CR</c:v>
                </c:pt>
                <c:pt idx="308">
                  <c:v>CR</c:v>
                </c:pt>
                <c:pt idx="309">
                  <c:v>CR</c:v>
                </c:pt>
                <c:pt idx="310">
                  <c:v>CR</c:v>
                </c:pt>
                <c:pt idx="311">
                  <c:v>CR2</c:v>
                </c:pt>
                <c:pt idx="312">
                  <c:v>CR2</c:v>
                </c:pt>
                <c:pt idx="313">
                  <c:v>CR2</c:v>
                </c:pt>
                <c:pt idx="314">
                  <c:v>CR2</c:v>
                </c:pt>
                <c:pt idx="315">
                  <c:v>CR2</c:v>
                </c:pt>
                <c:pt idx="316">
                  <c:v>CR2</c:v>
                </c:pt>
                <c:pt idx="317">
                  <c:v>CR2</c:v>
                </c:pt>
                <c:pt idx="318">
                  <c:v>CR2</c:v>
                </c:pt>
                <c:pt idx="319">
                  <c:v>CR2</c:v>
                </c:pt>
                <c:pt idx="320">
                  <c:v>CR2</c:v>
                </c:pt>
                <c:pt idx="321">
                  <c:v>CR2</c:v>
                </c:pt>
                <c:pt idx="322">
                  <c:v>CR2</c:v>
                </c:pt>
                <c:pt idx="323">
                  <c:v>CR2</c:v>
                </c:pt>
                <c:pt idx="324">
                  <c:v>CR2</c:v>
                </c:pt>
                <c:pt idx="325">
                  <c:v>CR2</c:v>
                </c:pt>
                <c:pt idx="326">
                  <c:v>CR2</c:v>
                </c:pt>
                <c:pt idx="327">
                  <c:v>CR2</c:v>
                </c:pt>
                <c:pt idx="328">
                  <c:v>CR2</c:v>
                </c:pt>
                <c:pt idx="329">
                  <c:v>CR2</c:v>
                </c:pt>
                <c:pt idx="330">
                  <c:v>CR2</c:v>
                </c:pt>
                <c:pt idx="331">
                  <c:v>CR2</c:v>
                </c:pt>
                <c:pt idx="332">
                  <c:v>CR2</c:v>
                </c:pt>
                <c:pt idx="333">
                  <c:v>CR2</c:v>
                </c:pt>
                <c:pt idx="334">
                  <c:v>CR2</c:v>
                </c:pt>
                <c:pt idx="335">
                  <c:v>CR2</c:v>
                </c:pt>
                <c:pt idx="336">
                  <c:v>CR2</c:v>
                </c:pt>
                <c:pt idx="337">
                  <c:v>CR2</c:v>
                </c:pt>
                <c:pt idx="338">
                  <c:v>CR2</c:v>
                </c:pt>
                <c:pt idx="339">
                  <c:v>CR2</c:v>
                </c:pt>
                <c:pt idx="340">
                  <c:v>CR2</c:v>
                </c:pt>
                <c:pt idx="341">
                  <c:v>CR2</c:v>
                </c:pt>
                <c:pt idx="342">
                  <c:v>CR2</c:v>
                </c:pt>
                <c:pt idx="343">
                  <c:v>CR2</c:v>
                </c:pt>
                <c:pt idx="344">
                  <c:v>CR2</c:v>
                </c:pt>
                <c:pt idx="345">
                  <c:v>CR2</c:v>
                </c:pt>
                <c:pt idx="346">
                  <c:v>CR2</c:v>
                </c:pt>
                <c:pt idx="347">
                  <c:v>CR2</c:v>
                </c:pt>
                <c:pt idx="348">
                  <c:v>CR2</c:v>
                </c:pt>
                <c:pt idx="349">
                  <c:v>CR2</c:v>
                </c:pt>
                <c:pt idx="350">
                  <c:v>CR2</c:v>
                </c:pt>
                <c:pt idx="351">
                  <c:v>CR2</c:v>
                </c:pt>
                <c:pt idx="352">
                  <c:v>CR2</c:v>
                </c:pt>
                <c:pt idx="353">
                  <c:v>CR2</c:v>
                </c:pt>
                <c:pt idx="354">
                  <c:v>CR2</c:v>
                </c:pt>
                <c:pt idx="355">
                  <c:v>CR2</c:v>
                </c:pt>
                <c:pt idx="356">
                  <c:v>CR2</c:v>
                </c:pt>
                <c:pt idx="357">
                  <c:v>CR2</c:v>
                </c:pt>
                <c:pt idx="358">
                  <c:v>CR2</c:v>
                </c:pt>
                <c:pt idx="359">
                  <c:v>CR2</c:v>
                </c:pt>
                <c:pt idx="360">
                  <c:v>CR2</c:v>
                </c:pt>
                <c:pt idx="361">
                  <c:v>CR3</c:v>
                </c:pt>
                <c:pt idx="362">
                  <c:v>CR3</c:v>
                </c:pt>
                <c:pt idx="363">
                  <c:v>CR3</c:v>
                </c:pt>
                <c:pt idx="364">
                  <c:v>CR3</c:v>
                </c:pt>
                <c:pt idx="365">
                  <c:v>CR3</c:v>
                </c:pt>
                <c:pt idx="366">
                  <c:v>CR3</c:v>
                </c:pt>
                <c:pt idx="367">
                  <c:v>CR3</c:v>
                </c:pt>
                <c:pt idx="368">
                  <c:v>CR3</c:v>
                </c:pt>
                <c:pt idx="369">
                  <c:v>CR3</c:v>
                </c:pt>
                <c:pt idx="370">
                  <c:v>CR3</c:v>
                </c:pt>
                <c:pt idx="371">
                  <c:v>CR3</c:v>
                </c:pt>
                <c:pt idx="372">
                  <c:v>CR3</c:v>
                </c:pt>
                <c:pt idx="373">
                  <c:v>CR3</c:v>
                </c:pt>
                <c:pt idx="374">
                  <c:v>CR3</c:v>
                </c:pt>
                <c:pt idx="375">
                  <c:v>CR3</c:v>
                </c:pt>
                <c:pt idx="376">
                  <c:v>CR3</c:v>
                </c:pt>
                <c:pt idx="377">
                  <c:v>CR3</c:v>
                </c:pt>
                <c:pt idx="378">
                  <c:v>CR3</c:v>
                </c:pt>
                <c:pt idx="379">
                  <c:v>CR3</c:v>
                </c:pt>
                <c:pt idx="380">
                  <c:v>CR3</c:v>
                </c:pt>
                <c:pt idx="381">
                  <c:v>CR3</c:v>
                </c:pt>
                <c:pt idx="382">
                  <c:v>CR3</c:v>
                </c:pt>
                <c:pt idx="383">
                  <c:v>CR3</c:v>
                </c:pt>
                <c:pt idx="384">
                  <c:v>CR3</c:v>
                </c:pt>
                <c:pt idx="385">
                  <c:v>CR3</c:v>
                </c:pt>
                <c:pt idx="386">
                  <c:v>CR3</c:v>
                </c:pt>
                <c:pt idx="387">
                  <c:v>CR3</c:v>
                </c:pt>
                <c:pt idx="388">
                  <c:v>CR3</c:v>
                </c:pt>
                <c:pt idx="389">
                  <c:v>CR3</c:v>
                </c:pt>
                <c:pt idx="390">
                  <c:v>CR3</c:v>
                </c:pt>
                <c:pt idx="391">
                  <c:v>CR3</c:v>
                </c:pt>
                <c:pt idx="392">
                  <c:v>CR3</c:v>
                </c:pt>
                <c:pt idx="393">
                  <c:v>CR3</c:v>
                </c:pt>
                <c:pt idx="394">
                  <c:v>CR3</c:v>
                </c:pt>
                <c:pt idx="395">
                  <c:v>CR3</c:v>
                </c:pt>
                <c:pt idx="396">
                  <c:v>CR3</c:v>
                </c:pt>
                <c:pt idx="397">
                  <c:v>CR3</c:v>
                </c:pt>
                <c:pt idx="398">
                  <c:v>CR3</c:v>
                </c:pt>
                <c:pt idx="399">
                  <c:v>CR3</c:v>
                </c:pt>
                <c:pt idx="400">
                  <c:v>CR3</c:v>
                </c:pt>
                <c:pt idx="401">
                  <c:v>CR3</c:v>
                </c:pt>
                <c:pt idx="402">
                  <c:v>CR3</c:v>
                </c:pt>
                <c:pt idx="403">
                  <c:v>CR3</c:v>
                </c:pt>
                <c:pt idx="404">
                  <c:v>CR3</c:v>
                </c:pt>
                <c:pt idx="405">
                  <c:v>CR3</c:v>
                </c:pt>
                <c:pt idx="406">
                  <c:v>CR3</c:v>
                </c:pt>
                <c:pt idx="407">
                  <c:v>CR3</c:v>
                </c:pt>
                <c:pt idx="408">
                  <c:v>CR3</c:v>
                </c:pt>
                <c:pt idx="409">
                  <c:v>CR3</c:v>
                </c:pt>
                <c:pt idx="410">
                  <c:v>CR3</c:v>
                </c:pt>
                <c:pt idx="411">
                  <c:v>CR3</c:v>
                </c:pt>
                <c:pt idx="412">
                  <c:v>CR3</c:v>
                </c:pt>
                <c:pt idx="413">
                  <c:v>CR3</c:v>
                </c:pt>
                <c:pt idx="414">
                  <c:v>CR3</c:v>
                </c:pt>
                <c:pt idx="415">
                  <c:v>CR3</c:v>
                </c:pt>
                <c:pt idx="416">
                  <c:v>CR3</c:v>
                </c:pt>
                <c:pt idx="417">
                  <c:v>CR3</c:v>
                </c:pt>
                <c:pt idx="418">
                  <c:v>CR3</c:v>
                </c:pt>
                <c:pt idx="419">
                  <c:v>CR3</c:v>
                </c:pt>
                <c:pt idx="420">
                  <c:v>CR4</c:v>
                </c:pt>
                <c:pt idx="421">
                  <c:v>CR4</c:v>
                </c:pt>
                <c:pt idx="422">
                  <c:v>CR4</c:v>
                </c:pt>
                <c:pt idx="423">
                  <c:v>CR4</c:v>
                </c:pt>
                <c:pt idx="424">
                  <c:v>CR4</c:v>
                </c:pt>
                <c:pt idx="425">
                  <c:v>CR4</c:v>
                </c:pt>
                <c:pt idx="426">
                  <c:v>CR4</c:v>
                </c:pt>
                <c:pt idx="427">
                  <c:v>CR4</c:v>
                </c:pt>
                <c:pt idx="428">
                  <c:v>CR4</c:v>
                </c:pt>
                <c:pt idx="429">
                  <c:v>CR4</c:v>
                </c:pt>
                <c:pt idx="430">
                  <c:v>CR4</c:v>
                </c:pt>
                <c:pt idx="431">
                  <c:v>CR4</c:v>
                </c:pt>
                <c:pt idx="432">
                  <c:v>CR4</c:v>
                </c:pt>
                <c:pt idx="433">
                  <c:v>CR4</c:v>
                </c:pt>
                <c:pt idx="434">
                  <c:v>CR4</c:v>
                </c:pt>
                <c:pt idx="435">
                  <c:v>CR4</c:v>
                </c:pt>
                <c:pt idx="436">
                  <c:v>CR4</c:v>
                </c:pt>
                <c:pt idx="437">
                  <c:v>CR4</c:v>
                </c:pt>
                <c:pt idx="438">
                  <c:v>CR4</c:v>
                </c:pt>
                <c:pt idx="439">
                  <c:v>CR4</c:v>
                </c:pt>
                <c:pt idx="440">
                  <c:v>CR4</c:v>
                </c:pt>
                <c:pt idx="441">
                  <c:v>CR4</c:v>
                </c:pt>
                <c:pt idx="442">
                  <c:v>CR4</c:v>
                </c:pt>
                <c:pt idx="443">
                  <c:v>CR4</c:v>
                </c:pt>
                <c:pt idx="444">
                  <c:v>CR4</c:v>
                </c:pt>
                <c:pt idx="445">
                  <c:v>CR4</c:v>
                </c:pt>
                <c:pt idx="446">
                  <c:v>CR4</c:v>
                </c:pt>
                <c:pt idx="447">
                  <c:v>CR4</c:v>
                </c:pt>
                <c:pt idx="448">
                  <c:v>CR4</c:v>
                </c:pt>
                <c:pt idx="449">
                  <c:v>CR4</c:v>
                </c:pt>
                <c:pt idx="450">
                  <c:v>CR4</c:v>
                </c:pt>
                <c:pt idx="451">
                  <c:v>CR4</c:v>
                </c:pt>
                <c:pt idx="452">
                  <c:v>CR4</c:v>
                </c:pt>
                <c:pt idx="453">
                  <c:v>CR4</c:v>
                </c:pt>
                <c:pt idx="454">
                  <c:v>CR4</c:v>
                </c:pt>
                <c:pt idx="455">
                  <c:v>CR4</c:v>
                </c:pt>
                <c:pt idx="456">
                  <c:v>CR4</c:v>
                </c:pt>
                <c:pt idx="457">
                  <c:v>CR4</c:v>
                </c:pt>
                <c:pt idx="458">
                  <c:v>CR4</c:v>
                </c:pt>
                <c:pt idx="459">
                  <c:v>CR4</c:v>
                </c:pt>
                <c:pt idx="460">
                  <c:v>CR4</c:v>
                </c:pt>
                <c:pt idx="461">
                  <c:v>CR4</c:v>
                </c:pt>
                <c:pt idx="462">
                  <c:v>CR4</c:v>
                </c:pt>
                <c:pt idx="463">
                  <c:v>CR4</c:v>
                </c:pt>
                <c:pt idx="464">
                  <c:v>CR4</c:v>
                </c:pt>
                <c:pt idx="465">
                  <c:v>CR4</c:v>
                </c:pt>
                <c:pt idx="466">
                  <c:v>CR4</c:v>
                </c:pt>
                <c:pt idx="467">
                  <c:v>CR4</c:v>
                </c:pt>
                <c:pt idx="468">
                  <c:v>CR4</c:v>
                </c:pt>
                <c:pt idx="469">
                  <c:v>CR4</c:v>
                </c:pt>
                <c:pt idx="470">
                  <c:v>CR4</c:v>
                </c:pt>
                <c:pt idx="471">
                  <c:v>CR4</c:v>
                </c:pt>
                <c:pt idx="472">
                  <c:v>CR4</c:v>
                </c:pt>
                <c:pt idx="473">
                  <c:v>CR4</c:v>
                </c:pt>
                <c:pt idx="474">
                  <c:v>CR4</c:v>
                </c:pt>
                <c:pt idx="475">
                  <c:v>CR4</c:v>
                </c:pt>
                <c:pt idx="476">
                  <c:v>CR4</c:v>
                </c:pt>
                <c:pt idx="477">
                  <c:v>CR4</c:v>
                </c:pt>
                <c:pt idx="478">
                  <c:v>CR4</c:v>
                </c:pt>
                <c:pt idx="479">
                  <c:v>CR4</c:v>
                </c:pt>
                <c:pt idx="480">
                  <c:v>CR4</c:v>
                </c:pt>
                <c:pt idx="481">
                  <c:v>CR4</c:v>
                </c:pt>
                <c:pt idx="482">
                  <c:v>CR4</c:v>
                </c:pt>
                <c:pt idx="483">
                  <c:v>CR4</c:v>
                </c:pt>
                <c:pt idx="484">
                  <c:v>CR4</c:v>
                </c:pt>
                <c:pt idx="485">
                  <c:v>PL1</c:v>
                </c:pt>
                <c:pt idx="486">
                  <c:v>PL1</c:v>
                </c:pt>
                <c:pt idx="487">
                  <c:v>PL1</c:v>
                </c:pt>
                <c:pt idx="488">
                  <c:v>PL1</c:v>
                </c:pt>
                <c:pt idx="489">
                  <c:v>PL1</c:v>
                </c:pt>
                <c:pt idx="490">
                  <c:v>PL1</c:v>
                </c:pt>
                <c:pt idx="491">
                  <c:v>PL1</c:v>
                </c:pt>
                <c:pt idx="492">
                  <c:v>PL1</c:v>
                </c:pt>
                <c:pt idx="493">
                  <c:v>PL1</c:v>
                </c:pt>
                <c:pt idx="494">
                  <c:v>PL1</c:v>
                </c:pt>
                <c:pt idx="495">
                  <c:v>PL1</c:v>
                </c:pt>
                <c:pt idx="496">
                  <c:v>PL1</c:v>
                </c:pt>
                <c:pt idx="497">
                  <c:v>PL1</c:v>
                </c:pt>
                <c:pt idx="498">
                  <c:v>PL1</c:v>
                </c:pt>
                <c:pt idx="499">
                  <c:v>PL1</c:v>
                </c:pt>
                <c:pt idx="500">
                  <c:v>PL1</c:v>
                </c:pt>
                <c:pt idx="501">
                  <c:v>PL1</c:v>
                </c:pt>
                <c:pt idx="502">
                  <c:v>PL1</c:v>
                </c:pt>
                <c:pt idx="503">
                  <c:v>PL1</c:v>
                </c:pt>
                <c:pt idx="504">
                  <c:v>PL1</c:v>
                </c:pt>
                <c:pt idx="505">
                  <c:v>PL1</c:v>
                </c:pt>
                <c:pt idx="506">
                  <c:v>PL1</c:v>
                </c:pt>
                <c:pt idx="507">
                  <c:v>PL1</c:v>
                </c:pt>
                <c:pt idx="508">
                  <c:v>PL1</c:v>
                </c:pt>
                <c:pt idx="509">
                  <c:v>PL1</c:v>
                </c:pt>
                <c:pt idx="510">
                  <c:v>PL1</c:v>
                </c:pt>
                <c:pt idx="511">
                  <c:v>PL1</c:v>
                </c:pt>
                <c:pt idx="512">
                  <c:v>PL1</c:v>
                </c:pt>
                <c:pt idx="513">
                  <c:v>PL1</c:v>
                </c:pt>
                <c:pt idx="514">
                  <c:v>PL1</c:v>
                </c:pt>
                <c:pt idx="515">
                  <c:v>PL1</c:v>
                </c:pt>
                <c:pt idx="516">
                  <c:v>PL1</c:v>
                </c:pt>
                <c:pt idx="517">
                  <c:v>PL1</c:v>
                </c:pt>
                <c:pt idx="518">
                  <c:v>PL1</c:v>
                </c:pt>
                <c:pt idx="519">
                  <c:v>PL1</c:v>
                </c:pt>
                <c:pt idx="520">
                  <c:v>PL1</c:v>
                </c:pt>
                <c:pt idx="521">
                  <c:v>PL1</c:v>
                </c:pt>
                <c:pt idx="522">
                  <c:v>PL1</c:v>
                </c:pt>
                <c:pt idx="523">
                  <c:v>PL1</c:v>
                </c:pt>
                <c:pt idx="524">
                  <c:v>PL1</c:v>
                </c:pt>
                <c:pt idx="525">
                  <c:v>PL1</c:v>
                </c:pt>
                <c:pt idx="526">
                  <c:v>PL1</c:v>
                </c:pt>
                <c:pt idx="527">
                  <c:v>PL1</c:v>
                </c:pt>
                <c:pt idx="528">
                  <c:v>PL1</c:v>
                </c:pt>
                <c:pt idx="529">
                  <c:v>PL1</c:v>
                </c:pt>
                <c:pt idx="530">
                  <c:v>PL1</c:v>
                </c:pt>
                <c:pt idx="531">
                  <c:v>PL1</c:v>
                </c:pt>
                <c:pt idx="532">
                  <c:v>PL1</c:v>
                </c:pt>
                <c:pt idx="533">
                  <c:v>PL1</c:v>
                </c:pt>
                <c:pt idx="534">
                  <c:v>PL1</c:v>
                </c:pt>
                <c:pt idx="535">
                  <c:v>PL1</c:v>
                </c:pt>
                <c:pt idx="536">
                  <c:v>PL1</c:v>
                </c:pt>
                <c:pt idx="537">
                  <c:v>PL1</c:v>
                </c:pt>
                <c:pt idx="538">
                  <c:v>PL1</c:v>
                </c:pt>
                <c:pt idx="539">
                  <c:v>PL1</c:v>
                </c:pt>
                <c:pt idx="540">
                  <c:v>PL2</c:v>
                </c:pt>
                <c:pt idx="541">
                  <c:v>PL2</c:v>
                </c:pt>
                <c:pt idx="542">
                  <c:v>PL2</c:v>
                </c:pt>
                <c:pt idx="543">
                  <c:v>PL2</c:v>
                </c:pt>
                <c:pt idx="544">
                  <c:v>PL2</c:v>
                </c:pt>
                <c:pt idx="545">
                  <c:v>PL2</c:v>
                </c:pt>
                <c:pt idx="546">
                  <c:v>PL2</c:v>
                </c:pt>
                <c:pt idx="547">
                  <c:v>PL2</c:v>
                </c:pt>
                <c:pt idx="548">
                  <c:v>PL2</c:v>
                </c:pt>
                <c:pt idx="549">
                  <c:v>PL2</c:v>
                </c:pt>
                <c:pt idx="550">
                  <c:v>PL2</c:v>
                </c:pt>
                <c:pt idx="551">
                  <c:v>PL2</c:v>
                </c:pt>
                <c:pt idx="552">
                  <c:v>PL2</c:v>
                </c:pt>
                <c:pt idx="553">
                  <c:v>PL2</c:v>
                </c:pt>
                <c:pt idx="554">
                  <c:v>PL2</c:v>
                </c:pt>
                <c:pt idx="555">
                  <c:v>PL2</c:v>
                </c:pt>
                <c:pt idx="556">
                  <c:v>PL2</c:v>
                </c:pt>
                <c:pt idx="557">
                  <c:v>PL2</c:v>
                </c:pt>
                <c:pt idx="558">
                  <c:v>PL2</c:v>
                </c:pt>
                <c:pt idx="559">
                  <c:v>PL2</c:v>
                </c:pt>
                <c:pt idx="560">
                  <c:v>PL2</c:v>
                </c:pt>
                <c:pt idx="561">
                  <c:v>PL2</c:v>
                </c:pt>
                <c:pt idx="562">
                  <c:v>PL2</c:v>
                </c:pt>
                <c:pt idx="563">
                  <c:v>PL2</c:v>
                </c:pt>
                <c:pt idx="564">
                  <c:v>PL2</c:v>
                </c:pt>
                <c:pt idx="565">
                  <c:v>PL2</c:v>
                </c:pt>
                <c:pt idx="566">
                  <c:v>PL2</c:v>
                </c:pt>
                <c:pt idx="567">
                  <c:v>PL2</c:v>
                </c:pt>
                <c:pt idx="568">
                  <c:v>PL2</c:v>
                </c:pt>
                <c:pt idx="569">
                  <c:v>PL2</c:v>
                </c:pt>
                <c:pt idx="570">
                  <c:v>PL2</c:v>
                </c:pt>
                <c:pt idx="571">
                  <c:v>PL2</c:v>
                </c:pt>
                <c:pt idx="572">
                  <c:v>PL2</c:v>
                </c:pt>
                <c:pt idx="573">
                  <c:v>PL2</c:v>
                </c:pt>
                <c:pt idx="574">
                  <c:v>PL2</c:v>
                </c:pt>
                <c:pt idx="575">
                  <c:v>PL2</c:v>
                </c:pt>
                <c:pt idx="576">
                  <c:v>PL2</c:v>
                </c:pt>
                <c:pt idx="577">
                  <c:v>PL2</c:v>
                </c:pt>
                <c:pt idx="578">
                  <c:v>PL2</c:v>
                </c:pt>
                <c:pt idx="579">
                  <c:v>PL2</c:v>
                </c:pt>
                <c:pt idx="580">
                  <c:v>PL2</c:v>
                </c:pt>
                <c:pt idx="581">
                  <c:v>PL2</c:v>
                </c:pt>
                <c:pt idx="582">
                  <c:v>PL2</c:v>
                </c:pt>
                <c:pt idx="583">
                  <c:v>PL2</c:v>
                </c:pt>
                <c:pt idx="584">
                  <c:v>PL2</c:v>
                </c:pt>
                <c:pt idx="585">
                  <c:v>PL2</c:v>
                </c:pt>
                <c:pt idx="586">
                  <c:v>PL2</c:v>
                </c:pt>
                <c:pt idx="587">
                  <c:v>PL2</c:v>
                </c:pt>
                <c:pt idx="588">
                  <c:v>PL2</c:v>
                </c:pt>
                <c:pt idx="589">
                  <c:v>PL2</c:v>
                </c:pt>
                <c:pt idx="590">
                  <c:v>PL2</c:v>
                </c:pt>
                <c:pt idx="591">
                  <c:v>PL2</c:v>
                </c:pt>
                <c:pt idx="592">
                  <c:v>PL2</c:v>
                </c:pt>
                <c:pt idx="593">
                  <c:v>PL2</c:v>
                </c:pt>
                <c:pt idx="594">
                  <c:v>PL2</c:v>
                </c:pt>
                <c:pt idx="595">
                  <c:v>PL2</c:v>
                </c:pt>
                <c:pt idx="596">
                  <c:v>PL2</c:v>
                </c:pt>
                <c:pt idx="597">
                  <c:v>PL2</c:v>
                </c:pt>
                <c:pt idx="598">
                  <c:v>PL2</c:v>
                </c:pt>
                <c:pt idx="599">
                  <c:v>PL3</c:v>
                </c:pt>
                <c:pt idx="600">
                  <c:v>PL3</c:v>
                </c:pt>
                <c:pt idx="601">
                  <c:v>PL3</c:v>
                </c:pt>
                <c:pt idx="602">
                  <c:v>PL3</c:v>
                </c:pt>
                <c:pt idx="603">
                  <c:v>PL3</c:v>
                </c:pt>
                <c:pt idx="604">
                  <c:v>PL3</c:v>
                </c:pt>
                <c:pt idx="605">
                  <c:v>PL3</c:v>
                </c:pt>
                <c:pt idx="606">
                  <c:v>PL3</c:v>
                </c:pt>
                <c:pt idx="607">
                  <c:v>PL3</c:v>
                </c:pt>
                <c:pt idx="608">
                  <c:v>PL3</c:v>
                </c:pt>
                <c:pt idx="609">
                  <c:v>PL3</c:v>
                </c:pt>
                <c:pt idx="610">
                  <c:v>PL3</c:v>
                </c:pt>
                <c:pt idx="611">
                  <c:v>PL3</c:v>
                </c:pt>
                <c:pt idx="612">
                  <c:v>PL3</c:v>
                </c:pt>
                <c:pt idx="613">
                  <c:v>PL3</c:v>
                </c:pt>
                <c:pt idx="614">
                  <c:v>PL3</c:v>
                </c:pt>
                <c:pt idx="615">
                  <c:v>PL3</c:v>
                </c:pt>
                <c:pt idx="616">
                  <c:v>PL3</c:v>
                </c:pt>
                <c:pt idx="617">
                  <c:v>PL3</c:v>
                </c:pt>
                <c:pt idx="618">
                  <c:v>PL3</c:v>
                </c:pt>
                <c:pt idx="619">
                  <c:v>PL3</c:v>
                </c:pt>
                <c:pt idx="620">
                  <c:v>PL3</c:v>
                </c:pt>
                <c:pt idx="621">
                  <c:v>PL3</c:v>
                </c:pt>
                <c:pt idx="622">
                  <c:v>PL3</c:v>
                </c:pt>
                <c:pt idx="623">
                  <c:v>PL3</c:v>
                </c:pt>
                <c:pt idx="624">
                  <c:v>PL3</c:v>
                </c:pt>
                <c:pt idx="625">
                  <c:v>PL3</c:v>
                </c:pt>
                <c:pt idx="626">
                  <c:v>PL3</c:v>
                </c:pt>
                <c:pt idx="627">
                  <c:v>PL3</c:v>
                </c:pt>
                <c:pt idx="628">
                  <c:v>PL3</c:v>
                </c:pt>
                <c:pt idx="629">
                  <c:v>PL3</c:v>
                </c:pt>
                <c:pt idx="630">
                  <c:v>PL3</c:v>
                </c:pt>
                <c:pt idx="631">
                  <c:v>PL3</c:v>
                </c:pt>
                <c:pt idx="632">
                  <c:v>PL3</c:v>
                </c:pt>
                <c:pt idx="633">
                  <c:v>PL3</c:v>
                </c:pt>
                <c:pt idx="634">
                  <c:v>PL3</c:v>
                </c:pt>
                <c:pt idx="635">
                  <c:v>PL3</c:v>
                </c:pt>
                <c:pt idx="636">
                  <c:v>PL3</c:v>
                </c:pt>
                <c:pt idx="637">
                  <c:v>PL3</c:v>
                </c:pt>
                <c:pt idx="638">
                  <c:v>PL3</c:v>
                </c:pt>
                <c:pt idx="639">
                  <c:v>PL3</c:v>
                </c:pt>
                <c:pt idx="640">
                  <c:v>PL3</c:v>
                </c:pt>
                <c:pt idx="641">
                  <c:v>PL3</c:v>
                </c:pt>
                <c:pt idx="642">
                  <c:v>PL3</c:v>
                </c:pt>
                <c:pt idx="643">
                  <c:v>PL3</c:v>
                </c:pt>
                <c:pt idx="644">
                  <c:v>PL3</c:v>
                </c:pt>
                <c:pt idx="645">
                  <c:v>PL3</c:v>
                </c:pt>
                <c:pt idx="646">
                  <c:v>PL3</c:v>
                </c:pt>
                <c:pt idx="647">
                  <c:v>PL3</c:v>
                </c:pt>
                <c:pt idx="648">
                  <c:v>PL3</c:v>
                </c:pt>
                <c:pt idx="649">
                  <c:v>PL3</c:v>
                </c:pt>
                <c:pt idx="650">
                  <c:v>PL3</c:v>
                </c:pt>
                <c:pt idx="651">
                  <c:v>PL3</c:v>
                </c:pt>
                <c:pt idx="652">
                  <c:v>PL3</c:v>
                </c:pt>
                <c:pt idx="653">
                  <c:v>PL3</c:v>
                </c:pt>
                <c:pt idx="654">
                  <c:v>PL3</c:v>
                </c:pt>
                <c:pt idx="655">
                  <c:v>PL3</c:v>
                </c:pt>
                <c:pt idx="656">
                  <c:v>PL3</c:v>
                </c:pt>
                <c:pt idx="657">
                  <c:v>PL3</c:v>
                </c:pt>
                <c:pt idx="658">
                  <c:v>PL3</c:v>
                </c:pt>
                <c:pt idx="659">
                  <c:v>PL3</c:v>
                </c:pt>
                <c:pt idx="660">
                  <c:v>PL3</c:v>
                </c:pt>
                <c:pt idx="661">
                  <c:v>PL3</c:v>
                </c:pt>
                <c:pt idx="662">
                  <c:v>PL3</c:v>
                </c:pt>
                <c:pt idx="663">
                  <c:v>PL3</c:v>
                </c:pt>
                <c:pt idx="664">
                  <c:v>PL3</c:v>
                </c:pt>
                <c:pt idx="665">
                  <c:v>PL3</c:v>
                </c:pt>
                <c:pt idx="666">
                  <c:v>PL3</c:v>
                </c:pt>
                <c:pt idx="667">
                  <c:v>PL3</c:v>
                </c:pt>
                <c:pt idx="668">
                  <c:v>PL3</c:v>
                </c:pt>
                <c:pt idx="669">
                  <c:v>PL3</c:v>
                </c:pt>
                <c:pt idx="670">
                  <c:v>PL3</c:v>
                </c:pt>
                <c:pt idx="671">
                  <c:v>PL3</c:v>
                </c:pt>
                <c:pt idx="672">
                  <c:v>PL3</c:v>
                </c:pt>
                <c:pt idx="673">
                  <c:v>PL3</c:v>
                </c:pt>
                <c:pt idx="674">
                  <c:v>PL3</c:v>
                </c:pt>
                <c:pt idx="675">
                  <c:v>PL3</c:v>
                </c:pt>
                <c:pt idx="676">
                  <c:v>PL3</c:v>
                </c:pt>
                <c:pt idx="677">
                  <c:v>PL3</c:v>
                </c:pt>
                <c:pt idx="678">
                  <c:v>PL4</c:v>
                </c:pt>
                <c:pt idx="679">
                  <c:v>PL4</c:v>
                </c:pt>
                <c:pt idx="680">
                  <c:v>PL4</c:v>
                </c:pt>
                <c:pt idx="681">
                  <c:v>PL4</c:v>
                </c:pt>
                <c:pt idx="682">
                  <c:v>PL4</c:v>
                </c:pt>
                <c:pt idx="683">
                  <c:v>PL4</c:v>
                </c:pt>
                <c:pt idx="684">
                  <c:v>PL4</c:v>
                </c:pt>
                <c:pt idx="685">
                  <c:v>PL4</c:v>
                </c:pt>
                <c:pt idx="686">
                  <c:v>PL4</c:v>
                </c:pt>
                <c:pt idx="687">
                  <c:v>PL4</c:v>
                </c:pt>
                <c:pt idx="688">
                  <c:v>PL4</c:v>
                </c:pt>
                <c:pt idx="689">
                  <c:v>PL4</c:v>
                </c:pt>
                <c:pt idx="690">
                  <c:v>PL4</c:v>
                </c:pt>
                <c:pt idx="691">
                  <c:v>PL4</c:v>
                </c:pt>
                <c:pt idx="692">
                  <c:v>PL4</c:v>
                </c:pt>
                <c:pt idx="693">
                  <c:v>PL4</c:v>
                </c:pt>
                <c:pt idx="694">
                  <c:v>PL4</c:v>
                </c:pt>
                <c:pt idx="695">
                  <c:v>PL4</c:v>
                </c:pt>
                <c:pt idx="696">
                  <c:v>PL4</c:v>
                </c:pt>
                <c:pt idx="697">
                  <c:v>PL4</c:v>
                </c:pt>
                <c:pt idx="698">
                  <c:v>PL4</c:v>
                </c:pt>
                <c:pt idx="699">
                  <c:v>PL4</c:v>
                </c:pt>
                <c:pt idx="700">
                  <c:v>PL4</c:v>
                </c:pt>
                <c:pt idx="701">
                  <c:v>PL4</c:v>
                </c:pt>
                <c:pt idx="702">
                  <c:v>PL4</c:v>
                </c:pt>
                <c:pt idx="703">
                  <c:v>PL4</c:v>
                </c:pt>
                <c:pt idx="704">
                  <c:v>PL4</c:v>
                </c:pt>
                <c:pt idx="705">
                  <c:v>PL4</c:v>
                </c:pt>
                <c:pt idx="706">
                  <c:v>PL4</c:v>
                </c:pt>
                <c:pt idx="707">
                  <c:v>PL4</c:v>
                </c:pt>
                <c:pt idx="708">
                  <c:v>PL4</c:v>
                </c:pt>
                <c:pt idx="709">
                  <c:v>PL4</c:v>
                </c:pt>
                <c:pt idx="710">
                  <c:v>PL4</c:v>
                </c:pt>
                <c:pt idx="711">
                  <c:v>PL4</c:v>
                </c:pt>
                <c:pt idx="712">
                  <c:v>PL4</c:v>
                </c:pt>
                <c:pt idx="713">
                  <c:v>PL4</c:v>
                </c:pt>
                <c:pt idx="714">
                  <c:v>PL4</c:v>
                </c:pt>
                <c:pt idx="715">
                  <c:v>PL4</c:v>
                </c:pt>
                <c:pt idx="716">
                  <c:v>PL4</c:v>
                </c:pt>
                <c:pt idx="717">
                  <c:v>PL4</c:v>
                </c:pt>
                <c:pt idx="718">
                  <c:v>PL4</c:v>
                </c:pt>
                <c:pt idx="719">
                  <c:v>PL4</c:v>
                </c:pt>
                <c:pt idx="720">
                  <c:v>PL4</c:v>
                </c:pt>
                <c:pt idx="721">
                  <c:v>PL4</c:v>
                </c:pt>
                <c:pt idx="722">
                  <c:v>PL4</c:v>
                </c:pt>
                <c:pt idx="723">
                  <c:v>PL4</c:v>
                </c:pt>
                <c:pt idx="724">
                  <c:v>PL4</c:v>
                </c:pt>
                <c:pt idx="725">
                  <c:v>PL4</c:v>
                </c:pt>
                <c:pt idx="726">
                  <c:v>PL4</c:v>
                </c:pt>
                <c:pt idx="727">
                  <c:v>PL4</c:v>
                </c:pt>
                <c:pt idx="728">
                  <c:v>PL4</c:v>
                </c:pt>
                <c:pt idx="729">
                  <c:v>PL4</c:v>
                </c:pt>
                <c:pt idx="730">
                  <c:v>PL4</c:v>
                </c:pt>
                <c:pt idx="731">
                  <c:v>PL4</c:v>
                </c:pt>
                <c:pt idx="732">
                  <c:v>PL4</c:v>
                </c:pt>
                <c:pt idx="733">
                  <c:v>PL4</c:v>
                </c:pt>
                <c:pt idx="734">
                  <c:v>PL4</c:v>
                </c:pt>
                <c:pt idx="735">
                  <c:v>PL4</c:v>
                </c:pt>
                <c:pt idx="736">
                  <c:v>PL4</c:v>
                </c:pt>
                <c:pt idx="737">
                  <c:v>PL4</c:v>
                </c:pt>
                <c:pt idx="738">
                  <c:v>PL4</c:v>
                </c:pt>
                <c:pt idx="739">
                  <c:v>PL5</c:v>
                </c:pt>
                <c:pt idx="740">
                  <c:v>PL5</c:v>
                </c:pt>
                <c:pt idx="741">
                  <c:v>PL5</c:v>
                </c:pt>
                <c:pt idx="742">
                  <c:v>PL5</c:v>
                </c:pt>
                <c:pt idx="743">
                  <c:v>PL5</c:v>
                </c:pt>
                <c:pt idx="744">
                  <c:v>PL5</c:v>
                </c:pt>
                <c:pt idx="745">
                  <c:v>PL5</c:v>
                </c:pt>
                <c:pt idx="746">
                  <c:v>PL5</c:v>
                </c:pt>
                <c:pt idx="747">
                  <c:v>PL5</c:v>
                </c:pt>
                <c:pt idx="748">
                  <c:v>PL5</c:v>
                </c:pt>
                <c:pt idx="749">
                  <c:v>PL5</c:v>
                </c:pt>
                <c:pt idx="750">
                  <c:v>PL5</c:v>
                </c:pt>
                <c:pt idx="751">
                  <c:v>PL5</c:v>
                </c:pt>
                <c:pt idx="752">
                  <c:v>PL5</c:v>
                </c:pt>
                <c:pt idx="753">
                  <c:v>PL5</c:v>
                </c:pt>
                <c:pt idx="754">
                  <c:v>PL5</c:v>
                </c:pt>
                <c:pt idx="755">
                  <c:v>PL5</c:v>
                </c:pt>
                <c:pt idx="756">
                  <c:v>PL5</c:v>
                </c:pt>
                <c:pt idx="757">
                  <c:v>PL5</c:v>
                </c:pt>
                <c:pt idx="758">
                  <c:v>PL5</c:v>
                </c:pt>
                <c:pt idx="759">
                  <c:v>PL5</c:v>
                </c:pt>
                <c:pt idx="760">
                  <c:v>PL5</c:v>
                </c:pt>
                <c:pt idx="761">
                  <c:v>PL5</c:v>
                </c:pt>
                <c:pt idx="762">
                  <c:v>PL5</c:v>
                </c:pt>
                <c:pt idx="763">
                  <c:v>PL5</c:v>
                </c:pt>
                <c:pt idx="764">
                  <c:v>PL5</c:v>
                </c:pt>
                <c:pt idx="765">
                  <c:v>PL5</c:v>
                </c:pt>
                <c:pt idx="766">
                  <c:v>PL5</c:v>
                </c:pt>
                <c:pt idx="767">
                  <c:v>PL5</c:v>
                </c:pt>
                <c:pt idx="768">
                  <c:v>PL5</c:v>
                </c:pt>
                <c:pt idx="769">
                  <c:v>PL5</c:v>
                </c:pt>
                <c:pt idx="770">
                  <c:v>PL5</c:v>
                </c:pt>
                <c:pt idx="771">
                  <c:v>PL5</c:v>
                </c:pt>
                <c:pt idx="772">
                  <c:v>PL5</c:v>
                </c:pt>
                <c:pt idx="773">
                  <c:v>PL5</c:v>
                </c:pt>
                <c:pt idx="774">
                  <c:v>PL5</c:v>
                </c:pt>
                <c:pt idx="775">
                  <c:v>PL5</c:v>
                </c:pt>
                <c:pt idx="776">
                  <c:v>PL5</c:v>
                </c:pt>
                <c:pt idx="777">
                  <c:v>PL5</c:v>
                </c:pt>
                <c:pt idx="778">
                  <c:v>PL5</c:v>
                </c:pt>
                <c:pt idx="779">
                  <c:v>PL5</c:v>
                </c:pt>
                <c:pt idx="780">
                  <c:v>PL5</c:v>
                </c:pt>
                <c:pt idx="781">
                  <c:v>PL5</c:v>
                </c:pt>
                <c:pt idx="782">
                  <c:v>PL5</c:v>
                </c:pt>
                <c:pt idx="783">
                  <c:v>PL5</c:v>
                </c:pt>
                <c:pt idx="784">
                  <c:v>PL5</c:v>
                </c:pt>
                <c:pt idx="785">
                  <c:v>PL5</c:v>
                </c:pt>
                <c:pt idx="786">
                  <c:v>PL5</c:v>
                </c:pt>
                <c:pt idx="787">
                  <c:v>PL5</c:v>
                </c:pt>
                <c:pt idx="788">
                  <c:v>PL5</c:v>
                </c:pt>
                <c:pt idx="789">
                  <c:v>RM1</c:v>
                </c:pt>
                <c:pt idx="790">
                  <c:v>RM1</c:v>
                </c:pt>
                <c:pt idx="791">
                  <c:v>RM1</c:v>
                </c:pt>
                <c:pt idx="792">
                  <c:v>RM1</c:v>
                </c:pt>
                <c:pt idx="793">
                  <c:v>RM1</c:v>
                </c:pt>
                <c:pt idx="794">
                  <c:v>RM1</c:v>
                </c:pt>
                <c:pt idx="795">
                  <c:v>RM1</c:v>
                </c:pt>
                <c:pt idx="796">
                  <c:v>RM1</c:v>
                </c:pt>
              </c:strCache>
            </c:strRef>
          </c:xVal>
          <c:yVal>
            <c:numRef>
              <c:f>Pesos_R!$X$2:$X$798</c:f>
              <c:numCache>
                <c:formatCode>0.0%</c:formatCode>
                <c:ptCount val="797"/>
                <c:pt idx="0">
                  <c:v>0.25561734965407129</c:v>
                </c:pt>
                <c:pt idx="1">
                  <c:v>0.25563829787234033</c:v>
                </c:pt>
                <c:pt idx="2">
                  <c:v>0.26808629989212512</c:v>
                </c:pt>
                <c:pt idx="3">
                  <c:v>0.26030042918454938</c:v>
                </c:pt>
                <c:pt idx="4">
                  <c:v>0.25523643202579255</c:v>
                </c:pt>
                <c:pt idx="5">
                  <c:v>0.25804757386546945</c:v>
                </c:pt>
                <c:pt idx="6">
                  <c:v>0.25754553950373571</c:v>
                </c:pt>
                <c:pt idx="7">
                  <c:v>0.25682525901810577</c:v>
                </c:pt>
                <c:pt idx="8">
                  <c:v>0.25708694296064083</c:v>
                </c:pt>
                <c:pt idx="9">
                  <c:v>0.25571621306223868</c:v>
                </c:pt>
                <c:pt idx="10">
                  <c:v>0.25564248228237302</c:v>
                </c:pt>
                <c:pt idx="11">
                  <c:v>0.25513443878210423</c:v>
                </c:pt>
                <c:pt idx="12">
                  <c:v>0.25517947218228171</c:v>
                </c:pt>
                <c:pt idx="13">
                  <c:v>0.25600942165403184</c:v>
                </c:pt>
                <c:pt idx="14">
                  <c:v>0.25657484266527064</c:v>
                </c:pt>
                <c:pt idx="15">
                  <c:v>0.25699434967867807</c:v>
                </c:pt>
                <c:pt idx="16">
                  <c:v>0.25614322721153854</c:v>
                </c:pt>
                <c:pt idx="17">
                  <c:v>0.25483665351823148</c:v>
                </c:pt>
                <c:pt idx="18">
                  <c:v>0.25540210642514999</c:v>
                </c:pt>
                <c:pt idx="19">
                  <c:v>0.25691940803520769</c:v>
                </c:pt>
                <c:pt idx="20">
                  <c:v>0.25704093273031636</c:v>
                </c:pt>
                <c:pt idx="21">
                  <c:v>0.25701070165665357</c:v>
                </c:pt>
                <c:pt idx="22">
                  <c:v>0.25434442608613272</c:v>
                </c:pt>
                <c:pt idx="23">
                  <c:v>0.25488258263630642</c:v>
                </c:pt>
                <c:pt idx="24">
                  <c:v>0.25470057160809778</c:v>
                </c:pt>
                <c:pt idx="25">
                  <c:v>0.25368858205521089</c:v>
                </c:pt>
                <c:pt idx="26">
                  <c:v>0.25211107484792017</c:v>
                </c:pt>
                <c:pt idx="27">
                  <c:v>0.2515243101894602</c:v>
                </c:pt>
                <c:pt idx="28">
                  <c:v>0.25139358429606645</c:v>
                </c:pt>
                <c:pt idx="29">
                  <c:v>0.25265833487116185</c:v>
                </c:pt>
                <c:pt idx="30">
                  <c:v>0.25198933474019769</c:v>
                </c:pt>
                <c:pt idx="31">
                  <c:v>0.25287664410873806</c:v>
                </c:pt>
                <c:pt idx="32">
                  <c:v>0.25387063013877337</c:v>
                </c:pt>
                <c:pt idx="33">
                  <c:v>0.25473081394350838</c:v>
                </c:pt>
                <c:pt idx="34">
                  <c:v>0.25572465632238722</c:v>
                </c:pt>
                <c:pt idx="35">
                  <c:v>0.25859146005312178</c:v>
                </c:pt>
                <c:pt idx="36">
                  <c:v>0.26059618346210051</c:v>
                </c:pt>
                <c:pt idx="37">
                  <c:v>0.26218495750560916</c:v>
                </c:pt>
                <c:pt idx="38">
                  <c:v>0.26108727360008455</c:v>
                </c:pt>
                <c:pt idx="39">
                  <c:v>0.26114146298631447</c:v>
                </c:pt>
                <c:pt idx="40">
                  <c:v>0.26036573200035656</c:v>
                </c:pt>
                <c:pt idx="41">
                  <c:v>0.259195000178707</c:v>
                </c:pt>
                <c:pt idx="42">
                  <c:v>0.2572044961732366</c:v>
                </c:pt>
                <c:pt idx="43">
                  <c:v>0.25658228250670156</c:v>
                </c:pt>
                <c:pt idx="44">
                  <c:v>0.25471573649967294</c:v>
                </c:pt>
                <c:pt idx="45">
                  <c:v>0.25622437305374884</c:v>
                </c:pt>
                <c:pt idx="46">
                  <c:v>0.25729490047848363</c:v>
                </c:pt>
                <c:pt idx="47">
                  <c:v>0.25864476625343652</c:v>
                </c:pt>
                <c:pt idx="48">
                  <c:v>0.25872787350610432</c:v>
                </c:pt>
                <c:pt idx="49">
                  <c:v>0.25912147307070027</c:v>
                </c:pt>
                <c:pt idx="50">
                  <c:v>0.25928665832331999</c:v>
                </c:pt>
                <c:pt idx="51">
                  <c:v>0.26026459761463461</c:v>
                </c:pt>
                <c:pt idx="52">
                  <c:v>0.26110263360998276</c:v>
                </c:pt>
                <c:pt idx="53">
                  <c:v>0.26098514084440005</c:v>
                </c:pt>
                <c:pt idx="54">
                  <c:v>0.26015973830002798</c:v>
                </c:pt>
                <c:pt idx="55">
                  <c:v>0.26017242044302219</c:v>
                </c:pt>
                <c:pt idx="56">
                  <c:v>0.25862963653760845</c:v>
                </c:pt>
                <c:pt idx="57">
                  <c:v>0.2579469524555385</c:v>
                </c:pt>
                <c:pt idx="58">
                  <c:v>0.2584833707742103</c:v>
                </c:pt>
                <c:pt idx="59">
                  <c:v>0.25763897979959638</c:v>
                </c:pt>
                <c:pt idx="60">
                  <c:v>0.25566412337706873</c:v>
                </c:pt>
                <c:pt idx="61">
                  <c:v>0.2556451209529757</c:v>
                </c:pt>
                <c:pt idx="62">
                  <c:v>0.25591815309569582</c:v>
                </c:pt>
                <c:pt idx="63">
                  <c:v>0.25617522271539528</c:v>
                </c:pt>
                <c:pt idx="64">
                  <c:v>0.25740380347749126</c:v>
                </c:pt>
                <c:pt idx="65">
                  <c:v>0.25895595628704859</c:v>
                </c:pt>
                <c:pt idx="66">
                  <c:v>0.25656844473949059</c:v>
                </c:pt>
                <c:pt idx="67">
                  <c:v>0.25682269516663375</c:v>
                </c:pt>
                <c:pt idx="68">
                  <c:v>0.257946424456856</c:v>
                </c:pt>
                <c:pt idx="69">
                  <c:v>0.25989189896215631</c:v>
                </c:pt>
                <c:pt idx="70">
                  <c:v>0.26174584156217151</c:v>
                </c:pt>
                <c:pt idx="71">
                  <c:v>0.26006343575609925</c:v>
                </c:pt>
                <c:pt idx="72">
                  <c:v>0.2585016610047699</c:v>
                </c:pt>
                <c:pt idx="73">
                  <c:v>0.26130818532389927</c:v>
                </c:pt>
                <c:pt idx="74">
                  <c:v>0.262295503180905</c:v>
                </c:pt>
                <c:pt idx="75">
                  <c:v>0.2618573204015881</c:v>
                </c:pt>
                <c:pt idx="76">
                  <c:v>0.2605683667665698</c:v>
                </c:pt>
                <c:pt idx="77">
                  <c:v>0.26095501198840304</c:v>
                </c:pt>
                <c:pt idx="78">
                  <c:v>0.26246556704832102</c:v>
                </c:pt>
                <c:pt idx="79">
                  <c:v>0.26231305608536459</c:v>
                </c:pt>
                <c:pt idx="80">
                  <c:v>0.26271598302282329</c:v>
                </c:pt>
                <c:pt idx="81">
                  <c:v>0.26383010096229997</c:v>
                </c:pt>
                <c:pt idx="82">
                  <c:v>0.26396009343690369</c:v>
                </c:pt>
                <c:pt idx="83">
                  <c:v>0.26427483336324137</c:v>
                </c:pt>
                <c:pt idx="84">
                  <c:v>0.26302784150262526</c:v>
                </c:pt>
                <c:pt idx="85">
                  <c:v>0.26292677196579006</c:v>
                </c:pt>
                <c:pt idx="86">
                  <c:v>0.26378713631477618</c:v>
                </c:pt>
                <c:pt idx="87">
                  <c:v>0.26392031829722179</c:v>
                </c:pt>
                <c:pt idx="88">
                  <c:v>0.26346272122802705</c:v>
                </c:pt>
                <c:pt idx="89">
                  <c:v>0.26246594271987028</c:v>
                </c:pt>
                <c:pt idx="90">
                  <c:v>0.26143367414063629</c:v>
                </c:pt>
                <c:pt idx="91">
                  <c:v>0.26264471511987275</c:v>
                </c:pt>
                <c:pt idx="92">
                  <c:v>0.26410888026162999</c:v>
                </c:pt>
                <c:pt idx="93">
                  <c:v>0.26240102687560024</c:v>
                </c:pt>
                <c:pt idx="94">
                  <c:v>0.26027748806956486</c:v>
                </c:pt>
                <c:pt idx="95">
                  <c:v>0.25913463092670774</c:v>
                </c:pt>
                <c:pt idx="96">
                  <c:v>0.25854705924036997</c:v>
                </c:pt>
                <c:pt idx="97">
                  <c:v>0.25968991638322714</c:v>
                </c:pt>
                <c:pt idx="98">
                  <c:v>0.26039101943782306</c:v>
                </c:pt>
                <c:pt idx="99">
                  <c:v>0.2595928701164148</c:v>
                </c:pt>
                <c:pt idx="100">
                  <c:v>0.25946283517245738</c:v>
                </c:pt>
                <c:pt idx="101">
                  <c:v>0.25933916906271964</c:v>
                </c:pt>
                <c:pt idx="102">
                  <c:v>0.26077421560654812</c:v>
                </c:pt>
                <c:pt idx="103">
                  <c:v>0.263861511574918</c:v>
                </c:pt>
                <c:pt idx="104">
                  <c:v>0.26441013857242174</c:v>
                </c:pt>
                <c:pt idx="105">
                  <c:v>0.26383209654021422</c:v>
                </c:pt>
                <c:pt idx="106">
                  <c:v>0.26339051734455571</c:v>
                </c:pt>
                <c:pt idx="107">
                  <c:v>0.26381268473435948</c:v>
                </c:pt>
                <c:pt idx="108">
                  <c:v>0.26509520930165686</c:v>
                </c:pt>
                <c:pt idx="109">
                  <c:v>0.26581595582155265</c:v>
                </c:pt>
                <c:pt idx="110">
                  <c:v>0.26471242715384019</c:v>
                </c:pt>
                <c:pt idx="111">
                  <c:v>0.26459885387282267</c:v>
                </c:pt>
                <c:pt idx="112">
                  <c:v>0.26282010846239506</c:v>
                </c:pt>
                <c:pt idx="113">
                  <c:v>0.26211558398131013</c:v>
                </c:pt>
                <c:pt idx="114">
                  <c:v>0.26321321482152754</c:v>
                </c:pt>
                <c:pt idx="115">
                  <c:v>0.26359026982227596</c:v>
                </c:pt>
                <c:pt idx="116">
                  <c:v>0.26243771610785566</c:v>
                </c:pt>
                <c:pt idx="117">
                  <c:v>0.26259680595005541</c:v>
                </c:pt>
                <c:pt idx="118">
                  <c:v>0.26117470247598157</c:v>
                </c:pt>
                <c:pt idx="119">
                  <c:v>0.26203506682496769</c:v>
                </c:pt>
                <c:pt idx="120">
                  <c:v>0.2627720029841204</c:v>
                </c:pt>
                <c:pt idx="121">
                  <c:v>0.26324259340335371</c:v>
                </c:pt>
                <c:pt idx="122">
                  <c:v>0.26450875264902957</c:v>
                </c:pt>
                <c:pt idx="123">
                  <c:v>0.26575863569127289</c:v>
                </c:pt>
                <c:pt idx="124">
                  <c:v>0.26461253919911171</c:v>
                </c:pt>
                <c:pt idx="125">
                  <c:v>0.26528452571542893</c:v>
                </c:pt>
                <c:pt idx="126">
                  <c:v>0.26537868401247505</c:v>
                </c:pt>
                <c:pt idx="127">
                  <c:v>0.26425830288861685</c:v>
                </c:pt>
                <c:pt idx="128">
                  <c:v>0.26352146664896481</c:v>
                </c:pt>
                <c:pt idx="129">
                  <c:v>0.26196959311757473</c:v>
                </c:pt>
                <c:pt idx="130">
                  <c:v>0.26192001903486944</c:v>
                </c:pt>
                <c:pt idx="131">
                  <c:v>0.26356543999395077</c:v>
                </c:pt>
                <c:pt idx="132">
                  <c:v>0.26383801567232901</c:v>
                </c:pt>
                <c:pt idx="133">
                  <c:v>0.2625751282957155</c:v>
                </c:pt>
                <c:pt idx="134">
                  <c:v>0.26305559805059203</c:v>
                </c:pt>
                <c:pt idx="135">
                  <c:v>0.26342207135033996</c:v>
                </c:pt>
                <c:pt idx="136">
                  <c:v>0.26506733863110782</c:v>
                </c:pt>
                <c:pt idx="137">
                  <c:v>0.26314301513548294</c:v>
                </c:pt>
                <c:pt idx="138">
                  <c:v>0.26163071171161756</c:v>
                </c:pt>
                <c:pt idx="139">
                  <c:v>0.26094264481819351</c:v>
                </c:pt>
                <c:pt idx="140">
                  <c:v>0.26245832638777383</c:v>
                </c:pt>
                <c:pt idx="141">
                  <c:v>0.2638537190184938</c:v>
                </c:pt>
                <c:pt idx="142">
                  <c:v>0.26272075438770021</c:v>
                </c:pt>
                <c:pt idx="143">
                  <c:v>0.26118239336840993</c:v>
                </c:pt>
                <c:pt idx="144">
                  <c:v>0.26214644248703028</c:v>
                </c:pt>
                <c:pt idx="145">
                  <c:v>0.26296759445031143</c:v>
                </c:pt>
                <c:pt idx="146">
                  <c:v>0.26226308080902577</c:v>
                </c:pt>
                <c:pt idx="147">
                  <c:v>0.26020184260472712</c:v>
                </c:pt>
                <c:pt idx="148">
                  <c:v>0.25841394966492104</c:v>
                </c:pt>
                <c:pt idx="149">
                  <c:v>0.25674863380144225</c:v>
                </c:pt>
                <c:pt idx="150">
                  <c:v>0.25525508231813149</c:v>
                </c:pt>
                <c:pt idx="151">
                  <c:v>0.25475190889304872</c:v>
                </c:pt>
                <c:pt idx="152">
                  <c:v>0.25410273614447909</c:v>
                </c:pt>
                <c:pt idx="153">
                  <c:v>0.25543042299043583</c:v>
                </c:pt>
                <c:pt idx="154">
                  <c:v>0.25826169391086845</c:v>
                </c:pt>
                <c:pt idx="155">
                  <c:v>0.26009593359951272</c:v>
                </c:pt>
                <c:pt idx="156">
                  <c:v>0.26364461114099597</c:v>
                </c:pt>
                <c:pt idx="157">
                  <c:v>0.26559618105671629</c:v>
                </c:pt>
                <c:pt idx="158">
                  <c:v>0.26499244822032147</c:v>
                </c:pt>
                <c:pt idx="159">
                  <c:v>0.26427494101419247</c:v>
                </c:pt>
                <c:pt idx="160">
                  <c:v>0.26380439702537861</c:v>
                </c:pt>
                <c:pt idx="161">
                  <c:v>0.26372538587484101</c:v>
                </c:pt>
                <c:pt idx="162">
                  <c:v>0.26269567499383312</c:v>
                </c:pt>
                <c:pt idx="163">
                  <c:v>0.26113076475300723</c:v>
                </c:pt>
                <c:pt idx="164">
                  <c:v>0.26082545192316459</c:v>
                </c:pt>
                <c:pt idx="165">
                  <c:v>0.26135434564387106</c:v>
                </c:pt>
                <c:pt idx="166">
                  <c:v>0.26282077422483302</c:v>
                </c:pt>
                <c:pt idx="167">
                  <c:v>0.2630340621413163</c:v>
                </c:pt>
                <c:pt idx="168">
                  <c:v>0.26218358483391013</c:v>
                </c:pt>
                <c:pt idx="169">
                  <c:v>0.26161547225853288</c:v>
                </c:pt>
                <c:pt idx="170">
                  <c:v>0.26269248767813064</c:v>
                </c:pt>
                <c:pt idx="171">
                  <c:v>0.26214391139322774</c:v>
                </c:pt>
                <c:pt idx="172">
                  <c:v>0.26215706466011485</c:v>
                </c:pt>
                <c:pt idx="173">
                  <c:v>0.26272515108125633</c:v>
                </c:pt>
                <c:pt idx="174">
                  <c:v>0.26466794791069098</c:v>
                </c:pt>
                <c:pt idx="175">
                  <c:v>0.26576382951637656</c:v>
                </c:pt>
                <c:pt idx="176">
                  <c:v>0.26603292658437172</c:v>
                </c:pt>
                <c:pt idx="177">
                  <c:v>0.26490335575565949</c:v>
                </c:pt>
                <c:pt idx="178">
                  <c:v>0.26429922643799542</c:v>
                </c:pt>
                <c:pt idx="179">
                  <c:v>0.26387393417158916</c:v>
                </c:pt>
                <c:pt idx="180">
                  <c:v>0.26163467055275585</c:v>
                </c:pt>
                <c:pt idx="181">
                  <c:v>0.25994744070004944</c:v>
                </c:pt>
                <c:pt idx="182">
                  <c:v>0.25855917925891292</c:v>
                </c:pt>
                <c:pt idx="183">
                  <c:v>0.25856916076704511</c:v>
                </c:pt>
                <c:pt idx="184">
                  <c:v>0.25941301731004307</c:v>
                </c:pt>
                <c:pt idx="185">
                  <c:v>0.26164229518962767</c:v>
                </c:pt>
                <c:pt idx="186">
                  <c:v>0.26259937917777965</c:v>
                </c:pt>
                <c:pt idx="187">
                  <c:v>0.26299151513098185</c:v>
                </c:pt>
                <c:pt idx="188">
                  <c:v>0.26148007802022827</c:v>
                </c:pt>
                <c:pt idx="189">
                  <c:v>0.26078242817377278</c:v>
                </c:pt>
                <c:pt idx="190">
                  <c:v>0.26244646779992015</c:v>
                </c:pt>
                <c:pt idx="191">
                  <c:v>0.26409001011580774</c:v>
                </c:pt>
                <c:pt idx="192">
                  <c:v>0.26501191270456709</c:v>
                </c:pt>
                <c:pt idx="193">
                  <c:v>0.26610340250686454</c:v>
                </c:pt>
                <c:pt idx="194">
                  <c:v>0.26732511126861996</c:v>
                </c:pt>
                <c:pt idx="195">
                  <c:v>0.26783850459153796</c:v>
                </c:pt>
                <c:pt idx="196">
                  <c:v>0.26756603204746165</c:v>
                </c:pt>
                <c:pt idx="197">
                  <c:v>0.2669844518314986</c:v>
                </c:pt>
                <c:pt idx="198">
                  <c:v>0.26601159974631633</c:v>
                </c:pt>
                <c:pt idx="199">
                  <c:v>0.26559675735215277</c:v>
                </c:pt>
                <c:pt idx="200">
                  <c:v>0.26431548775613461</c:v>
                </c:pt>
                <c:pt idx="201">
                  <c:v>0.26350563963981666</c:v>
                </c:pt>
                <c:pt idx="202">
                  <c:v>0.26464654057050935</c:v>
                </c:pt>
                <c:pt idx="203">
                  <c:v>0.26709659508040012</c:v>
                </c:pt>
                <c:pt idx="204">
                  <c:v>0.26719840556702829</c:v>
                </c:pt>
                <c:pt idx="205">
                  <c:v>0.26700787714981816</c:v>
                </c:pt>
                <c:pt idx="206">
                  <c:v>0.26684114024049976</c:v>
                </c:pt>
                <c:pt idx="207">
                  <c:v>0.26806216017979212</c:v>
                </c:pt>
                <c:pt idx="208">
                  <c:v>0.26817808347218597</c:v>
                </c:pt>
                <c:pt idx="209">
                  <c:v>0.26856597887249672</c:v>
                </c:pt>
                <c:pt idx="210">
                  <c:v>0.2678654450964762</c:v>
                </c:pt>
                <c:pt idx="211">
                  <c:v>0.26746701509258575</c:v>
                </c:pt>
                <c:pt idx="212">
                  <c:v>0.26639873270072428</c:v>
                </c:pt>
                <c:pt idx="213">
                  <c:v>0.26642945356932213</c:v>
                </c:pt>
                <c:pt idx="214">
                  <c:v>0.26493956245240252</c:v>
                </c:pt>
                <c:pt idx="215">
                  <c:v>0.26498320708599993</c:v>
                </c:pt>
                <c:pt idx="216">
                  <c:v>0.26485057086232561</c:v>
                </c:pt>
                <c:pt idx="217">
                  <c:v>0.26599342800518277</c:v>
                </c:pt>
                <c:pt idx="218">
                  <c:v>0.26682738676361289</c:v>
                </c:pt>
                <c:pt idx="219">
                  <c:v>0.26737077829876277</c:v>
                </c:pt>
                <c:pt idx="220">
                  <c:v>0.26569263987860953</c:v>
                </c:pt>
                <c:pt idx="221">
                  <c:v>0.26623368214705195</c:v>
                </c:pt>
                <c:pt idx="222">
                  <c:v>0.26675044546987636</c:v>
                </c:pt>
                <c:pt idx="223">
                  <c:v>0.26610009307722865</c:v>
                </c:pt>
                <c:pt idx="224">
                  <c:v>0.26525269515118904</c:v>
                </c:pt>
                <c:pt idx="225">
                  <c:v>0.26525917224510021</c:v>
                </c:pt>
                <c:pt idx="226">
                  <c:v>0.2655358684459162</c:v>
                </c:pt>
                <c:pt idx="227">
                  <c:v>0.26654381190062792</c:v>
                </c:pt>
                <c:pt idx="228">
                  <c:v>0.26624789986586</c:v>
                </c:pt>
                <c:pt idx="229">
                  <c:v>0.26332984322733688</c:v>
                </c:pt>
                <c:pt idx="230">
                  <c:v>0.26415013925674274</c:v>
                </c:pt>
                <c:pt idx="231">
                  <c:v>0.26471866399920463</c:v>
                </c:pt>
                <c:pt idx="232">
                  <c:v>0.26514075833386491</c:v>
                </c:pt>
                <c:pt idx="233">
                  <c:v>0.26611693650057527</c:v>
                </c:pt>
                <c:pt idx="234">
                  <c:v>0.26541273385808373</c:v>
                </c:pt>
                <c:pt idx="235">
                  <c:v>0.26506146917513906</c:v>
                </c:pt>
                <c:pt idx="236">
                  <c:v>0.26705742914458441</c:v>
                </c:pt>
                <c:pt idx="237">
                  <c:v>0.26482279715826362</c:v>
                </c:pt>
                <c:pt idx="238">
                  <c:v>0.26247512185837973</c:v>
                </c:pt>
                <c:pt idx="239">
                  <c:v>0.26067233724705224</c:v>
                </c:pt>
                <c:pt idx="240">
                  <c:v>0.25931466923014856</c:v>
                </c:pt>
                <c:pt idx="241">
                  <c:v>0.25891282010962618</c:v>
                </c:pt>
                <c:pt idx="242">
                  <c:v>0.25972651443611527</c:v>
                </c:pt>
                <c:pt idx="243">
                  <c:v>0.2615032160403748</c:v>
                </c:pt>
                <c:pt idx="244">
                  <c:v>0.26287395651370937</c:v>
                </c:pt>
                <c:pt idx="245">
                  <c:v>0.26214633968734186</c:v>
                </c:pt>
                <c:pt idx="246">
                  <c:v>0.25975789707588859</c:v>
                </c:pt>
                <c:pt idx="247">
                  <c:v>0.26013846033285637</c:v>
                </c:pt>
                <c:pt idx="248">
                  <c:v>0.25916494391565198</c:v>
                </c:pt>
                <c:pt idx="249">
                  <c:v>0.25863696387487722</c:v>
                </c:pt>
                <c:pt idx="250">
                  <c:v>0.25837156441404369</c:v>
                </c:pt>
                <c:pt idx="251">
                  <c:v>0.26018789269122578</c:v>
                </c:pt>
                <c:pt idx="252">
                  <c:v>0.26270467284779031</c:v>
                </c:pt>
                <c:pt idx="253">
                  <c:v>0.2663509855947167</c:v>
                </c:pt>
                <c:pt idx="254">
                  <c:v>0.26606527130900243</c:v>
                </c:pt>
                <c:pt idx="255">
                  <c:v>0.26728769663207774</c:v>
                </c:pt>
                <c:pt idx="256">
                  <c:v>0.26681904148812507</c:v>
                </c:pt>
                <c:pt idx="257">
                  <c:v>0.26663541602775986</c:v>
                </c:pt>
                <c:pt idx="258">
                  <c:v>0.26592753003792874</c:v>
                </c:pt>
                <c:pt idx="259">
                  <c:v>0.264781339105503</c:v>
                </c:pt>
                <c:pt idx="260">
                  <c:v>0.26325613585168089</c:v>
                </c:pt>
                <c:pt idx="261">
                  <c:v>0.26354277673062076</c:v>
                </c:pt>
                <c:pt idx="262">
                  <c:v>0.26341335611361549</c:v>
                </c:pt>
                <c:pt idx="263">
                  <c:v>0.26497678004326941</c:v>
                </c:pt>
                <c:pt idx="264">
                  <c:v>0.26445622564132004</c:v>
                </c:pt>
                <c:pt idx="265">
                  <c:v>0.26408226941106916</c:v>
                </c:pt>
                <c:pt idx="266">
                  <c:v>0.26567132471521243</c:v>
                </c:pt>
                <c:pt idx="267">
                  <c:v>0.26721087479466427</c:v>
                </c:pt>
                <c:pt idx="268">
                  <c:v>0.26774798159661489</c:v>
                </c:pt>
                <c:pt idx="269">
                  <c:v>0.26882647036263924</c:v>
                </c:pt>
                <c:pt idx="270">
                  <c:v>0.26783447500441387</c:v>
                </c:pt>
                <c:pt idx="271">
                  <c:v>0.26824180476642501</c:v>
                </c:pt>
                <c:pt idx="272">
                  <c:v>0.26682153143342474</c:v>
                </c:pt>
                <c:pt idx="273">
                  <c:v>0.26512749173836808</c:v>
                </c:pt>
                <c:pt idx="274">
                  <c:v>0.26414771490004624</c:v>
                </c:pt>
                <c:pt idx="275">
                  <c:v>0.26361060809809561</c:v>
                </c:pt>
                <c:pt idx="276">
                  <c:v>0.2640494353493873</c:v>
                </c:pt>
                <c:pt idx="277">
                  <c:v>0.26472584831172929</c:v>
                </c:pt>
                <c:pt idx="278">
                  <c:v>0.2642744777061849</c:v>
                </c:pt>
                <c:pt idx="279">
                  <c:v>0.26299857397681092</c:v>
                </c:pt>
                <c:pt idx="280">
                  <c:v>0.26177337666376738</c:v>
                </c:pt>
                <c:pt idx="281">
                  <c:v>0.26203548390845832</c:v>
                </c:pt>
                <c:pt idx="282">
                  <c:v>0.26342310149625126</c:v>
                </c:pt>
                <c:pt idx="283">
                  <c:v>0.26400134788096763</c:v>
                </c:pt>
                <c:pt idx="284">
                  <c:v>0.26440663870083703</c:v>
                </c:pt>
                <c:pt idx="285">
                  <c:v>0.26539608072654403</c:v>
                </c:pt>
                <c:pt idx="286">
                  <c:v>0.26719718770974016</c:v>
                </c:pt>
                <c:pt idx="287">
                  <c:v>0.2682616011039376</c:v>
                </c:pt>
                <c:pt idx="288">
                  <c:v>0.26669693646544534</c:v>
                </c:pt>
                <c:pt idx="289">
                  <c:v>0.26404912214280374</c:v>
                </c:pt>
                <c:pt idx="290">
                  <c:v>0.26305252524869893</c:v>
                </c:pt>
                <c:pt idx="291">
                  <c:v>0.26182984814366883</c:v>
                </c:pt>
                <c:pt idx="292">
                  <c:v>0.26048265802663706</c:v>
                </c:pt>
                <c:pt idx="293">
                  <c:v>0.26176576135351465</c:v>
                </c:pt>
                <c:pt idx="294">
                  <c:v>0.26305592032892516</c:v>
                </c:pt>
                <c:pt idx="295">
                  <c:v>0.26459679014311327</c:v>
                </c:pt>
                <c:pt idx="296">
                  <c:v>0.2662779830718468</c:v>
                </c:pt>
                <c:pt idx="297">
                  <c:v>0.26500245497965574</c:v>
                </c:pt>
                <c:pt idx="298">
                  <c:v>0.26539191955794322</c:v>
                </c:pt>
                <c:pt idx="299">
                  <c:v>0.26587884257457045</c:v>
                </c:pt>
                <c:pt idx="300">
                  <c:v>0.2654229377097036</c:v>
                </c:pt>
                <c:pt idx="301">
                  <c:v>0.26538896423187952</c:v>
                </c:pt>
                <c:pt idx="302">
                  <c:v>0.26508613742905279</c:v>
                </c:pt>
                <c:pt idx="303">
                  <c:v>0.26210724054259527</c:v>
                </c:pt>
                <c:pt idx="304">
                  <c:v>0.26112076842145127</c:v>
                </c:pt>
                <c:pt idx="305">
                  <c:v>0.26099150057801251</c:v>
                </c:pt>
                <c:pt idx="306">
                  <c:v>0.26061054635855779</c:v>
                </c:pt>
                <c:pt idx="307">
                  <c:v>0.26173964312214915</c:v>
                </c:pt>
                <c:pt idx="308">
                  <c:v>0.26201508991089234</c:v>
                </c:pt>
                <c:pt idx="309">
                  <c:v>0.26233153688040056</c:v>
                </c:pt>
                <c:pt idx="310">
                  <c:v>0.26451794043979954</c:v>
                </c:pt>
                <c:pt idx="311">
                  <c:v>0.26641197164262698</c:v>
                </c:pt>
                <c:pt idx="312">
                  <c:v>0.26727926614430425</c:v>
                </c:pt>
                <c:pt idx="313">
                  <c:v>0.2673984092147822</c:v>
                </c:pt>
                <c:pt idx="314">
                  <c:v>0.26751355612744832</c:v>
                </c:pt>
                <c:pt idx="315">
                  <c:v>0.26625174497847154</c:v>
                </c:pt>
                <c:pt idx="316">
                  <c:v>0.26584011214045922</c:v>
                </c:pt>
                <c:pt idx="317">
                  <c:v>0.26608228000963174</c:v>
                </c:pt>
                <c:pt idx="318">
                  <c:v>0.26562356127207426</c:v>
                </c:pt>
                <c:pt idx="319">
                  <c:v>0.2627264801483114</c:v>
                </c:pt>
                <c:pt idx="320">
                  <c:v>0.26306278166057778</c:v>
                </c:pt>
                <c:pt idx="321">
                  <c:v>0.26006594819925571</c:v>
                </c:pt>
                <c:pt idx="322">
                  <c:v>0.25998500070934621</c:v>
                </c:pt>
                <c:pt idx="323">
                  <c:v>0.26043041524600469</c:v>
                </c:pt>
                <c:pt idx="324">
                  <c:v>0.26057664481038351</c:v>
                </c:pt>
                <c:pt idx="325">
                  <c:v>0.26183190398702</c:v>
                </c:pt>
                <c:pt idx="326">
                  <c:v>0.26331906828933416</c:v>
                </c:pt>
                <c:pt idx="327">
                  <c:v>0.26287232095545277</c:v>
                </c:pt>
                <c:pt idx="328">
                  <c:v>0.26356476736808537</c:v>
                </c:pt>
                <c:pt idx="329">
                  <c:v>0.26369455113443802</c:v>
                </c:pt>
                <c:pt idx="330">
                  <c:v>0.26341721460749884</c:v>
                </c:pt>
                <c:pt idx="331">
                  <c:v>0.26465841635648585</c:v>
                </c:pt>
                <c:pt idx="332">
                  <c:v>0.26492335174872422</c:v>
                </c:pt>
                <c:pt idx="333">
                  <c:v>0.26630952762622023</c:v>
                </c:pt>
                <c:pt idx="334">
                  <c:v>0.26614783306724216</c:v>
                </c:pt>
                <c:pt idx="335">
                  <c:v>0.26556986043812703</c:v>
                </c:pt>
                <c:pt idx="336">
                  <c:v>0.26540728218824378</c:v>
                </c:pt>
                <c:pt idx="337">
                  <c:v>0.26472236204174221</c:v>
                </c:pt>
                <c:pt idx="338">
                  <c:v>0.26279843491735205</c:v>
                </c:pt>
                <c:pt idx="339">
                  <c:v>0.26059743284675158</c:v>
                </c:pt>
                <c:pt idx="340">
                  <c:v>0.26021280270494734</c:v>
                </c:pt>
                <c:pt idx="341">
                  <c:v>0.2616270811903727</c:v>
                </c:pt>
                <c:pt idx="342">
                  <c:v>0.26341796172824605</c:v>
                </c:pt>
                <c:pt idx="343">
                  <c:v>0.2637429851271777</c:v>
                </c:pt>
                <c:pt idx="344">
                  <c:v>0.26385480963226066</c:v>
                </c:pt>
                <c:pt idx="345">
                  <c:v>0.26379544376145242</c:v>
                </c:pt>
                <c:pt idx="346">
                  <c:v>0.26527544291440758</c:v>
                </c:pt>
                <c:pt idx="347">
                  <c:v>0.26548301826340875</c:v>
                </c:pt>
                <c:pt idx="348">
                  <c:v>0.26484077354904695</c:v>
                </c:pt>
                <c:pt idx="349">
                  <c:v>0.26421523583948675</c:v>
                </c:pt>
                <c:pt idx="350">
                  <c:v>0.26521471856161866</c:v>
                </c:pt>
                <c:pt idx="351">
                  <c:v>0.26578958980566292</c:v>
                </c:pt>
                <c:pt idx="352">
                  <c:v>0.26527308799202826</c:v>
                </c:pt>
                <c:pt idx="353">
                  <c:v>0.26436849109363003</c:v>
                </c:pt>
                <c:pt idx="354">
                  <c:v>0.26247399885423744</c:v>
                </c:pt>
                <c:pt idx="355">
                  <c:v>0.26273572548559787</c:v>
                </c:pt>
                <c:pt idx="356">
                  <c:v>0.26381301823597808</c:v>
                </c:pt>
                <c:pt idx="357">
                  <c:v>0.26180959934002507</c:v>
                </c:pt>
                <c:pt idx="358">
                  <c:v>0.26122437612910721</c:v>
                </c:pt>
                <c:pt idx="359">
                  <c:v>0.26363573416003222</c:v>
                </c:pt>
                <c:pt idx="360">
                  <c:v>0.26221398871370899</c:v>
                </c:pt>
                <c:pt idx="361">
                  <c:v>0.26279905354869715</c:v>
                </c:pt>
                <c:pt idx="362">
                  <c:v>0.26208820652705872</c:v>
                </c:pt>
                <c:pt idx="363">
                  <c:v>0.25962974195311028</c:v>
                </c:pt>
                <c:pt idx="364">
                  <c:v>0.26107876781091793</c:v>
                </c:pt>
                <c:pt idx="365">
                  <c:v>0.26281028685734026</c:v>
                </c:pt>
                <c:pt idx="366">
                  <c:v>0.26278601987196715</c:v>
                </c:pt>
                <c:pt idx="367">
                  <c:v>0.2648980356627394</c:v>
                </c:pt>
                <c:pt idx="368">
                  <c:v>0.26586726539460598</c:v>
                </c:pt>
                <c:pt idx="369">
                  <c:v>0.2658431107241998</c:v>
                </c:pt>
                <c:pt idx="370">
                  <c:v>0.26801586101243391</c:v>
                </c:pt>
                <c:pt idx="371">
                  <c:v>0.26893318506768898</c:v>
                </c:pt>
                <c:pt idx="372">
                  <c:v>0.2677383264707171</c:v>
                </c:pt>
                <c:pt idx="373">
                  <c:v>0.26714243246894159</c:v>
                </c:pt>
                <c:pt idx="374">
                  <c:v>0.26735491886947721</c:v>
                </c:pt>
                <c:pt idx="375">
                  <c:v>0.26771395229118178</c:v>
                </c:pt>
                <c:pt idx="376">
                  <c:v>0.26804748795032329</c:v>
                </c:pt>
                <c:pt idx="377">
                  <c:v>0.26728749995010298</c:v>
                </c:pt>
                <c:pt idx="378">
                  <c:v>0.26641284100297186</c:v>
                </c:pt>
                <c:pt idx="379">
                  <c:v>0.26707064642493283</c:v>
                </c:pt>
                <c:pt idx="380">
                  <c:v>0.26584056186774546</c:v>
                </c:pt>
                <c:pt idx="381">
                  <c:v>0.26486866966407224</c:v>
                </c:pt>
                <c:pt idx="382">
                  <c:v>0.26540115449592822</c:v>
                </c:pt>
                <c:pt idx="383">
                  <c:v>0.26625471936485462</c:v>
                </c:pt>
                <c:pt idx="384">
                  <c:v>0.26724051650061031</c:v>
                </c:pt>
                <c:pt idx="385">
                  <c:v>0.26805266374300624</c:v>
                </c:pt>
                <c:pt idx="386">
                  <c:v>0.2673561420584552</c:v>
                </c:pt>
                <c:pt idx="387">
                  <c:v>0.2659686215330036</c:v>
                </c:pt>
                <c:pt idx="388">
                  <c:v>0.26574177417436834</c:v>
                </c:pt>
                <c:pt idx="389">
                  <c:v>0.26469016544581409</c:v>
                </c:pt>
                <c:pt idx="390">
                  <c:v>0.26448220415738211</c:v>
                </c:pt>
                <c:pt idx="391">
                  <c:v>0.26325639502184667</c:v>
                </c:pt>
                <c:pt idx="392">
                  <c:v>0.26096961197303187</c:v>
                </c:pt>
                <c:pt idx="393">
                  <c:v>0.26118940815452413</c:v>
                </c:pt>
                <c:pt idx="394">
                  <c:v>0.26268862152465278</c:v>
                </c:pt>
                <c:pt idx="395">
                  <c:v>0.26164718919362379</c:v>
                </c:pt>
                <c:pt idx="396">
                  <c:v>0.26120822972860769</c:v>
                </c:pt>
                <c:pt idx="397">
                  <c:v>0.25949394401432196</c:v>
                </c:pt>
                <c:pt idx="398">
                  <c:v>0.25961579409107316</c:v>
                </c:pt>
                <c:pt idx="399">
                  <c:v>0.2602473080831107</c:v>
                </c:pt>
                <c:pt idx="400">
                  <c:v>0.2600486916114565</c:v>
                </c:pt>
                <c:pt idx="401">
                  <c:v>0.25944928620659452</c:v>
                </c:pt>
                <c:pt idx="402">
                  <c:v>0.26082878323291941</c:v>
                </c:pt>
                <c:pt idx="403">
                  <c:v>0.26176922718819984</c:v>
                </c:pt>
                <c:pt idx="404">
                  <c:v>0.26273413336852858</c:v>
                </c:pt>
                <c:pt idx="405">
                  <c:v>0.26370589368757025</c:v>
                </c:pt>
                <c:pt idx="406">
                  <c:v>0.26549226957077526</c:v>
                </c:pt>
                <c:pt idx="407">
                  <c:v>0.26659618297405985</c:v>
                </c:pt>
                <c:pt idx="408">
                  <c:v>0.2663661631604613</c:v>
                </c:pt>
                <c:pt idx="409">
                  <c:v>0.26724794348750025</c:v>
                </c:pt>
                <c:pt idx="410">
                  <c:v>0.26753011746981054</c:v>
                </c:pt>
                <c:pt idx="411">
                  <c:v>0.26624624333750985</c:v>
                </c:pt>
                <c:pt idx="412">
                  <c:v>0.26550049666277531</c:v>
                </c:pt>
                <c:pt idx="413">
                  <c:v>0.2660103080007466</c:v>
                </c:pt>
                <c:pt idx="414">
                  <c:v>0.26604573211621502</c:v>
                </c:pt>
                <c:pt idx="415">
                  <c:v>0.2674396161387767</c:v>
                </c:pt>
                <c:pt idx="416">
                  <c:v>0.26509741558732747</c:v>
                </c:pt>
                <c:pt idx="417">
                  <c:v>0.26350461785788004</c:v>
                </c:pt>
                <c:pt idx="418">
                  <c:v>0.26496992986482665</c:v>
                </c:pt>
                <c:pt idx="419">
                  <c:v>0.26546171333789165</c:v>
                </c:pt>
                <c:pt idx="420">
                  <c:v>0.26388330687822786</c:v>
                </c:pt>
                <c:pt idx="421">
                  <c:v>0.26261864876936991</c:v>
                </c:pt>
                <c:pt idx="422">
                  <c:v>0.26304372922182367</c:v>
                </c:pt>
                <c:pt idx="423">
                  <c:v>0.26304032212193856</c:v>
                </c:pt>
                <c:pt idx="424">
                  <c:v>0.26337210078550033</c:v>
                </c:pt>
                <c:pt idx="425">
                  <c:v>0.26269590489722006</c:v>
                </c:pt>
                <c:pt idx="426">
                  <c:v>0.26130222319385721</c:v>
                </c:pt>
                <c:pt idx="427">
                  <c:v>0.26059491536780666</c:v>
                </c:pt>
                <c:pt idx="428">
                  <c:v>0.26085252185719415</c:v>
                </c:pt>
                <c:pt idx="429">
                  <c:v>0.26027759823853874</c:v>
                </c:pt>
                <c:pt idx="430">
                  <c:v>0.26062738385250223</c:v>
                </c:pt>
                <c:pt idx="431">
                  <c:v>0.26070712145799929</c:v>
                </c:pt>
                <c:pt idx="432">
                  <c:v>0.26113569288657068</c:v>
                </c:pt>
                <c:pt idx="433">
                  <c:v>0.26257119368980064</c:v>
                </c:pt>
                <c:pt idx="434">
                  <c:v>0.26356421580156553</c:v>
                </c:pt>
                <c:pt idx="435">
                  <c:v>0.2627803008296013</c:v>
                </c:pt>
                <c:pt idx="436">
                  <c:v>0.2622643084318641</c:v>
                </c:pt>
                <c:pt idx="437">
                  <c:v>0.26388712413843135</c:v>
                </c:pt>
                <c:pt idx="438">
                  <c:v>0.26540330908258636</c:v>
                </c:pt>
                <c:pt idx="439">
                  <c:v>0.26539296909716376</c:v>
                </c:pt>
                <c:pt idx="440">
                  <c:v>0.26480070400100514</c:v>
                </c:pt>
                <c:pt idx="441">
                  <c:v>0.2648215890393118</c:v>
                </c:pt>
                <c:pt idx="442">
                  <c:v>0.2656649212677949</c:v>
                </c:pt>
                <c:pt idx="443">
                  <c:v>0.26620876044924063</c:v>
                </c:pt>
                <c:pt idx="444">
                  <c:v>0.26715319535147286</c:v>
                </c:pt>
                <c:pt idx="445">
                  <c:v>0.26640032890539833</c:v>
                </c:pt>
                <c:pt idx="446">
                  <c:v>0.26774486820802118</c:v>
                </c:pt>
                <c:pt idx="447">
                  <c:v>0.26713838677883051</c:v>
                </c:pt>
                <c:pt idx="448">
                  <c:v>0.26457388758206052</c:v>
                </c:pt>
                <c:pt idx="449">
                  <c:v>0.26408589889697021</c:v>
                </c:pt>
                <c:pt idx="450">
                  <c:v>0.26458011853620267</c:v>
                </c:pt>
                <c:pt idx="451">
                  <c:v>0.26425559723688508</c:v>
                </c:pt>
                <c:pt idx="452">
                  <c:v>0.2649343755331533</c:v>
                </c:pt>
                <c:pt idx="453">
                  <c:v>0.26462370362340487</c:v>
                </c:pt>
                <c:pt idx="454">
                  <c:v>0.26584167395511848</c:v>
                </c:pt>
                <c:pt idx="455">
                  <c:v>0.26899291891694216</c:v>
                </c:pt>
                <c:pt idx="456">
                  <c:v>0.2686930517038349</c:v>
                </c:pt>
                <c:pt idx="457">
                  <c:v>0.26812517593099017</c:v>
                </c:pt>
                <c:pt idx="458">
                  <c:v>0.26683946164527589</c:v>
                </c:pt>
                <c:pt idx="459">
                  <c:v>0.26710366990051509</c:v>
                </c:pt>
                <c:pt idx="460">
                  <c:v>0.26822136242482586</c:v>
                </c:pt>
                <c:pt idx="461">
                  <c:v>0.2688179258868339</c:v>
                </c:pt>
                <c:pt idx="462">
                  <c:v>0.26784673656407088</c:v>
                </c:pt>
                <c:pt idx="463">
                  <c:v>0.26881106165701268</c:v>
                </c:pt>
                <c:pt idx="464">
                  <c:v>0.26876815057731235</c:v>
                </c:pt>
                <c:pt idx="465">
                  <c:v>0.26918248570343112</c:v>
                </c:pt>
                <c:pt idx="466">
                  <c:v>0.26765391765310215</c:v>
                </c:pt>
                <c:pt idx="467">
                  <c:v>0.26529317002068808</c:v>
                </c:pt>
                <c:pt idx="468">
                  <c:v>0.26482500714386953</c:v>
                </c:pt>
                <c:pt idx="469">
                  <c:v>0.26456072291778243</c:v>
                </c:pt>
                <c:pt idx="470">
                  <c:v>0.26427859507638451</c:v>
                </c:pt>
                <c:pt idx="471">
                  <c:v>0.26527499162968776</c:v>
                </c:pt>
                <c:pt idx="472">
                  <c:v>0.26633100222496658</c:v>
                </c:pt>
                <c:pt idx="473">
                  <c:v>0.26627371936293975</c:v>
                </c:pt>
                <c:pt idx="474">
                  <c:v>0.2676931505943218</c:v>
                </c:pt>
                <c:pt idx="475">
                  <c:v>0.26860130616153283</c:v>
                </c:pt>
                <c:pt idx="476">
                  <c:v>0.26672293805654951</c:v>
                </c:pt>
                <c:pt idx="477">
                  <c:v>0.26437101301874194</c:v>
                </c:pt>
                <c:pt idx="478">
                  <c:v>0.26141488872224899</c:v>
                </c:pt>
                <c:pt idx="479">
                  <c:v>0.26127768940005591</c:v>
                </c:pt>
                <c:pt idx="480">
                  <c:v>0.26126599853528215</c:v>
                </c:pt>
                <c:pt idx="481">
                  <c:v>0.26003043944678189</c:v>
                </c:pt>
                <c:pt idx="482">
                  <c:v>0.25540283538545749</c:v>
                </c:pt>
                <c:pt idx="483">
                  <c:v>0.25661133193821634</c:v>
                </c:pt>
                <c:pt idx="484">
                  <c:v>0.25880582279366693</c:v>
                </c:pt>
                <c:pt idx="485">
                  <c:v>0.25980216523213395</c:v>
                </c:pt>
                <c:pt idx="486">
                  <c:v>0.25833446906370722</c:v>
                </c:pt>
                <c:pt idx="487">
                  <c:v>0.25661947458614576</c:v>
                </c:pt>
                <c:pt idx="488">
                  <c:v>0.25531955389801447</c:v>
                </c:pt>
                <c:pt idx="489">
                  <c:v>0.25690164343509908</c:v>
                </c:pt>
                <c:pt idx="490">
                  <c:v>0.2578980340564897</c:v>
                </c:pt>
                <c:pt idx="491">
                  <c:v>0.25752088687761093</c:v>
                </c:pt>
                <c:pt idx="492">
                  <c:v>0.25837070131951989</c:v>
                </c:pt>
                <c:pt idx="493">
                  <c:v>0.25812118981135507</c:v>
                </c:pt>
                <c:pt idx="494">
                  <c:v>0.26048862080538354</c:v>
                </c:pt>
                <c:pt idx="495">
                  <c:v>0.26229129513734523</c:v>
                </c:pt>
                <c:pt idx="496">
                  <c:v>0.26334778235421058</c:v>
                </c:pt>
                <c:pt idx="497">
                  <c:v>0.2635971628105136</c:v>
                </c:pt>
                <c:pt idx="498">
                  <c:v>0.26512456704382054</c:v>
                </c:pt>
                <c:pt idx="499">
                  <c:v>0.26475052984565844</c:v>
                </c:pt>
                <c:pt idx="500">
                  <c:v>0.26504702041922895</c:v>
                </c:pt>
                <c:pt idx="501">
                  <c:v>0.26575038633723436</c:v>
                </c:pt>
                <c:pt idx="502">
                  <c:v>0.26632913445976952</c:v>
                </c:pt>
                <c:pt idx="503">
                  <c:v>0.2671569279735122</c:v>
                </c:pt>
                <c:pt idx="504">
                  <c:v>0.26745358845575162</c:v>
                </c:pt>
                <c:pt idx="505">
                  <c:v>0.26662586617867229</c:v>
                </c:pt>
                <c:pt idx="506">
                  <c:v>0.26773976119385567</c:v>
                </c:pt>
                <c:pt idx="507">
                  <c:v>0.26854992498559282</c:v>
                </c:pt>
                <c:pt idx="508">
                  <c:v>0.2678898461594848</c:v>
                </c:pt>
                <c:pt idx="509">
                  <c:v>0.26622989791566665</c:v>
                </c:pt>
                <c:pt idx="510">
                  <c:v>0.26530993158801536</c:v>
                </c:pt>
                <c:pt idx="511">
                  <c:v>0.26602785723174466</c:v>
                </c:pt>
                <c:pt idx="512">
                  <c:v>0.26302793232221439</c:v>
                </c:pt>
                <c:pt idx="513">
                  <c:v>0.26179986547342304</c:v>
                </c:pt>
                <c:pt idx="514">
                  <c:v>0.26124168800885517</c:v>
                </c:pt>
                <c:pt idx="515">
                  <c:v>0.26131500427297227</c:v>
                </c:pt>
                <c:pt idx="516">
                  <c:v>0.26420783272715825</c:v>
                </c:pt>
                <c:pt idx="517">
                  <c:v>0.26608643807412885</c:v>
                </c:pt>
                <c:pt idx="518">
                  <c:v>0.26529762908620075</c:v>
                </c:pt>
                <c:pt idx="519">
                  <c:v>0.26840539012363757</c:v>
                </c:pt>
                <c:pt idx="520">
                  <c:v>0.26998038509246985</c:v>
                </c:pt>
                <c:pt idx="521">
                  <c:v>0.27088199354823911</c:v>
                </c:pt>
                <c:pt idx="522">
                  <c:v>0.2702372487126935</c:v>
                </c:pt>
                <c:pt idx="523">
                  <c:v>0.26725069803486889</c:v>
                </c:pt>
                <c:pt idx="524">
                  <c:v>0.26555063542779866</c:v>
                </c:pt>
                <c:pt idx="525">
                  <c:v>0.26349881689896965</c:v>
                </c:pt>
                <c:pt idx="526">
                  <c:v>0.26303472980603698</c:v>
                </c:pt>
                <c:pt idx="527">
                  <c:v>0.26233111777933243</c:v>
                </c:pt>
                <c:pt idx="528">
                  <c:v>0.26162753126488925</c:v>
                </c:pt>
                <c:pt idx="529">
                  <c:v>0.26039505933197582</c:v>
                </c:pt>
                <c:pt idx="530">
                  <c:v>0.25957022781453981</c:v>
                </c:pt>
                <c:pt idx="531">
                  <c:v>0.26015934025219911</c:v>
                </c:pt>
                <c:pt idx="532">
                  <c:v>0.26178258735245669</c:v>
                </c:pt>
                <c:pt idx="533">
                  <c:v>0.26112375506608826</c:v>
                </c:pt>
                <c:pt idx="534">
                  <c:v>0.26215906001612466</c:v>
                </c:pt>
                <c:pt idx="535">
                  <c:v>0.26416261790945333</c:v>
                </c:pt>
                <c:pt idx="536">
                  <c:v>0.26671286363051755</c:v>
                </c:pt>
                <c:pt idx="537">
                  <c:v>0.26852779101991303</c:v>
                </c:pt>
                <c:pt idx="538">
                  <c:v>0.26905302141680915</c:v>
                </c:pt>
                <c:pt idx="539">
                  <c:v>0.26961152951727041</c:v>
                </c:pt>
                <c:pt idx="540">
                  <c:v>0.27097869550780834</c:v>
                </c:pt>
                <c:pt idx="541">
                  <c:v>0.27077556852624751</c:v>
                </c:pt>
                <c:pt idx="542">
                  <c:v>0.2697613114330763</c:v>
                </c:pt>
                <c:pt idx="543">
                  <c:v>0.2691792345951855</c:v>
                </c:pt>
                <c:pt idx="544">
                  <c:v>0.2687471179724793</c:v>
                </c:pt>
                <c:pt idx="545">
                  <c:v>0.26804712345927972</c:v>
                </c:pt>
                <c:pt idx="546">
                  <c:v>0.26610941259320608</c:v>
                </c:pt>
                <c:pt idx="547">
                  <c:v>0.26646010608833098</c:v>
                </c:pt>
                <c:pt idx="548">
                  <c:v>0.26681557127813083</c:v>
                </c:pt>
                <c:pt idx="549">
                  <c:v>0.26698874695832581</c:v>
                </c:pt>
                <c:pt idx="550">
                  <c:v>0.26701919664801538</c:v>
                </c:pt>
                <c:pt idx="551">
                  <c:v>0.26786721644909511</c:v>
                </c:pt>
                <c:pt idx="552">
                  <c:v>0.26845286812773927</c:v>
                </c:pt>
                <c:pt idx="553">
                  <c:v>0.26916015128364024</c:v>
                </c:pt>
                <c:pt idx="554">
                  <c:v>0.26800297372434934</c:v>
                </c:pt>
                <c:pt idx="555">
                  <c:v>0.26626720734802961</c:v>
                </c:pt>
                <c:pt idx="556">
                  <c:v>0.26622728596895162</c:v>
                </c:pt>
                <c:pt idx="557">
                  <c:v>0.26520929000724547</c:v>
                </c:pt>
                <c:pt idx="558">
                  <c:v>0.26519838952001379</c:v>
                </c:pt>
                <c:pt idx="559">
                  <c:v>0.26583385234606627</c:v>
                </c:pt>
                <c:pt idx="560">
                  <c:v>0.26621803768632757</c:v>
                </c:pt>
                <c:pt idx="561">
                  <c:v>0.26866495459600309</c:v>
                </c:pt>
                <c:pt idx="562">
                  <c:v>0.2712769489845932</c:v>
                </c:pt>
                <c:pt idx="563">
                  <c:v>0.27125862936027578</c:v>
                </c:pt>
                <c:pt idx="564">
                  <c:v>0.27167830071355686</c:v>
                </c:pt>
                <c:pt idx="565">
                  <c:v>0.27079189876815263</c:v>
                </c:pt>
                <c:pt idx="566">
                  <c:v>0.27038122920224839</c:v>
                </c:pt>
                <c:pt idx="567">
                  <c:v>0.27242485416502826</c:v>
                </c:pt>
                <c:pt idx="568">
                  <c:v>0.27156397189393255</c:v>
                </c:pt>
                <c:pt idx="569">
                  <c:v>0.26984950037511324</c:v>
                </c:pt>
                <c:pt idx="570">
                  <c:v>0.26867339047186645</c:v>
                </c:pt>
                <c:pt idx="571">
                  <c:v>0.2691473594186517</c:v>
                </c:pt>
                <c:pt idx="572">
                  <c:v>0.27037400109978177</c:v>
                </c:pt>
                <c:pt idx="573">
                  <c:v>0.26740640781704611</c:v>
                </c:pt>
                <c:pt idx="574">
                  <c:v>0.26437190591032927</c:v>
                </c:pt>
                <c:pt idx="575">
                  <c:v>0.26186250770380826</c:v>
                </c:pt>
                <c:pt idx="576">
                  <c:v>0.26146296823361664</c:v>
                </c:pt>
                <c:pt idx="577">
                  <c:v>0.26050722588527286</c:v>
                </c:pt>
                <c:pt idx="578">
                  <c:v>0.2603935763864943</c:v>
                </c:pt>
                <c:pt idx="579">
                  <c:v>0.26014110249561251</c:v>
                </c:pt>
                <c:pt idx="580">
                  <c:v>0.26128037614119132</c:v>
                </c:pt>
                <c:pt idx="581">
                  <c:v>0.26198190962154977</c:v>
                </c:pt>
                <c:pt idx="582">
                  <c:v>0.26309252601653521</c:v>
                </c:pt>
                <c:pt idx="583">
                  <c:v>0.26352917673141174</c:v>
                </c:pt>
                <c:pt idx="584">
                  <c:v>0.26260622085490348</c:v>
                </c:pt>
                <c:pt idx="585">
                  <c:v>0.2625187793851414</c:v>
                </c:pt>
                <c:pt idx="586">
                  <c:v>0.26158114199252197</c:v>
                </c:pt>
                <c:pt idx="587">
                  <c:v>0.26090430473947218</c:v>
                </c:pt>
                <c:pt idx="588">
                  <c:v>0.26161355318306601</c:v>
                </c:pt>
                <c:pt idx="589">
                  <c:v>0.26361355318306595</c:v>
                </c:pt>
                <c:pt idx="590">
                  <c:v>0.26111949009383395</c:v>
                </c:pt>
                <c:pt idx="591">
                  <c:v>0.26366111065389963</c:v>
                </c:pt>
                <c:pt idx="592">
                  <c:v>0.26496494932911147</c:v>
                </c:pt>
                <c:pt idx="593">
                  <c:v>0.2650117948254575</c:v>
                </c:pt>
                <c:pt idx="594">
                  <c:v>0.26841862987126902</c:v>
                </c:pt>
                <c:pt idx="595">
                  <c:v>0.27011974208293527</c:v>
                </c:pt>
                <c:pt idx="596">
                  <c:v>0.26891622880884009</c:v>
                </c:pt>
                <c:pt idx="597">
                  <c:v>0.26993023394032029</c:v>
                </c:pt>
                <c:pt idx="598">
                  <c:v>0.26979962647124939</c:v>
                </c:pt>
                <c:pt idx="599">
                  <c:v>0.26643188236583443</c:v>
                </c:pt>
                <c:pt idx="600">
                  <c:v>0.2684876865417975</c:v>
                </c:pt>
                <c:pt idx="601">
                  <c:v>0.26846119817546532</c:v>
                </c:pt>
                <c:pt idx="602">
                  <c:v>0.26717182870412393</c:v>
                </c:pt>
                <c:pt idx="603">
                  <c:v>0.26669789336495181</c:v>
                </c:pt>
                <c:pt idx="604">
                  <c:v>0.26736996361149012</c:v>
                </c:pt>
                <c:pt idx="605">
                  <c:v>0.26693786800352387</c:v>
                </c:pt>
                <c:pt idx="606">
                  <c:v>0.26791406840117604</c:v>
                </c:pt>
                <c:pt idx="607">
                  <c:v>0.26703477040720064</c:v>
                </c:pt>
                <c:pt idx="608">
                  <c:v>0.26658090283303909</c:v>
                </c:pt>
                <c:pt idx="609">
                  <c:v>0.26628693264675435</c:v>
                </c:pt>
                <c:pt idx="610">
                  <c:v>0.26752838928081241</c:v>
                </c:pt>
                <c:pt idx="611">
                  <c:v>0.26918904994147297</c:v>
                </c:pt>
                <c:pt idx="612">
                  <c:v>0.26845353094132218</c:v>
                </c:pt>
                <c:pt idx="613">
                  <c:v>0.26841650322051352</c:v>
                </c:pt>
                <c:pt idx="614">
                  <c:v>0.26756306396152946</c:v>
                </c:pt>
                <c:pt idx="615">
                  <c:v>0.26677583000580646</c:v>
                </c:pt>
                <c:pt idx="616">
                  <c:v>0.26793789555188091</c:v>
                </c:pt>
                <c:pt idx="617">
                  <c:v>0.2680955760009282</c:v>
                </c:pt>
                <c:pt idx="618">
                  <c:v>0.26712199017019955</c:v>
                </c:pt>
                <c:pt idx="619">
                  <c:v>0.26628455773601178</c:v>
                </c:pt>
                <c:pt idx="620">
                  <c:v>0.26780863769325236</c:v>
                </c:pt>
                <c:pt idx="621">
                  <c:v>0.26829083086035371</c:v>
                </c:pt>
                <c:pt idx="622">
                  <c:v>0.26714797371749655</c:v>
                </c:pt>
                <c:pt idx="623">
                  <c:v>0.26585496211476251</c:v>
                </c:pt>
                <c:pt idx="624">
                  <c:v>0.26556554867165466</c:v>
                </c:pt>
                <c:pt idx="625">
                  <c:v>0.26308789675155758</c:v>
                </c:pt>
                <c:pt idx="626">
                  <c:v>0.26493783697721907</c:v>
                </c:pt>
                <c:pt idx="627">
                  <c:v>0.26539199481429027</c:v>
                </c:pt>
                <c:pt idx="628">
                  <c:v>0.26663148124347885</c:v>
                </c:pt>
                <c:pt idx="629">
                  <c:v>0.26801637235233461</c:v>
                </c:pt>
                <c:pt idx="630">
                  <c:v>0.26799069418113397</c:v>
                </c:pt>
                <c:pt idx="631">
                  <c:v>0.26771237377742391</c:v>
                </c:pt>
                <c:pt idx="632">
                  <c:v>0.27127772564236369</c:v>
                </c:pt>
                <c:pt idx="633">
                  <c:v>0.27248307031308955</c:v>
                </c:pt>
                <c:pt idx="634">
                  <c:v>0.27254478595485038</c:v>
                </c:pt>
                <c:pt idx="635">
                  <c:v>0.2719399446088106</c:v>
                </c:pt>
                <c:pt idx="636">
                  <c:v>0.27164321227594318</c:v>
                </c:pt>
                <c:pt idx="637">
                  <c:v>0.27014098670149</c:v>
                </c:pt>
                <c:pt idx="638">
                  <c:v>0.26819588100657182</c:v>
                </c:pt>
                <c:pt idx="639">
                  <c:v>0.26752579998765358</c:v>
                </c:pt>
                <c:pt idx="640">
                  <c:v>0.26810092771647581</c:v>
                </c:pt>
                <c:pt idx="641">
                  <c:v>0.26897670022606379</c:v>
                </c:pt>
                <c:pt idx="642">
                  <c:v>0.26928076777654858</c:v>
                </c:pt>
                <c:pt idx="643">
                  <c:v>0.26928725266715559</c:v>
                </c:pt>
                <c:pt idx="644">
                  <c:v>0.26901949183710744</c:v>
                </c:pt>
                <c:pt idx="645">
                  <c:v>0.26985479474307472</c:v>
                </c:pt>
                <c:pt idx="646">
                  <c:v>0.26955808869843173</c:v>
                </c:pt>
                <c:pt idx="647">
                  <c:v>0.2692723744127174</c:v>
                </c:pt>
                <c:pt idx="648">
                  <c:v>0.26912207885989475</c:v>
                </c:pt>
                <c:pt idx="649">
                  <c:v>0.26924658273798147</c:v>
                </c:pt>
                <c:pt idx="650">
                  <c:v>0.26963537661993603</c:v>
                </c:pt>
                <c:pt idx="651">
                  <c:v>0.27237198113536576</c:v>
                </c:pt>
                <c:pt idx="652">
                  <c:v>0.27387694257827688</c:v>
                </c:pt>
                <c:pt idx="653">
                  <c:v>0.27524644404455251</c:v>
                </c:pt>
                <c:pt idx="654">
                  <c:v>0.27531824999752036</c:v>
                </c:pt>
                <c:pt idx="655">
                  <c:v>0.2754047432324423</c:v>
                </c:pt>
                <c:pt idx="656">
                  <c:v>0.27566421825985293</c:v>
                </c:pt>
                <c:pt idx="657">
                  <c:v>0.27547711235680278</c:v>
                </c:pt>
                <c:pt idx="658">
                  <c:v>0.27572164251744175</c:v>
                </c:pt>
                <c:pt idx="659">
                  <c:v>0.27666514209107279</c:v>
                </c:pt>
                <c:pt idx="660">
                  <c:v>0.27731493592916645</c:v>
                </c:pt>
                <c:pt idx="661">
                  <c:v>0.27772572734224571</c:v>
                </c:pt>
                <c:pt idx="662">
                  <c:v>0.27744758749073301</c:v>
                </c:pt>
                <c:pt idx="663">
                  <c:v>0.2771401874765278</c:v>
                </c:pt>
                <c:pt idx="664">
                  <c:v>0.27618066552969539</c:v>
                </c:pt>
                <c:pt idx="665">
                  <c:v>0.27518066552969539</c:v>
                </c:pt>
                <c:pt idx="666">
                  <c:v>0.27392521241204643</c:v>
                </c:pt>
                <c:pt idx="667">
                  <c:v>0.27307188682352701</c:v>
                </c:pt>
                <c:pt idx="668">
                  <c:v>0.27348400782912408</c:v>
                </c:pt>
                <c:pt idx="669">
                  <c:v>0.27303265777645641</c:v>
                </c:pt>
                <c:pt idx="670">
                  <c:v>0.27371930489918145</c:v>
                </c:pt>
                <c:pt idx="671">
                  <c:v>0.27180382978086387</c:v>
                </c:pt>
                <c:pt idx="672">
                  <c:v>0.27195045810440016</c:v>
                </c:pt>
                <c:pt idx="673">
                  <c:v>0.27072808615139149</c:v>
                </c:pt>
                <c:pt idx="674">
                  <c:v>0.27076977127899055</c:v>
                </c:pt>
                <c:pt idx="675">
                  <c:v>0.26898071767761528</c:v>
                </c:pt>
                <c:pt idx="676">
                  <c:v>0.27085306472465287</c:v>
                </c:pt>
                <c:pt idx="677">
                  <c:v>0.26963169576727847</c:v>
                </c:pt>
                <c:pt idx="678">
                  <c:v>0.2728217431944302</c:v>
                </c:pt>
                <c:pt idx="679">
                  <c:v>0.27243063397585449</c:v>
                </c:pt>
                <c:pt idx="680">
                  <c:v>0.27361132080126399</c:v>
                </c:pt>
                <c:pt idx="681">
                  <c:v>0.27191953943664721</c:v>
                </c:pt>
                <c:pt idx="682">
                  <c:v>0.27387908877244022</c:v>
                </c:pt>
                <c:pt idx="683">
                  <c:v>0.27270957562531806</c:v>
                </c:pt>
                <c:pt idx="684">
                  <c:v>0.27267946073544469</c:v>
                </c:pt>
                <c:pt idx="685">
                  <c:v>0.27291620823601997</c:v>
                </c:pt>
                <c:pt idx="686">
                  <c:v>0.27439312310721503</c:v>
                </c:pt>
                <c:pt idx="687">
                  <c:v>0.27214909394909997</c:v>
                </c:pt>
                <c:pt idx="688">
                  <c:v>0.27323538222029864</c:v>
                </c:pt>
                <c:pt idx="689">
                  <c:v>0.27262098063920798</c:v>
                </c:pt>
                <c:pt idx="690">
                  <c:v>0.27356698009920261</c:v>
                </c:pt>
                <c:pt idx="691">
                  <c:v>0.27284132583103166</c:v>
                </c:pt>
                <c:pt idx="692">
                  <c:v>0.27251741524263462</c:v>
                </c:pt>
                <c:pt idx="693">
                  <c:v>0.27306402934928342</c:v>
                </c:pt>
                <c:pt idx="694">
                  <c:v>0.27665547824316822</c:v>
                </c:pt>
                <c:pt idx="695">
                  <c:v>0.27728099165904269</c:v>
                </c:pt>
                <c:pt idx="696">
                  <c:v>0.27682152533405063</c:v>
                </c:pt>
                <c:pt idx="697">
                  <c:v>0.27540303479993894</c:v>
                </c:pt>
                <c:pt idx="698">
                  <c:v>0.2771559647428074</c:v>
                </c:pt>
                <c:pt idx="699">
                  <c:v>0.27631797822759502</c:v>
                </c:pt>
                <c:pt idx="700">
                  <c:v>0.27492188846428112</c:v>
                </c:pt>
                <c:pt idx="701">
                  <c:v>0.27440479264701378</c:v>
                </c:pt>
                <c:pt idx="702">
                  <c:v>0.27610731330041477</c:v>
                </c:pt>
                <c:pt idx="703">
                  <c:v>0.27694889456564142</c:v>
                </c:pt>
                <c:pt idx="704">
                  <c:v>0.27794658489666502</c:v>
                </c:pt>
                <c:pt idx="705">
                  <c:v>0.27533756396769349</c:v>
                </c:pt>
                <c:pt idx="706">
                  <c:v>0.27534138123631691</c:v>
                </c:pt>
                <c:pt idx="707">
                  <c:v>0.27400337774892708</c:v>
                </c:pt>
                <c:pt idx="708">
                  <c:v>0.27374066513322987</c:v>
                </c:pt>
                <c:pt idx="709">
                  <c:v>0.27349249601489872</c:v>
                </c:pt>
                <c:pt idx="710">
                  <c:v>0.27242039859871531</c:v>
                </c:pt>
                <c:pt idx="711">
                  <c:v>0.27157487684454856</c:v>
                </c:pt>
                <c:pt idx="712">
                  <c:v>0.27179864370686962</c:v>
                </c:pt>
                <c:pt idx="713">
                  <c:v>0.27243052234161336</c:v>
                </c:pt>
                <c:pt idx="714">
                  <c:v>0.27425401022847279</c:v>
                </c:pt>
                <c:pt idx="715">
                  <c:v>0.27553972451418707</c:v>
                </c:pt>
                <c:pt idx="716">
                  <c:v>0.27348638628670613</c:v>
                </c:pt>
                <c:pt idx="717">
                  <c:v>0.27296283279537581</c:v>
                </c:pt>
                <c:pt idx="718">
                  <c:v>0.27319019065478284</c:v>
                </c:pt>
                <c:pt idx="719">
                  <c:v>0.27480862171421905</c:v>
                </c:pt>
                <c:pt idx="720">
                  <c:v>0.2752115964804559</c:v>
                </c:pt>
                <c:pt idx="721">
                  <c:v>0.27365906619551839</c:v>
                </c:pt>
                <c:pt idx="722">
                  <c:v>0.27114065960059447</c:v>
                </c:pt>
                <c:pt idx="723">
                  <c:v>0.27382461060772512</c:v>
                </c:pt>
                <c:pt idx="724">
                  <c:v>0.27661341577650106</c:v>
                </c:pt>
                <c:pt idx="725">
                  <c:v>0.27646245265016522</c:v>
                </c:pt>
                <c:pt idx="726">
                  <c:v>0.27675826126763026</c:v>
                </c:pt>
                <c:pt idx="727">
                  <c:v>0.2734910130840616</c:v>
                </c:pt>
                <c:pt idx="728">
                  <c:v>0.27291942851251971</c:v>
                </c:pt>
                <c:pt idx="729">
                  <c:v>0.27224585567046961</c:v>
                </c:pt>
                <c:pt idx="730">
                  <c:v>0.26929904233407032</c:v>
                </c:pt>
                <c:pt idx="731">
                  <c:v>0.26521549941673145</c:v>
                </c:pt>
                <c:pt idx="732">
                  <c:v>0.26403002931636449</c:v>
                </c:pt>
                <c:pt idx="733">
                  <c:v>0.26299182010407635</c:v>
                </c:pt>
                <c:pt idx="734">
                  <c:v>0.26396634863540791</c:v>
                </c:pt>
                <c:pt idx="735">
                  <c:v>0.26501087250135952</c:v>
                </c:pt>
                <c:pt idx="736">
                  <c:v>0.26644346962832394</c:v>
                </c:pt>
                <c:pt idx="737">
                  <c:v>0.26728529832754733</c:v>
                </c:pt>
                <c:pt idx="738">
                  <c:v>0.26987699571725848</c:v>
                </c:pt>
                <c:pt idx="739">
                  <c:v>0.26957216457929262</c:v>
                </c:pt>
                <c:pt idx="740">
                  <c:v>0.26843298011619715</c:v>
                </c:pt>
                <c:pt idx="741">
                  <c:v>0.26855046306010361</c:v>
                </c:pt>
                <c:pt idx="742">
                  <c:v>0.26867815998120104</c:v>
                </c:pt>
                <c:pt idx="743">
                  <c:v>0.26877627855342962</c:v>
                </c:pt>
                <c:pt idx="744">
                  <c:v>0.26755331263620913</c:v>
                </c:pt>
                <c:pt idx="745">
                  <c:v>0.26324732953221214</c:v>
                </c:pt>
                <c:pt idx="746">
                  <c:v>0.26298676000848475</c:v>
                </c:pt>
                <c:pt idx="747">
                  <c:v>0.26260553719410135</c:v>
                </c:pt>
                <c:pt idx="748">
                  <c:v>0.26455414949424688</c:v>
                </c:pt>
                <c:pt idx="749">
                  <c:v>0.26569700663710405</c:v>
                </c:pt>
                <c:pt idx="750">
                  <c:v>0.26529821509631851</c:v>
                </c:pt>
                <c:pt idx="751">
                  <c:v>0.26458392938203285</c:v>
                </c:pt>
                <c:pt idx="752">
                  <c:v>0.26569271693155516</c:v>
                </c:pt>
                <c:pt idx="753">
                  <c:v>0.26666469232458317</c:v>
                </c:pt>
                <c:pt idx="754">
                  <c:v>0.27002011384761199</c:v>
                </c:pt>
                <c:pt idx="755">
                  <c:v>0.26971955844456152</c:v>
                </c:pt>
                <c:pt idx="756">
                  <c:v>0.26901305676933002</c:v>
                </c:pt>
                <c:pt idx="757">
                  <c:v>0.26777909421674168</c:v>
                </c:pt>
                <c:pt idx="758">
                  <c:v>0.26688837836361345</c:v>
                </c:pt>
                <c:pt idx="759">
                  <c:v>0.26939365727020032</c:v>
                </c:pt>
                <c:pt idx="760">
                  <c:v>0.27079265301130134</c:v>
                </c:pt>
                <c:pt idx="761">
                  <c:v>0.26938988287408455</c:v>
                </c:pt>
                <c:pt idx="762">
                  <c:v>0.26875474644795677</c:v>
                </c:pt>
                <c:pt idx="763">
                  <c:v>0.268637628925955</c:v>
                </c:pt>
                <c:pt idx="764">
                  <c:v>0.26878414125443922</c:v>
                </c:pt>
                <c:pt idx="765">
                  <c:v>0.27069650044271887</c:v>
                </c:pt>
                <c:pt idx="766">
                  <c:v>0.26889458080190703</c:v>
                </c:pt>
                <c:pt idx="767">
                  <c:v>0.26568952429258008</c:v>
                </c:pt>
                <c:pt idx="768">
                  <c:v>0.26468585161281849</c:v>
                </c:pt>
                <c:pt idx="769">
                  <c:v>0.26508324837342773</c:v>
                </c:pt>
                <c:pt idx="770">
                  <c:v>0.26466564250953112</c:v>
                </c:pt>
                <c:pt idx="771">
                  <c:v>0.26211491151081623</c:v>
                </c:pt>
                <c:pt idx="772">
                  <c:v>0.25968054375248084</c:v>
                </c:pt>
                <c:pt idx="773">
                  <c:v>0.26044907470405981</c:v>
                </c:pt>
                <c:pt idx="774">
                  <c:v>0.26218499396765377</c:v>
                </c:pt>
                <c:pt idx="775">
                  <c:v>0.26283263823231706</c:v>
                </c:pt>
                <c:pt idx="776">
                  <c:v>0.26275857410395165</c:v>
                </c:pt>
                <c:pt idx="777">
                  <c:v>0.26405521483817662</c:v>
                </c:pt>
                <c:pt idx="778">
                  <c:v>0.26806548027270166</c:v>
                </c:pt>
                <c:pt idx="779">
                  <c:v>0.27137988285149056</c:v>
                </c:pt>
                <c:pt idx="780">
                  <c:v>0.27053347396646504</c:v>
                </c:pt>
                <c:pt idx="781">
                  <c:v>0.2697013771313877</c:v>
                </c:pt>
                <c:pt idx="782">
                  <c:v>0.27009026326435326</c:v>
                </c:pt>
                <c:pt idx="783">
                  <c:v>0.27117164212576944</c:v>
                </c:pt>
                <c:pt idx="784">
                  <c:v>0.27032900738017224</c:v>
                </c:pt>
                <c:pt idx="785">
                  <c:v>0.26905225146629724</c:v>
                </c:pt>
                <c:pt idx="786">
                  <c:v>0.26951336962529349</c:v>
                </c:pt>
                <c:pt idx="787">
                  <c:v>0.27168466602330871</c:v>
                </c:pt>
                <c:pt idx="788">
                  <c:v>0.27240251290308476</c:v>
                </c:pt>
                <c:pt idx="789">
                  <c:v>0.27229934105583337</c:v>
                </c:pt>
                <c:pt idx="790">
                  <c:v>0.27065011161120517</c:v>
                </c:pt>
                <c:pt idx="791">
                  <c:v>0.27039451881133514</c:v>
                </c:pt>
                <c:pt idx="792">
                  <c:v>0.27153904051840499</c:v>
                </c:pt>
                <c:pt idx="793">
                  <c:v>0.27136579926501164</c:v>
                </c:pt>
                <c:pt idx="794">
                  <c:v>0.27223936591470344</c:v>
                </c:pt>
                <c:pt idx="795">
                  <c:v>0.27098551457896719</c:v>
                </c:pt>
                <c:pt idx="796">
                  <c:v>0.26806684978877326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4C-452B-8847-49F781740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605120"/>
        <c:axId val="2080605600"/>
      </c:scatterChart>
      <c:valAx>
        <c:axId val="2080605120"/>
        <c:scaling>
          <c:orientation val="minMax"/>
          <c:max val="900"/>
          <c:min val="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80605600"/>
        <c:crosses val="autoZero"/>
        <c:crossBetween val="midCat"/>
        <c:majorUnit val="50"/>
      </c:valAx>
      <c:valAx>
        <c:axId val="2080605600"/>
        <c:scaling>
          <c:orientation val="minMax"/>
          <c:max val="0.28000000000000003"/>
          <c:min val="0.25"/>
        </c:scaling>
        <c:delete val="0"/>
        <c:axPos val="r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80605120"/>
        <c:crosses val="max"/>
        <c:crossBetween val="midCat"/>
        <c:majorUnit val="5.000000000000001E-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_xlchart.v1.8</cx:f>
      </cx:numDim>
    </cx:data>
    <cx:data id="1">
      <cx:strDim type="cat">
        <cx:f>_xlchart.v1.0</cx:f>
      </cx:strDim>
      <cx:numDim type="val">
        <cx:f>_xlchart.v1.10</cx:f>
      </cx:numDim>
    </cx:data>
    <cx:data id="2">
      <cx:strDim type="cat">
        <cx:f>_xlchart.v1.0</cx:f>
      </cx:strDim>
      <cx:numDim type="val">
        <cx:f>_xlchart.v1.12</cx:f>
      </cx:numDim>
    </cx:data>
    <cx:data id="3">
      <cx:strDim type="cat">
        <cx:f>_xlchart.v1.0</cx:f>
      </cx:strDim>
      <cx:numDim type="val">
        <cx:f>_xlchart.v1.14</cx:f>
      </cx:numDim>
    </cx:data>
    <cx:data id="4">
      <cx:strDim type="cat">
        <cx:f>_xlchart.v1.0</cx:f>
      </cx:strDim>
      <cx:numDim type="val">
        <cx:f>_xlchart.v1.16</cx:f>
      </cx:numDim>
    </cx:data>
    <cx:data id="5">
      <cx:strDim type="cat">
        <cx:f>_xlchart.v1.0</cx:f>
      </cx:strDim>
      <cx:numDim type="val">
        <cx:f>_xlchart.v1.18</cx:f>
      </cx:numDim>
    </cx:data>
    <cx:data id="6">
      <cx:strDim type="cat">
        <cx:f>_xlchart.v1.0</cx:f>
      </cx:strDim>
      <cx:numDim type="val">
        <cx:f>_xlchart.v1.20</cx:f>
      </cx:numDim>
    </cx:data>
    <cx:data id="7">
      <cx:strDim type="cat">
        <cx:f>_xlchart.v1.0</cx:f>
      </cx:strDim>
      <cx:numDim type="val">
        <cx:f>_xlchart.v1.22</cx:f>
      </cx:numDim>
    </cx:data>
    <cx:data id="8">
      <cx:strDim type="cat">
        <cx:f>_xlchart.v1.0</cx:f>
      </cx:strDim>
      <cx:numDim type="val">
        <cx:f>_xlchart.v1.24</cx:f>
      </cx:numDim>
    </cx:data>
    <cx:data id="9">
      <cx:strDim type="cat">
        <cx:f>_xlchart.v1.0</cx:f>
      </cx:strDim>
      <cx:numDim type="val">
        <cx:f>_xlchart.v1.26</cx:f>
      </cx:numDim>
    </cx:data>
    <cx:data id="10">
      <cx:strDim type="cat">
        <cx:f>_xlchart.v1.0</cx:f>
      </cx:strDim>
      <cx:numDim type="val">
        <cx:f>_xlchart.v1.28</cx:f>
      </cx:numDim>
    </cx:data>
    <cx:data id="11">
      <cx:strDim type="cat">
        <cx:f>_xlchart.v1.0</cx:f>
      </cx:strDim>
      <cx:numDim type="val">
        <cx:f>_xlchart.v1.30</cx:f>
      </cx:numDim>
    </cx:data>
    <cx:data id="12">
      <cx:strDim type="cat">
        <cx:f>_xlchart.v1.0</cx:f>
      </cx:strDim>
      <cx:numDim type="val">
        <cx:f>_xlchart.v1.32</cx:f>
      </cx:numDim>
    </cx:data>
    <cx:data id="13">
      <cx:strDim type="cat">
        <cx:f>_xlchart.v1.0</cx:f>
      </cx:strDim>
      <cx:numDim type="val">
        <cx:f>_xlchart.v1.34</cx:f>
      </cx:numDim>
    </cx:data>
    <cx:data id="14">
      <cx:strDim type="cat">
        <cx:f>_xlchart.v1.0</cx:f>
      </cx:strDim>
      <cx:numDim type="val">
        <cx:f>_xlchart.v1.36</cx:f>
      </cx:numDim>
    </cx:data>
    <cx:data id="15">
      <cx:strDim type="cat">
        <cx:f>_xlchart.v1.0</cx:f>
      </cx:strDim>
      <cx:numDim type="val">
        <cx:f>_xlchart.v1.38</cx:f>
      </cx:numDim>
    </cx:data>
    <cx:data id="16">
      <cx:strDim type="cat">
        <cx:f>_xlchart.v1.0</cx:f>
      </cx:strDim>
      <cx:numDim type="val">
        <cx:f>_xlchart.v1.40</cx:f>
      </cx:numDim>
    </cx:data>
    <cx:data id="17">
      <cx:strDim type="cat">
        <cx:f>_xlchart.v1.0</cx:f>
      </cx:strDim>
      <cx:numDim type="val">
        <cx:f>_xlchart.v1.42</cx:f>
      </cx:numDim>
    </cx:data>
    <cx:data id="18">
      <cx:strDim type="cat">
        <cx:f>_xlchart.v1.0</cx:f>
      </cx:strDim>
      <cx:numDim type="val">
        <cx:f>_xlchart.v1.44</cx:f>
      </cx:numDim>
    </cx:data>
    <cx:data id="19">
      <cx:strDim type="cat">
        <cx:f>_xlchart.v1.0</cx:f>
      </cx:strDim>
      <cx:numDim type="val">
        <cx:f>_xlchart.v1.46</cx:f>
      </cx:numDim>
    </cx:data>
    <cx:data id="20">
      <cx:strDim type="cat">
        <cx:f>_xlchart.v1.0</cx:f>
      </cx:strDim>
      <cx:numDim type="val">
        <cx:f>_xlchart.v1.48</cx:f>
      </cx:numDim>
    </cx:data>
    <cx:data id="21">
      <cx:strDim type="cat">
        <cx:f>_xlchart.v1.0</cx:f>
      </cx:strDim>
      <cx:numDim type="val">
        <cx:f>_xlchart.v1.2</cx:f>
      </cx:numDim>
    </cx:data>
    <cx:data id="22">
      <cx:strDim type="cat">
        <cx:f>_xlchart.v1.0</cx:f>
      </cx:strDim>
      <cx:numDim type="val">
        <cx:f>_xlchart.v1.4</cx:f>
      </cx:numDim>
    </cx:data>
    <cx:data id="23">
      <cx:strDim type="cat">
        <cx:f>_xlchart.v1.0</cx:f>
      </cx:strDim>
      <cx:numDim type="val">
        <cx:f>_xlchart.v1.6</cx:f>
      </cx:numDim>
    </cx:data>
  </cx:chartData>
  <cx:chart>
    <cx:title pos="t" align="ctr" overlay="0"/>
    <cx:plotArea>
      <cx:plotAreaRegion>
        <cx:series layoutId="clusteredColumn" uniqueId="{7476A3A6-FA27-4786-A2CB-D7E5D2DCF8AD}" formatIdx="0">
          <cx:tx>
            <cx:txData>
              <cx:f>_xlchart.v1.7</cx:f>
              <cx:v> Peso (Kg) </cx:v>
            </cx:txData>
          </cx:tx>
          <cx:dataId val="0"/>
          <cx:layoutPr>
            <cx:binning intervalClosed="r">
              <cx:binCount val="11"/>
            </cx:binning>
          </cx:layoutPr>
        </cx:series>
        <cx:series layoutId="clusteredColumn" hidden="1" uniqueId="{B0E38794-0886-4DCE-8963-CA53BC8C9D97}" formatIdx="1">
          <cx:tx>
            <cx:txData>
              <cx:f>_xlchart.v1.9</cx:f>
              <cx:v>IMC</cx:v>
            </cx:txData>
          </cx:tx>
          <cx:dataId val="1"/>
          <cx:layoutPr>
            <cx:binning intervalClosed="r"/>
          </cx:layoutPr>
        </cx:series>
        <cx:series layoutId="clusteredColumn" hidden="1" uniqueId="{14972E7C-E59D-4122-8C8B-1E230A608D23}" formatIdx="2">
          <cx:tx>
            <cx:txData>
              <cx:f>_xlchart.v1.11</cx:f>
              <cx:v>Grasa</cx:v>
            </cx:txData>
          </cx:tx>
          <cx:dataId val="2"/>
          <cx:layoutPr>
            <cx:binning intervalClosed="r"/>
          </cx:layoutPr>
        </cx:series>
        <cx:series layoutId="clusteredColumn" hidden="1" uniqueId="{E7EEBE06-C01A-45C8-97D4-66C4C3E2BA7F}" formatIdx="3">
          <cx:tx>
            <cx:txData>
              <cx:f>_xlchart.v1.13</cx:f>
              <cx:v> FFM </cx:v>
            </cx:txData>
          </cx:tx>
          <cx:dataId val="3"/>
          <cx:layoutPr>
            <cx:binning intervalClosed="r"/>
          </cx:layoutPr>
        </cx:series>
        <cx:series layoutId="clusteredColumn" hidden="1" uniqueId="{2DD79FC1-7D58-471F-9265-21DD8DB067C8}" formatIdx="4">
          <cx:tx>
            <cx:txData>
              <cx:f>_xlchart.v1.15</cx:f>
              <cx:v> Muscle Mass </cx:v>
            </cx:txData>
          </cx:tx>
          <cx:dataId val="4"/>
          <cx:layoutPr>
            <cx:binning intervalClosed="r"/>
          </cx:layoutPr>
        </cx:series>
        <cx:series layoutId="clusteredColumn" hidden="1" uniqueId="{351D2794-6475-4D56-A173-6E525154B3D2}" formatIdx="5">
          <cx:tx>
            <cx:txData>
              <cx:f>_xlchart.v1.17</cx:f>
              <cx:v>Óseo (Kg)</cx:v>
            </cx:txData>
          </cx:tx>
          <cx:dataId val="5"/>
          <cx:layoutPr>
            <cx:binning intervalClosed="r"/>
          </cx:layoutPr>
        </cx:series>
        <cx:series layoutId="clusteredColumn" hidden="1" uniqueId="{2D442F34-1B43-4509-97B2-5EDEE5E8781D}" formatIdx="6">
          <cx:tx>
            <cx:txData>
              <cx:f>_xlchart.v1.19</cx:f>
              <cx:v>Visceral</cx:v>
            </cx:txData>
          </cx:tx>
          <cx:dataId val="6"/>
          <cx:layoutPr>
            <cx:binning intervalClosed="r"/>
          </cx:layoutPr>
        </cx:series>
        <cx:series layoutId="clusteredColumn" hidden="1" uniqueId="{BC9A0D7E-6FC8-4FAA-8BC8-3E474005CCF0}" formatIdx="7">
          <cx:tx>
            <cx:txData>
              <cx:f>_xlchart.v1.21</cx:f>
              <cx:v> TMB </cx:v>
            </cx:txData>
          </cx:tx>
          <cx:dataId val="7"/>
          <cx:layoutPr>
            <cx:binning intervalClosed="r"/>
          </cx:layoutPr>
        </cx:series>
        <cx:series layoutId="clusteredColumn" hidden="1" uniqueId="{55458781-5D65-4F55-893C-A0516BE81148}" formatIdx="8">
          <cx:tx>
            <cx:txData>
              <cx:f>_xlchart.v1.23</cx:f>
              <cx:v>Agua</cx:v>
            </cx:txData>
          </cx:tx>
          <cx:dataId val="8"/>
          <cx:layoutPr>
            <cx:binning intervalClosed="r"/>
          </cx:layoutPr>
        </cx:series>
        <cx:series layoutId="clusteredColumn" hidden="1" uniqueId="{1F343DC4-B394-4861-933A-F045D6CC233D}" formatIdx="9">
          <cx:tx>
            <cx:txData>
              <cx:f>_xlchart.v1.25</cx:f>
              <cx:v> Grasa (Kg) </cx:v>
            </cx:txData>
          </cx:tx>
          <cx:dataId val="9"/>
          <cx:layoutPr>
            <cx:binning intervalClosed="r"/>
          </cx:layoutPr>
        </cx:series>
        <cx:series layoutId="clusteredColumn" hidden="1" uniqueId="{204C26E1-71C7-4800-8F73-BDFC98987028}" formatIdx="10">
          <cx:tx>
            <cx:txData>
              <cx:f>_xlchart.v1.27</cx:f>
              <cx:v> Agua (Kg) </cx:v>
            </cx:txData>
          </cx:tx>
          <cx:dataId val="10"/>
          <cx:layoutPr>
            <cx:binning intervalClosed="r"/>
          </cx:layoutPr>
        </cx:series>
        <cx:series layoutId="clusteredColumn" hidden="1" uniqueId="{3641EDF5-7095-4C3F-9F4D-25E903C3BA78}" formatIdx="11">
          <cx:tx>
            <cx:txData>
              <cx:f>_xlchart.v1.29</cx:f>
              <cx:v>No Muscle</cx:v>
            </cx:txData>
          </cx:tx>
          <cx:dataId val="11"/>
          <cx:layoutPr>
            <cx:binning intervalClosed="r"/>
          </cx:layoutPr>
        </cx:series>
        <cx:series layoutId="clusteredColumn" hidden="1" uniqueId="{1B7B639F-C8A1-4D36-8E30-68439FE0462E}" formatIdx="12">
          <cx:tx>
            <cx:txData>
              <cx:f>_xlchart.v1.31</cx:f>
              <cx:v> Protein </cx:v>
            </cx:txData>
          </cx:tx>
          <cx:dataId val="12"/>
          <cx:layoutPr>
            <cx:binning intervalClosed="r"/>
          </cx:layoutPr>
        </cx:series>
        <cx:series layoutId="clusteredColumn" hidden="1" uniqueId="{62A43B68-4F6A-449A-AFED-E6F9760A6140}" formatIdx="13">
          <cx:tx>
            <cx:txData>
              <cx:f>_xlchart.v1.33</cx:f>
              <cx:v> Visceral2 </cx:v>
            </cx:txData>
          </cx:tx>
          <cx:dataId val="13"/>
          <cx:layoutPr>
            <cx:binning intervalClosed="r"/>
          </cx:layoutPr>
        </cx:series>
        <cx:series layoutId="clusteredColumn" hidden="1" uniqueId="{5A1DD2F4-B3A1-4FA5-A320-9A10C2156318}" formatIdx="14">
          <cx:tx>
            <cx:txData>
              <cx:f>_xlchart.v1.35</cx:f>
              <cx:v>Inc Muscle(+)</cx:v>
            </cx:txData>
          </cx:tx>
          <cx:dataId val="14"/>
          <cx:layoutPr>
            <cx:binning intervalClosed="r"/>
          </cx:layoutPr>
        </cx:series>
        <cx:series layoutId="clusteredColumn" hidden="1" uniqueId="{B3AEB8F3-7C7F-464E-8CEA-B80A1ECE4EA6}" formatIdx="15">
          <cx:tx>
            <cx:txData>
              <cx:f>_xlchart.v1.37</cx:f>
              <cx:v>Dec Fat(-)</cx:v>
            </cx:txData>
          </cx:tx>
          <cx:dataId val="15"/>
          <cx:layoutPr>
            <cx:binning intervalClosed="r"/>
          </cx:layoutPr>
        </cx:series>
        <cx:series layoutId="clusteredColumn" hidden="1" uniqueId="{28C5A19D-A270-4C38-AFEA-94E846BA0771}" formatIdx="16">
          <cx:tx>
            <cx:txData>
              <cx:f>_xlchart.v1.39</cx:f>
              <cx:v>Peso (Diff)</cx:v>
            </cx:txData>
          </cx:tx>
          <cx:dataId val="16"/>
          <cx:layoutPr>
            <cx:binning intervalClosed="r"/>
          </cx:layoutPr>
        </cx:series>
        <cx:series layoutId="clusteredColumn" hidden="1" uniqueId="{658C2B66-BEA0-4C9A-AFC2-503F69B7C1F0}" formatIdx="17">
          <cx:tx>
            <cx:txData>
              <cx:f>_xlchart.v1.41</cx:f>
              <cx:v>%Musculo</cx:v>
            </cx:txData>
          </cx:tx>
          <cx:dataId val="17"/>
          <cx:layoutPr>
            <cx:binning intervalClosed="r"/>
          </cx:layoutPr>
        </cx:series>
        <cx:series layoutId="clusteredColumn" hidden="1" uniqueId="{6A56BD1B-1B7E-4202-B413-99FCB13F0D41}" formatIdx="18">
          <cx:tx>
            <cx:txData>
              <cx:f>_xlchart.v1.43</cx:f>
              <cx:v>AVG%Musculo</cx:v>
            </cx:txData>
          </cx:tx>
          <cx:dataId val="18"/>
          <cx:layoutPr>
            <cx:binning intervalClosed="r"/>
          </cx:layoutPr>
        </cx:series>
        <cx:series layoutId="clusteredColumn" hidden="1" uniqueId="{753CACF6-4E39-43BE-BFF3-0BDEB0E07A78}" formatIdx="19">
          <cx:tx>
            <cx:txData>
              <cx:f>_xlchart.v1.45</cx:f>
              <cx:v> Peso Real </cx:v>
            </cx:txData>
          </cx:tx>
          <cx:dataId val="19"/>
          <cx:layoutPr>
            <cx:binning intervalClosed="r"/>
          </cx:layoutPr>
        </cx:series>
        <cx:series layoutId="clusteredColumn" hidden="1" uniqueId="{296DDE1D-82DC-4664-B564-3AF8BFB4709D}" formatIdx="20">
          <cx:tx>
            <cx:txData>
              <cx:f>_xlchart.v1.47</cx:f>
              <cx:v> Avg Peso </cx:v>
            </cx:txData>
          </cx:tx>
          <cx:dataId val="20"/>
          <cx:layoutPr>
            <cx:binning intervalClosed="r"/>
          </cx:layoutPr>
        </cx:series>
        <cx:series layoutId="clusteredColumn" hidden="1" uniqueId="{6732D613-608B-44C3-8634-9BB364E7716C}" formatIdx="21">
          <cx:tx>
            <cx:txData>
              <cx:f>_xlchart.v1.1</cx:f>
              <cx:v> Avg Grasa </cx:v>
            </cx:txData>
          </cx:tx>
          <cx:dataId val="21"/>
          <cx:layoutPr>
            <cx:binning intervalClosed="r"/>
          </cx:layoutPr>
        </cx:series>
        <cx:series layoutId="clusteredColumn" hidden="1" uniqueId="{CBCCED67-5DA6-4C23-8BF5-0D4B59F94FD1}" formatIdx="22">
          <cx:tx>
            <cx:txData>
              <cx:f>_xlchart.v1.3</cx:f>
              <cx:v> Avg Musculo </cx:v>
            </cx:txData>
          </cx:tx>
          <cx:dataId val="22"/>
          <cx:layoutPr>
            <cx:binning intervalClosed="r"/>
          </cx:layoutPr>
        </cx:series>
        <cx:series layoutId="clusteredColumn" hidden="1" uniqueId="{8C2EAAC1-8493-4152-953B-B2F31DA93F7E}" formatIdx="23">
          <cx:tx>
            <cx:txData>
              <cx:f>_xlchart.v1.5</cx:f>
              <cx:v> Columna3 </cx:v>
            </cx:txData>
          </cx:tx>
          <cx:dataId val="23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043C9BC-8AE6-46C2-87B1-78CCA44A3D94}">
  <sheetPr/>
  <sheetViews>
    <sheetView zoomScale="120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21AD9D0-4AA8-4584-955A-90DCD05FD98C}">
  <sheetPr/>
  <sheetViews>
    <sheetView zoomScale="120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27421F0-50F5-4223-8CE5-C4AAB98FFF47}">
  <sheetPr/>
  <sheetViews>
    <sheetView zoomScale="86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98D8400-58A8-475B-95F6-6C585C3649E3}">
  <sheetPr/>
  <sheetViews>
    <sheetView zoomScale="90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97B3B4D-49CB-44E9-A304-C04AEA9EBD73}">
  <sheetPr/>
  <sheetViews>
    <sheetView zoomScale="120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1F2B8A4-4D4F-4887-8B3E-20869214B406}">
  <sheetPr/>
  <sheetViews>
    <sheetView zoomScale="120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05445D-BB1D-4CE2-9F12-C78D84FBE480}">
  <sheetPr/>
  <sheetViews>
    <sheetView zoomScale="12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microsoft.com/office/2014/relationships/chartEx" Target="../charts/chartEx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2DBF237-B40D-9EAE-14EA-FC76010BE03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D3C5B0E-903E-CA8A-52CD-D900DDEB38A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4628" cy="606941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3802911-1486-9DA5-188B-409AFEF2030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467400E-2C1D-70C4-1B44-0A9966E9224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ED00EF3C-D03E-B3FE-5940-2995D733B4BF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ángulo 1">
          <a:extLst xmlns:a="http://schemas.openxmlformats.org/drawingml/2006/main">
            <a:ext uri="{FF2B5EF4-FFF2-40B4-BE49-F238E27FC236}">
              <a16:creationId xmlns:a16="http://schemas.microsoft.com/office/drawing/2014/main" id="{843FE96F-A2A5-7E3F-FD4E-20B0A7A2893E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296400" cy="6070600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s-ES" sz="1100"/>
            <a:t>Este gráfico no está disponible en su versión de Excel.
Si edita esta forma o guarda el libro en un formato de archivo diferente, el gráfico no se podrá utilizar.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9A56EA-A903-3E4B-F6DA-5943EDD1520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35F0F66-CD6C-B53A-C90D-3F4CD0B9F38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laza Morales, David (Madrid)" refreshedDate="46097.36786273148" createdVersion="8" refreshedVersion="8" minRefreshableVersion="3" recordCount="54" xr:uid="{5A313A4D-F4A8-4873-B32C-7A078B30E34B}">
  <cacheSource type="worksheet">
    <worksheetSource ref="A1:H55" sheet="Tour de Mallorca Datos"/>
  </cacheSource>
  <cacheFields count="8">
    <cacheField name="Video" numFmtId="0">
      <sharedItems count="9">
        <s v="Alaro"/>
        <s v="Cap Formentor"/>
        <s v="Descent to Pollenca"/>
        <s v="Montuiri"/>
        <s v="Porto Cristo "/>
        <s v="Puig de Randa"/>
        <s v="Sa Calobra"/>
        <s v="Sant Salvador"/>
        <s v="Soller to Puig Major"/>
      </sharedItems>
    </cacheField>
    <cacheField name="Fecha " numFmtId="14">
      <sharedItems count="6">
        <s v="2023-1"/>
        <s v="2024-1"/>
        <s v="2024-2"/>
        <s v="2025-1"/>
        <s v="2025-2"/>
        <s v="2026-1"/>
      </sharedItems>
    </cacheField>
    <cacheField name="H" numFmtId="0">
      <sharedItems containsSemiMixedTypes="0" containsString="0" containsNumber="1" containsInteger="1" minValue="0" maxValue="2"/>
    </cacheField>
    <cacheField name="M" numFmtId="0">
      <sharedItems containsSemiMixedTypes="0" containsString="0" containsNumber="1" containsInteger="1" minValue="0" maxValue="58"/>
    </cacheField>
    <cacheField name="S" numFmtId="0">
      <sharedItems containsSemiMixedTypes="0" containsString="0" containsNumber="1" containsInteger="1" minValue="0" maxValue="59"/>
    </cacheField>
    <cacheField name="TOTAL" numFmtId="0">
      <sharedItems containsSemiMixedTypes="0" containsString="0" containsNumber="1" containsInteger="1" minValue="1600" maxValue="8121"/>
    </cacheField>
    <cacheField name="Altitud" numFmtId="0">
      <sharedItems containsSemiMixedTypes="0" containsString="0" containsNumber="1" containsInteger="1" minValue="261" maxValue="1255"/>
    </cacheField>
    <cacheField name="KM" numFmtId="170">
      <sharedItems containsSemiMixedTypes="0" containsString="0" containsNumber="1" minValue="11.25" maxValue="70.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laza Morales, David (Madrid)" refreshedDate="46148.699035069447" createdVersion="8" refreshedVersion="8" minRefreshableVersion="3" recordCount="797" xr:uid="{46A821ED-9559-4DFD-B8D3-725D8F0D02B4}">
  <cacheSource type="worksheet">
    <worksheetSource ref="A1:S798" sheet="Pesos_R"/>
  </cacheSource>
  <cacheFields count="24">
    <cacheField name="PLAN" numFmtId="0">
      <sharedItems containsMixedTypes="1" containsNumber="1" containsInteger="1" minValue="1" maxValue="8" count="18">
        <n v="1"/>
        <n v="2"/>
        <n v="3"/>
        <n v="4"/>
        <n v="5"/>
        <n v="6"/>
        <n v="7"/>
        <n v="8"/>
        <s v="CR"/>
        <s v="CR2"/>
        <s v="CR3"/>
        <s v="CR4"/>
        <s v="PL1"/>
        <s v="PL2"/>
        <s v="PL3"/>
        <s v="PL4"/>
        <s v="PL5"/>
        <s v="RM1"/>
      </sharedItems>
    </cacheField>
    <cacheField name="S" numFmtId="0">
      <sharedItems containsSemiMixedTypes="0" containsString="0" containsNumber="1" containsInteger="1" minValue="1" maxValue="56"/>
    </cacheField>
    <cacheField name="DayOfWeek" numFmtId="0">
      <sharedItems/>
    </cacheField>
    <cacheField name="Date" numFmtId="14">
      <sharedItems containsSemiMixedTypes="0" containsNonDate="0" containsDate="1" containsString="0" minDate="1900-01-08T00:00:00" maxDate="3036-03-04T00:00:00" count="806"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20T00:00:00"/>
        <d v="2023-10-21T00:00:00"/>
        <d v="2023-10-22T00:00:00"/>
        <d v="2023-10-23T00:00:00"/>
        <d v="2023-10-24T00:00:00"/>
        <d v="2023-10-25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11T00:00:00"/>
        <d v="2023-11-12T00:00:00"/>
        <d v="2023-11-13T00:00:00"/>
        <d v="2023-11-14T00:00:00"/>
        <d v="2023-11-15T00:00:00"/>
        <d v="2023-11-16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30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9T00:00:00"/>
        <d v="2024-05-20T00:00:00"/>
        <d v="2024-05-21T00:00:00"/>
        <d v="2024-05-22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5T00:00:00"/>
        <d v="2024-07-06T00:00:00"/>
        <d v="2024-07-07T00:00:00"/>
        <d v="2024-07-08T00:00:00"/>
        <d v="2024-07-09T00:00:00"/>
        <d v="2024-07-10T00:00:00"/>
        <d v="2024-07-14T00:00:00"/>
        <d v="2024-07-15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20T00:00:00"/>
        <d v="2024-08-21T00:00:00"/>
        <d v="2024-08-22T00:00:00"/>
        <d v="2024-08-23T00:00:00"/>
        <d v="2024-08-24T00:00:00"/>
        <d v="2024-08-25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8T00:00:00"/>
        <d v="2024-09-19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22T00:00:00"/>
        <d v="2024-11-23T00:00:00"/>
        <d v="2024-11-24T00:00:00"/>
        <d v="2024-11-30T00:00:00"/>
        <d v="2024-12-01T00:00:00"/>
        <d v="2024-12-02T00:00:00"/>
        <d v="2024-12-03T00:00:00"/>
        <d v="2024-12-04T00:00:00"/>
        <d v="2024-12-09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31T00:00:00"/>
        <d v="2025-01-01T00:00:00"/>
        <d v="2025-01-02T00:00:00"/>
        <d v="2025-01-03T00:00:00"/>
        <d v="2025-01-04T00:00:00"/>
        <d v="2025-01-05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7T00:00:00"/>
        <d v="2025-02-28T00:00:00"/>
        <d v="2025-03-01T00:00:00"/>
        <d v="2025-03-02T00:00:00"/>
        <d v="2025-03-03T00:00:00"/>
        <d v="2025-03-04T00:00:00"/>
        <d v="2025-03-07T00:00:00"/>
        <d v="2025-03-08T00:00:00"/>
        <d v="2025-03-09T00:00:00"/>
        <d v="2025-03-10T00:00:00"/>
        <d v="2025-03-11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11T00:00:00"/>
        <d v="2025-04-12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5-01T00:00:00"/>
        <d v="2025-05-02T00:00:00"/>
        <d v="2025-05-05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21T00:00:00"/>
        <d v="2025-05-22T00:00:00"/>
        <d v="2025-05-23T00:00:00"/>
        <d v="2025-05-24T00:00:00"/>
        <d v="2025-05-25T00:00:00"/>
        <d v="2025-05-26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6T00:00:00"/>
        <d v="2025-07-17T00:00:00"/>
        <d v="2025-07-18T00:00:00"/>
        <d v="2025-07-19T00:00:00"/>
        <d v="2025-07-20T00:00:00"/>
        <d v="2025-07-24T00:00:00"/>
        <d v="2025-07-25T00:00:00"/>
        <d v="2025-07-26T00:00:00"/>
        <d v="2025-08-02T00:00:00"/>
        <d v="2025-08-03T00:00:00"/>
        <d v="2025-08-04T00:00:00"/>
        <d v="2025-08-11T00:00:00"/>
        <d v="2025-08-12T00:00:00"/>
        <d v="2025-08-13T00:00:00"/>
        <d v="2025-08-17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1T00:00:00"/>
        <d v="2025-09-12T00:00:00"/>
        <d v="2025-09-13T00:00:00"/>
        <d v="2025-09-14T00:00:00"/>
        <d v="2025-09-17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31T00:00:00"/>
        <d v="2026-01-02T00:00:00"/>
        <d v="2026-01-03T00:00:00"/>
        <d v="2026-01-04T00:00:00"/>
        <d v="2026-01-05T00:00:00"/>
        <d v="2026-01-07T00:00:00"/>
        <d v="2026-01-08T00:00:00"/>
        <d v="2026-01-09T00:00:00"/>
        <d v="2026-01-10T00:00:00"/>
        <d v="2026-01-11T00:00:00"/>
        <d v="2026-01-12T00:00:00"/>
        <d v="2026-01-17T00:00:00"/>
        <d v="2026-01-18T00:00:00"/>
        <d v="2026-01-19T00:00:00"/>
        <d v="2026-01-20T00:00:00"/>
        <d v="2026-01-22T00:00:00"/>
        <d v="2026-01-23T00:00:00"/>
        <d v="2026-01-24T00:00:00"/>
        <d v="2026-01-25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6T00:00:00"/>
        <d v="2026-02-27T00:00:00"/>
        <d v="2026-02-28T00:00:00"/>
        <d v="2026-03-01T00:00:00"/>
        <d v="2026-03-02T00:00:00"/>
        <d v="2026-03-03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5T00:00:00"/>
        <d v="2026-03-16T00:00:00"/>
        <d v="2026-03-20T00:00:00"/>
        <d v="2026-03-21T00:00:00"/>
        <d v="2026-03-22T00:00:00"/>
        <d v="2026-03-2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5T00:00:00"/>
        <d v="2026-05-06T00:00:00"/>
        <d v="2026-05-16T00:00:00" u="1"/>
        <d v="2026-06-17T00:00:00" u="1"/>
        <d v="3036-03-03T00:00:00" u="1"/>
        <d v="3036-03-02T00:00:00" u="1"/>
        <d v="1900-01-08T00:00:00" u="1"/>
        <d v="2035-03-28T00:00:00" u="1"/>
        <d v="3035-03-03T00:00:00" u="1"/>
        <d v="2025-02-04T00:00:00" u="1"/>
        <d v="2025-02-05T00:00:00" u="1"/>
      </sharedItems>
      <fieldGroup par="23"/>
    </cacheField>
    <cacheField name="Peso (Kg)" numFmtId="43">
      <sharedItems containsSemiMixedTypes="0" containsString="0" containsNumber="1" minValue="80.900000000000006" maxValue="94.35"/>
    </cacheField>
    <cacheField name="IMC" numFmtId="165">
      <sharedItems containsSemiMixedTypes="0" containsString="0" containsNumber="1" minValue="22.889316432775015" maxValue="26.694771389769127"/>
    </cacheField>
    <cacheField name="Grasa" numFmtId="164">
      <sharedItems containsSemiMixedTypes="0" containsString="0" containsNumber="1" minValue="0.106" maxValue="0.19700000000000001"/>
    </cacheField>
    <cacheField name="FFM" numFmtId="43">
      <sharedItems containsSemiMixedTypes="0" containsString="0" containsNumber="1" minValue="69.849599999999995" maxValue="76.368600000000001"/>
    </cacheField>
    <cacheField name="Muscle Mass" numFmtId="43">
      <sharedItems containsSemiMixedTypes="0" containsString="0" containsNumber="1" minValue="20.466799999999999" maxValue="24.9682"/>
    </cacheField>
    <cacheField name="Óseo (Kg)" numFmtId="0">
      <sharedItems containsSemiMixedTypes="0" containsString="0" containsNumber="1" minValue="3.5" maxValue="3.8"/>
    </cacheField>
    <cacheField name="Visceral" numFmtId="164">
      <sharedItems containsSemiMixedTypes="0" containsString="0" containsNumber="1" minValue="5.5E-2" maxValue="8.5000000000000006E-2"/>
    </cacheField>
    <cacheField name="TMB" numFmtId="168">
      <sharedItems containsSemiMixedTypes="0" containsString="0" containsNumber="1" containsInteger="1" minValue="2003" maxValue="2223"/>
    </cacheField>
    <cacheField name="Agua" numFmtId="164">
      <sharedItems containsSemiMixedTypes="0" containsString="0" containsNumber="1" minValue="0.50800000000000001" maxValue="0.57199999999999995"/>
    </cacheField>
    <cacheField name="Grasa (Kg)" numFmtId="43">
      <sharedItems containsSemiMixedTypes="0" containsString="0" containsNumber="1" minValue="8.5754000000000001" maxValue="18.567250000000001"/>
    </cacheField>
    <cacheField name="Agua (Kg)" numFmtId="165">
      <sharedItems containsSemiMixedTypes="0" containsString="0" containsNumber="1" minValue="44.5214" maxValue="49.198500000000003"/>
    </cacheField>
    <cacheField name="Avg Agua)" numFmtId="165">
      <sharedItems containsString="0" containsBlank="1" containsNumber="1" minValue="45.222485714285718" maxValue="48.53519285714286"/>
    </cacheField>
    <cacheField name="No Muscle" numFmtId="165">
      <sharedItems containsSemiMixedTypes="0" containsString="0" containsNumber="1" minValue="57.560300000000012" maxValue="71.46575"/>
    </cacheField>
    <cacheField name="Protein" numFmtId="43">
      <sharedItems containsSemiMixedTypes="0" containsString="0" containsNumber="1" minValue="20.466799999999999" maxValue="24.9682"/>
    </cacheField>
    <cacheField name="Visceral2" numFmtId="43">
      <sharedItems containsSemiMixedTypes="0" containsString="0" containsNumber="1" minValue="4.4495000000000005" maxValue="8.0197500000000002"/>
    </cacheField>
    <cacheField name="Real_Fat" numFmtId="0" formula="Grasa/'Peso (Kg)'" databaseField="0"/>
    <cacheField name="Campo1" numFmtId="0" formula="FFM/'Peso (Kg)'" databaseField="0"/>
    <cacheField name="Meses (Date)" numFmtId="0" databaseField="0">
      <fieldGroup base="3">
        <rangePr groupBy="months" startDate="2023-07-03T00:00:00" endDate="2026-05-07T00:00:00"/>
        <groupItems count="14">
          <s v="&lt;03/07/2023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7/05/2026"/>
        </groupItems>
      </fieldGroup>
    </cacheField>
    <cacheField name="Trimestres (Date)" numFmtId="0" databaseField="0">
      <fieldGroup base="3">
        <rangePr groupBy="quarters" startDate="2023-07-03T00:00:00" endDate="2026-05-07T00:00:00"/>
        <groupItems count="6">
          <s v="&lt;03/07/2023"/>
          <s v="Trim.1"/>
          <s v="Trim.2"/>
          <s v="Trim.3"/>
          <s v="Trim.4"/>
          <s v="&gt;07/05/2026"/>
        </groupItems>
      </fieldGroup>
    </cacheField>
    <cacheField name="Años (Date)" numFmtId="0" databaseField="0">
      <fieldGroup base="3">
        <rangePr groupBy="years" startDate="2023-07-03T00:00:00" endDate="2026-05-07T00:00:00"/>
        <groupItems count="6">
          <s v="&lt;03/07/2023"/>
          <s v="2023"/>
          <s v="2024"/>
          <s v="2025"/>
          <s v="2026"/>
          <s v="&gt;07/0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x v="0"/>
    <x v="0"/>
    <n v="1"/>
    <n v="25"/>
    <n v="23"/>
    <n v="5123"/>
    <n v="387"/>
    <n v="42.9"/>
  </r>
  <r>
    <x v="0"/>
    <x v="1"/>
    <n v="1"/>
    <n v="20"/>
    <n v="23"/>
    <n v="4823"/>
    <n v="387"/>
    <n v="42.9"/>
  </r>
  <r>
    <x v="0"/>
    <x v="2"/>
    <n v="1"/>
    <n v="21"/>
    <n v="9"/>
    <n v="4869"/>
    <n v="387"/>
    <n v="42.9"/>
  </r>
  <r>
    <x v="0"/>
    <x v="3"/>
    <n v="1"/>
    <n v="22"/>
    <n v="0"/>
    <n v="4920"/>
    <n v="387"/>
    <n v="42.9"/>
  </r>
  <r>
    <x v="0"/>
    <x v="4"/>
    <n v="1"/>
    <n v="23"/>
    <n v="46"/>
    <n v="5026"/>
    <n v="387"/>
    <n v="42.9"/>
  </r>
  <r>
    <x v="0"/>
    <x v="5"/>
    <n v="1"/>
    <n v="24"/>
    <n v="6"/>
    <n v="5046"/>
    <n v="387"/>
    <n v="42.9"/>
  </r>
  <r>
    <x v="1"/>
    <x v="0"/>
    <n v="0"/>
    <n v="58"/>
    <n v="25"/>
    <n v="3505"/>
    <n v="501"/>
    <n v="25.3"/>
  </r>
  <r>
    <x v="1"/>
    <x v="1"/>
    <n v="0"/>
    <n v="53"/>
    <n v="54"/>
    <n v="3234"/>
    <n v="501"/>
    <n v="25.3"/>
  </r>
  <r>
    <x v="1"/>
    <x v="2"/>
    <n v="0"/>
    <n v="57"/>
    <n v="0"/>
    <n v="3420"/>
    <n v="501"/>
    <n v="25.3"/>
  </r>
  <r>
    <x v="1"/>
    <x v="3"/>
    <n v="0"/>
    <n v="57"/>
    <n v="28"/>
    <n v="3448"/>
    <n v="501"/>
    <n v="25.3"/>
  </r>
  <r>
    <x v="1"/>
    <x v="4"/>
    <n v="0"/>
    <n v="57"/>
    <n v="42"/>
    <n v="3462"/>
    <n v="501"/>
    <n v="25.3"/>
  </r>
  <r>
    <x v="1"/>
    <x v="5"/>
    <n v="1"/>
    <n v="0"/>
    <n v="13"/>
    <n v="3613"/>
    <n v="501"/>
    <n v="25.3"/>
  </r>
  <r>
    <x v="2"/>
    <x v="0"/>
    <n v="0"/>
    <n v="49"/>
    <n v="52"/>
    <n v="2992"/>
    <n v="261"/>
    <n v="29.1"/>
  </r>
  <r>
    <x v="2"/>
    <x v="1"/>
    <n v="0"/>
    <n v="47"/>
    <n v="27"/>
    <n v="2847"/>
    <n v="261"/>
    <n v="29.1"/>
  </r>
  <r>
    <x v="2"/>
    <x v="2"/>
    <n v="0"/>
    <n v="48"/>
    <n v="47"/>
    <n v="2927"/>
    <n v="261"/>
    <n v="29.1"/>
  </r>
  <r>
    <x v="2"/>
    <x v="3"/>
    <n v="0"/>
    <n v="48"/>
    <n v="51"/>
    <n v="2931"/>
    <n v="261"/>
    <n v="29.1"/>
  </r>
  <r>
    <x v="2"/>
    <x v="4"/>
    <n v="0"/>
    <n v="50"/>
    <n v="7"/>
    <n v="3007"/>
    <n v="261"/>
    <n v="29.1"/>
  </r>
  <r>
    <x v="2"/>
    <x v="5"/>
    <n v="0"/>
    <n v="49"/>
    <n v="22"/>
    <n v="2962"/>
    <n v="261"/>
    <n v="29.1"/>
  </r>
  <r>
    <x v="3"/>
    <x v="0"/>
    <n v="1"/>
    <n v="45"/>
    <n v="37"/>
    <n v="6337"/>
    <n v="482"/>
    <n v="53.1"/>
  </r>
  <r>
    <x v="3"/>
    <x v="1"/>
    <n v="1"/>
    <n v="41"/>
    <n v="39"/>
    <n v="6099"/>
    <n v="482"/>
    <n v="53.1"/>
  </r>
  <r>
    <x v="3"/>
    <x v="2"/>
    <n v="1"/>
    <n v="38"/>
    <n v="16"/>
    <n v="5896"/>
    <n v="482"/>
    <n v="53.1"/>
  </r>
  <r>
    <x v="3"/>
    <x v="3"/>
    <n v="1"/>
    <n v="44"/>
    <n v="21"/>
    <n v="6261"/>
    <n v="482"/>
    <n v="53.1"/>
  </r>
  <r>
    <x v="3"/>
    <x v="4"/>
    <n v="1"/>
    <n v="46"/>
    <n v="48"/>
    <n v="6408"/>
    <n v="482"/>
    <n v="53.1"/>
  </r>
  <r>
    <x v="3"/>
    <x v="5"/>
    <n v="1"/>
    <n v="44"/>
    <n v="15"/>
    <n v="6255"/>
    <n v="482"/>
    <n v="53.1"/>
  </r>
  <r>
    <x v="4"/>
    <x v="0"/>
    <n v="2"/>
    <n v="14"/>
    <n v="42"/>
    <n v="8082"/>
    <n v="627"/>
    <n v="70.52"/>
  </r>
  <r>
    <x v="4"/>
    <x v="1"/>
    <n v="2"/>
    <n v="13"/>
    <n v="11"/>
    <n v="7991"/>
    <n v="627"/>
    <n v="70.5"/>
  </r>
  <r>
    <x v="4"/>
    <x v="2"/>
    <n v="2"/>
    <n v="8"/>
    <n v="13"/>
    <n v="7693"/>
    <n v="627"/>
    <n v="70.5"/>
  </r>
  <r>
    <x v="4"/>
    <x v="3"/>
    <n v="2"/>
    <n v="15"/>
    <n v="21"/>
    <n v="8121"/>
    <n v="627"/>
    <n v="70.52"/>
  </r>
  <r>
    <x v="4"/>
    <x v="4"/>
    <n v="2"/>
    <n v="12"/>
    <n v="57"/>
    <n v="7977"/>
    <n v="627"/>
    <n v="70.52"/>
  </r>
  <r>
    <x v="4"/>
    <x v="5"/>
    <n v="2"/>
    <n v="14"/>
    <n v="25"/>
    <n v="8065"/>
    <n v="627"/>
    <n v="70.52"/>
  </r>
  <r>
    <x v="5"/>
    <x v="0"/>
    <n v="0"/>
    <n v="38"/>
    <n v="46"/>
    <n v="2326"/>
    <n v="417"/>
    <n v="11.4"/>
  </r>
  <r>
    <x v="5"/>
    <x v="1"/>
    <n v="0"/>
    <n v="31"/>
    <n v="57"/>
    <n v="1917"/>
    <n v="417"/>
    <n v="11.4"/>
  </r>
  <r>
    <x v="5"/>
    <x v="2"/>
    <n v="0"/>
    <n v="31"/>
    <n v="8"/>
    <n v="1868"/>
    <n v="417"/>
    <n v="11.4"/>
  </r>
  <r>
    <x v="5"/>
    <x v="3"/>
    <n v="0"/>
    <n v="34"/>
    <n v="44"/>
    <n v="2084"/>
    <n v="417"/>
    <n v="11.4"/>
  </r>
  <r>
    <x v="5"/>
    <x v="4"/>
    <n v="0"/>
    <n v="36"/>
    <n v="13"/>
    <n v="2173"/>
    <n v="417"/>
    <n v="11.4"/>
  </r>
  <r>
    <x v="5"/>
    <x v="5"/>
    <n v="0"/>
    <n v="36"/>
    <n v="7"/>
    <n v="2167"/>
    <n v="417"/>
    <n v="11.4"/>
  </r>
  <r>
    <x v="6"/>
    <x v="0"/>
    <n v="1"/>
    <n v="17"/>
    <n v="39"/>
    <n v="4659"/>
    <n v="836"/>
    <n v="29.94"/>
  </r>
  <r>
    <x v="6"/>
    <x v="1"/>
    <n v="1"/>
    <n v="5"/>
    <n v="0"/>
    <n v="3900"/>
    <n v="836"/>
    <n v="29.9"/>
  </r>
  <r>
    <x v="6"/>
    <x v="2"/>
    <n v="1"/>
    <n v="15"/>
    <n v="42"/>
    <n v="4542"/>
    <n v="836"/>
    <n v="29.9"/>
  </r>
  <r>
    <x v="6"/>
    <x v="3"/>
    <n v="1"/>
    <n v="15"/>
    <n v="10"/>
    <n v="4510"/>
    <n v="836"/>
    <n v="29.9"/>
  </r>
  <r>
    <x v="6"/>
    <x v="4"/>
    <n v="1"/>
    <n v="15"/>
    <n v="3"/>
    <n v="4503"/>
    <n v="836"/>
    <n v="29.9"/>
  </r>
  <r>
    <x v="6"/>
    <x v="5"/>
    <n v="1"/>
    <n v="16"/>
    <n v="31"/>
    <n v="4591"/>
    <n v="836"/>
    <n v="29.94"/>
  </r>
  <r>
    <x v="7"/>
    <x v="0"/>
    <n v="0"/>
    <n v="31"/>
    <n v="55"/>
    <n v="1915"/>
    <n v="349"/>
    <n v="11.25"/>
  </r>
  <r>
    <x v="7"/>
    <x v="1"/>
    <n v="0"/>
    <n v="27"/>
    <n v="56"/>
    <n v="1676"/>
    <n v="349"/>
    <n v="11.3"/>
  </r>
  <r>
    <x v="7"/>
    <x v="2"/>
    <n v="0"/>
    <n v="26"/>
    <n v="40"/>
    <n v="1600"/>
    <n v="349"/>
    <n v="11.3"/>
  </r>
  <r>
    <x v="7"/>
    <x v="3"/>
    <n v="0"/>
    <n v="29"/>
    <n v="55"/>
    <n v="1795"/>
    <n v="349"/>
    <n v="11.3"/>
  </r>
  <r>
    <x v="7"/>
    <x v="4"/>
    <n v="0"/>
    <n v="29"/>
    <n v="30"/>
    <n v="1770"/>
    <n v="349"/>
    <n v="11.25"/>
  </r>
  <r>
    <x v="7"/>
    <x v="5"/>
    <n v="0"/>
    <n v="28"/>
    <n v="2"/>
    <n v="1682"/>
    <n v="349"/>
    <n v="11.25"/>
  </r>
  <r>
    <x v="8"/>
    <x v="0"/>
    <n v="2"/>
    <n v="1"/>
    <n v="51"/>
    <n v="7311"/>
    <n v="1255"/>
    <n v="39"/>
  </r>
  <r>
    <x v="8"/>
    <x v="1"/>
    <n v="1"/>
    <n v="38"/>
    <n v="59"/>
    <n v="5939"/>
    <n v="1255"/>
    <n v="39"/>
  </r>
  <r>
    <x v="8"/>
    <x v="2"/>
    <n v="1"/>
    <n v="50"/>
    <n v="53"/>
    <n v="6653"/>
    <n v="1255"/>
    <n v="39"/>
  </r>
  <r>
    <x v="8"/>
    <x v="3"/>
    <n v="1"/>
    <n v="53"/>
    <n v="24"/>
    <n v="6804"/>
    <n v="1255"/>
    <n v="39"/>
  </r>
  <r>
    <x v="8"/>
    <x v="4"/>
    <n v="1"/>
    <n v="50"/>
    <n v="38"/>
    <n v="6638"/>
    <n v="1255"/>
    <n v="39"/>
  </r>
  <r>
    <x v="8"/>
    <x v="5"/>
    <n v="1"/>
    <n v="57"/>
    <n v="16"/>
    <n v="7036"/>
    <n v="1255"/>
    <n v="3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7">
  <r>
    <x v="0"/>
    <n v="1"/>
    <s v="Lunes "/>
    <x v="0"/>
    <n v="93.95"/>
    <n v="26.581598008148486"/>
    <n v="0.189"/>
    <n v="76.193449999999999"/>
    <n v="24.015249999999998"/>
    <n v="3.7"/>
    <n v="8.5000000000000006E-2"/>
    <n v="2218"/>
    <n v="0.51600000000000001"/>
    <n v="17.756550000000001"/>
    <n v="48.478200000000001"/>
    <m/>
    <n v="69.934750000000008"/>
    <n v="24.015249999999998"/>
    <n v="7.9857500000000012"/>
  </r>
  <r>
    <x v="0"/>
    <n v="1"/>
    <s v="Martes"/>
    <x v="1"/>
    <n v="94"/>
    <n v="26.595744680851066"/>
    <n v="0.189"/>
    <n v="76.233999999999995"/>
    <n v="24.02999999999999"/>
    <n v="3.7"/>
    <n v="8.5000000000000006E-2"/>
    <n v="2218"/>
    <n v="0.51600000000000001"/>
    <n v="17.766000000000002"/>
    <n v="48.504000000000005"/>
    <m/>
    <n v="69.970000000000013"/>
    <n v="24.02999999999999"/>
    <n v="7.99"/>
  </r>
  <r>
    <x v="0"/>
    <n v="1"/>
    <s v="Miercoles"/>
    <x v="2"/>
    <n v="92.7"/>
    <n v="26.227931190583977"/>
    <n v="0.18099999999999999"/>
    <n v="75.921300000000002"/>
    <n v="24.851600000000001"/>
    <n v="3.7"/>
    <n v="0.08"/>
    <n v="2207"/>
    <n v="0.51100000000000001"/>
    <n v="16.778700000000001"/>
    <n v="47.369700000000002"/>
    <m/>
    <n v="67.848399999999998"/>
    <n v="24.851600000000001"/>
    <n v="7.4160000000000004"/>
  </r>
  <r>
    <x v="0"/>
    <n v="1"/>
    <s v="Jueves"/>
    <x v="3"/>
    <n v="93.2"/>
    <n v="26.369397917609781"/>
    <n v="0.189"/>
    <n v="75.5852"/>
    <n v="24.26"/>
    <n v="3.7"/>
    <n v="8.5000000000000006E-2"/>
    <n v="2200"/>
    <n v="0.51100000000000001"/>
    <n v="17.614799999999999"/>
    <n v="47.6252"/>
    <m/>
    <n v="68.94"/>
    <n v="24.26"/>
    <n v="7.9220000000000006"/>
  </r>
  <r>
    <x v="0"/>
    <n v="1"/>
    <s v="Viernes"/>
    <x v="4"/>
    <n v="93.05"/>
    <n v="26.326957899502037"/>
    <n v="0.189"/>
    <n v="75.463549999999998"/>
    <n v="23.749749999999995"/>
    <n v="3.7"/>
    <n v="8.5000000000000006E-2"/>
    <n v="2196"/>
    <n v="0.51600000000000001"/>
    <n v="17.586449999999999"/>
    <n v="48.013800000000003"/>
    <m/>
    <n v="69.300250000000005"/>
    <n v="23.749749999999995"/>
    <n v="7.9092500000000001"/>
  </r>
  <r>
    <x v="0"/>
    <n v="1"/>
    <s v="Sábado"/>
    <x v="5"/>
    <n v="93.45"/>
    <n v="26.440131281122682"/>
    <n v="0.19"/>
    <n v="75.694500000000005"/>
    <n v="23.680850000000003"/>
    <n v="3.7"/>
    <n v="8.5000000000000006E-2"/>
    <n v="2204"/>
    <n v="0.51700000000000002"/>
    <n v="17.755500000000001"/>
    <n v="48.313650000000003"/>
    <m/>
    <n v="69.769149999999996"/>
    <n v="23.680850000000003"/>
    <n v="7.9432500000000008"/>
  </r>
  <r>
    <x v="0"/>
    <n v="1"/>
    <s v="Domingo"/>
    <x v="6"/>
    <n v="93.75"/>
    <n v="26.525011317338162"/>
    <n v="0.192"/>
    <n v="75.75"/>
    <n v="23.862500000000001"/>
    <n v="3.7"/>
    <n v="8.5000000000000006E-2"/>
    <n v="2206"/>
    <n v="0.51400000000000001"/>
    <n v="18"/>
    <n v="48.1875"/>
    <n v="48.07029285714286"/>
    <n v="69.887500000000003"/>
    <n v="23.862500000000001"/>
    <n v="7.9687500000000009"/>
  </r>
  <r>
    <x v="0"/>
    <n v="2"/>
    <s v="Lunes "/>
    <x v="7"/>
    <n v="93.85"/>
    <n v="26.553304662743322"/>
    <n v="0.191"/>
    <n v="75.92465"/>
    <n v="23.516500000000004"/>
    <n v="3.7"/>
    <n v="8.5000000000000006E-2"/>
    <n v="2211"/>
    <n v="0.51900000000000002"/>
    <n v="17.925349999999998"/>
    <n v="48.708149999999996"/>
    <n v="48.103142857142863"/>
    <n v="70.333499999999987"/>
    <n v="23.516500000000004"/>
    <n v="7.9772499999999997"/>
  </r>
  <r>
    <x v="0"/>
    <n v="2"/>
    <s v="Martes"/>
    <x v="8"/>
    <n v="93.6"/>
    <n v="26.482571299230422"/>
    <n v="0.191"/>
    <n v="75.722399999999993"/>
    <n v="24.099199999999993"/>
    <n v="3.7"/>
    <n v="8.5000000000000006E-2"/>
    <n v="2205"/>
    <n v="0.51200000000000001"/>
    <n v="17.877599999999997"/>
    <n v="47.923200000000001"/>
    <n v="48.02017142857143"/>
    <n v="69.500799999999998"/>
    <n v="24.099199999999993"/>
    <n v="7.9560000000000004"/>
  </r>
  <r>
    <x v="0"/>
    <n v="2"/>
    <s v="Miercoles"/>
    <x v="9"/>
    <n v="93.65"/>
    <n v="26.496717971933005"/>
    <n v="0.189"/>
    <n v="75.950150000000008"/>
    <n v="24.207700000000006"/>
    <n v="3.7"/>
    <n v="8.5000000000000006E-2"/>
    <n v="2210"/>
    <n v="0.51300000000000001"/>
    <n v="17.699850000000001"/>
    <n v="48.042450000000002"/>
    <n v="48.116278571428566"/>
    <n v="69.442300000000003"/>
    <n v="24.207700000000006"/>
    <n v="7.9602500000000012"/>
  </r>
  <r>
    <x v="0"/>
    <n v="2"/>
    <s v="Jueves"/>
    <x v="10"/>
    <n v="94.35"/>
    <n v="26.694771389769127"/>
    <n v="0.193"/>
    <n v="76.140449999999987"/>
    <n v="24.510649999999988"/>
    <n v="3.7"/>
    <n v="8.5000000000000006E-2"/>
    <n v="2219"/>
    <n v="0.50800000000000001"/>
    <n v="18.20955"/>
    <n v="47.9298"/>
    <n v="48.159792857142861"/>
    <n v="69.83935000000001"/>
    <n v="24.510649999999988"/>
    <n v="8.0197500000000002"/>
  </r>
  <r>
    <x v="0"/>
    <n v="2"/>
    <s v="Viernes"/>
    <x v="11"/>
    <n v="94.1"/>
    <n v="26.624038026256226"/>
    <n v="0.193"/>
    <n v="75.938699999999997"/>
    <n v="23.6831"/>
    <n v="3.7"/>
    <n v="8.5000000000000006E-2"/>
    <n v="2212"/>
    <n v="0.51600000000000001"/>
    <n v="18.161300000000001"/>
    <n v="48.555599999999998"/>
    <n v="48.237192857142858"/>
    <n v="70.416899999999998"/>
    <n v="23.6831"/>
    <n v="7.9984999999999999"/>
  </r>
  <r>
    <x v="0"/>
    <n v="2"/>
    <s v="Sábado"/>
    <x v="12"/>
    <n v="94.2"/>
    <n v="26.652331371661386"/>
    <n v="0.19400000000000001"/>
    <n v="75.925200000000004"/>
    <n v="23.900600000000001"/>
    <n v="3.7"/>
    <n v="8.5000000000000006E-2"/>
    <n v="2212"/>
    <n v="0.51300000000000001"/>
    <n v="18.274800000000003"/>
    <n v="48.324600000000004"/>
    <n v="48.238757142857139"/>
    <n v="70.299400000000006"/>
    <n v="23.900600000000001"/>
    <n v="8.0070000000000014"/>
  </r>
  <r>
    <x v="0"/>
    <n v="2"/>
    <s v="Domingo"/>
    <x v="13"/>
    <n v="93.3"/>
    <n v="26.397691263014941"/>
    <n v="0.184"/>
    <n v="76.132800000000003"/>
    <n v="24.290000000000003"/>
    <n v="3.7"/>
    <n v="0.08"/>
    <n v="2215"/>
    <n v="0.51600000000000001"/>
    <n v="17.167199999999998"/>
    <n v="48.142800000000001"/>
    <n v="48.232371428571426"/>
    <n v="69.009999999999991"/>
    <n v="24.290000000000003"/>
    <n v="7.4639999999999995"/>
  </r>
  <r>
    <x v="0"/>
    <n v="3"/>
    <s v="Lunes "/>
    <x v="14"/>
    <n v="93.75"/>
    <n v="26.525011317338162"/>
    <n v="0.191"/>
    <n v="75.84375"/>
    <n v="23.862500000000001"/>
    <n v="3.7"/>
    <n v="8.5000000000000006E-2"/>
    <n v="2208"/>
    <n v="0.51500000000000001"/>
    <n v="17.90625"/>
    <n v="48.28125"/>
    <n v="48.171385714285712"/>
    <n v="69.887500000000003"/>
    <n v="23.862500000000001"/>
    <n v="7.9687500000000009"/>
  </r>
  <r>
    <x v="0"/>
    <n v="3"/>
    <s v="Martes"/>
    <x v="15"/>
    <n v="93.45"/>
    <n v="26.440131281122682"/>
    <n v="0.186"/>
    <n v="76.068299999999994"/>
    <n v="24.33499999999999"/>
    <n v="3.7"/>
    <n v="8.5000000000000006E-2"/>
    <n v="2213"/>
    <n v="0.51400000000000001"/>
    <n v="17.381700000000002"/>
    <n v="48.033300000000004"/>
    <n v="48.187114285714287"/>
    <n v="69.115000000000009"/>
    <n v="24.33499999999999"/>
    <n v="7.9432500000000008"/>
  </r>
  <r>
    <x v="0"/>
    <n v="3"/>
    <s v="Miercoles"/>
    <x v="16"/>
    <n v="93.75"/>
    <n v="26.525011317338162"/>
    <n v="0.192"/>
    <n v="75.75"/>
    <n v="23.675000000000001"/>
    <n v="3.7"/>
    <n v="8.5000000000000006E-2"/>
    <n v="2207"/>
    <n v="0.51600000000000001"/>
    <n v="18"/>
    <n v="48.375"/>
    <n v="48.23462142857143"/>
    <n v="70.075000000000003"/>
    <n v="23.675000000000001"/>
    <n v="7.9687500000000009"/>
  </r>
  <r>
    <x v="0"/>
    <n v="4"/>
    <s v="Jueves"/>
    <x v="17"/>
    <n v="94"/>
    <n v="26.595744680851066"/>
    <n v="0.192"/>
    <n v="75.951999999999998"/>
    <n v="23.56"/>
    <n v="3.7"/>
    <n v="8.5000000000000006E-2"/>
    <n v="2211"/>
    <n v="0.51800000000000002"/>
    <n v="18.048000000000002"/>
    <n v="48.692"/>
    <n v="48.343507142857142"/>
    <n v="70.44"/>
    <n v="23.56"/>
    <n v="7.99"/>
  </r>
  <r>
    <x v="0"/>
    <n v="4"/>
    <s v="Viernes"/>
    <x v="18"/>
    <n v="94"/>
    <n v="26.595744680851066"/>
    <n v="0.189"/>
    <n v="76.233999999999995"/>
    <n v="24.02999999999999"/>
    <n v="3.7"/>
    <n v="8.5000000000000006E-2"/>
    <n v="2220"/>
    <n v="0.51600000000000001"/>
    <n v="17.766000000000002"/>
    <n v="48.504000000000005"/>
    <n v="48.336135714285717"/>
    <n v="69.970000000000013"/>
    <n v="24.02999999999999"/>
    <n v="7.99"/>
  </r>
  <r>
    <x v="0"/>
    <n v="4"/>
    <s v="Sábado"/>
    <x v="19"/>
    <n v="93.3"/>
    <n v="26.397691263014941"/>
    <n v="0.186"/>
    <n v="75.946200000000005"/>
    <n v="24.663200000000007"/>
    <n v="3.7"/>
    <n v="8.5000000000000006E-2"/>
    <n v="2210"/>
    <n v="0.51"/>
    <n v="17.3538"/>
    <n v="47.582999999999998"/>
    <n v="48.23019285714286"/>
    <n v="68.636799999999994"/>
    <n v="24.663200000000007"/>
    <n v="7.9305000000000003"/>
  </r>
  <r>
    <x v="0"/>
    <n v="4"/>
    <s v="Domingo"/>
    <x v="20"/>
    <n v="92.95"/>
    <n v="26.298664554096877"/>
    <n v="0.182"/>
    <n v="76.033100000000005"/>
    <n v="24.277950000000001"/>
    <n v="3.7"/>
    <n v="0.08"/>
    <n v="2210"/>
    <n v="0.51700000000000002"/>
    <n v="16.916900000000002"/>
    <n v="48.055150000000005"/>
    <n v="48.217671428571443"/>
    <n v="68.672049999999999"/>
    <n v="24.277950000000001"/>
    <n v="7.4359999999999999"/>
  </r>
  <r>
    <x v="0"/>
    <n v="5"/>
    <s v="Lunes "/>
    <x v="21"/>
    <n v="93.25"/>
    <n v="26.383544590312361"/>
    <n v="0.188"/>
    <n v="75.718999999999994"/>
    <n v="23.715499999999995"/>
    <n v="3.7"/>
    <n v="8.5000000000000006E-2"/>
    <n v="2203"/>
    <n v="0.51800000000000002"/>
    <n v="17.530999999999999"/>
    <n v="48.3035"/>
    <n v="48.220849999999999"/>
    <n v="69.534500000000008"/>
    <n v="23.715499999999995"/>
    <n v="7.9262500000000005"/>
  </r>
  <r>
    <x v="1"/>
    <n v="5"/>
    <s v="Martes"/>
    <x v="22"/>
    <n v="94.25"/>
    <n v="26.666478044363966"/>
    <n v="0.19700000000000001"/>
    <n v="75.682749999999999"/>
    <n v="22.784249999999997"/>
    <n v="3.7"/>
    <n v="8.5000000000000006E-2"/>
    <n v="2204"/>
    <n v="0.52200000000000002"/>
    <n v="18.567250000000001"/>
    <n v="49.198500000000003"/>
    <n v="48.387307142857146"/>
    <n v="71.46575"/>
    <n v="22.784249999999997"/>
    <n v="8.0112500000000004"/>
  </r>
  <r>
    <x v="1"/>
    <n v="5"/>
    <s v="Miercoles"/>
    <x v="23"/>
    <n v="93.2"/>
    <n v="26.369397917609781"/>
    <n v="0.185"/>
    <n v="75.957999999999998"/>
    <n v="23.887199999999996"/>
    <n v="3.7"/>
    <n v="0.08"/>
    <n v="2210"/>
    <n v="0.51900000000000002"/>
    <n v="17.242000000000001"/>
    <n v="48.370800000000003"/>
    <n v="48.386707142857141"/>
    <n v="69.31280000000001"/>
    <n v="23.887199999999996"/>
    <n v="7.4560000000000004"/>
  </r>
  <r>
    <x v="1"/>
    <n v="5"/>
    <s v="Jueves"/>
    <x v="24"/>
    <n v="93.35"/>
    <n v="26.411837935717518"/>
    <n v="0.19600000000000001"/>
    <n v="75.053399999999996"/>
    <n v="23.27815"/>
    <n v="3.7"/>
    <n v="8.5000000000000006E-2"/>
    <n v="2186"/>
    <n v="0.51500000000000001"/>
    <n v="18.296599999999998"/>
    <n v="48.075249999999997"/>
    <n v="48.2986"/>
    <n v="70.071849999999998"/>
    <n v="23.27815"/>
    <n v="7.9347500000000002"/>
  </r>
  <r>
    <x v="1"/>
    <n v="5"/>
    <s v="Viernes"/>
    <x v="25"/>
    <n v="93.8"/>
    <n v="26.539157990040742"/>
    <n v="0.192"/>
    <n v="75.790400000000005"/>
    <n v="23.314400000000003"/>
    <n v="3.7"/>
    <n v="8.5000000000000006E-2"/>
    <n v="2208"/>
    <n v="0.52"/>
    <n v="18.009599999999999"/>
    <n v="48.776000000000003"/>
    <n v="48.33745714285714"/>
    <n v="70.485599999999991"/>
    <n v="23.314400000000003"/>
    <n v="7.9730000000000008"/>
  </r>
  <r>
    <x v="1"/>
    <n v="5"/>
    <s v="Sábado"/>
    <x v="26"/>
    <n v="93.2"/>
    <n v="26.369397917609781"/>
    <n v="0.191"/>
    <n v="75.398799999999994"/>
    <n v="23.607599999999994"/>
    <n v="3.7"/>
    <n v="8.5000000000000006E-2"/>
    <n v="2195"/>
    <n v="0.51600000000000001"/>
    <n v="17.801200000000001"/>
    <n v="48.091200000000001"/>
    <n v="48.410057142857148"/>
    <n v="69.592400000000012"/>
    <n v="23.607599999999994"/>
    <n v="7.9220000000000006"/>
  </r>
  <r>
    <x v="1"/>
    <n v="5"/>
    <s v="Domingo"/>
    <x v="27"/>
    <n v="92.7"/>
    <n v="26.227931190583977"/>
    <n v="0.188"/>
    <n v="75.272400000000005"/>
    <n v="23.831900000000001"/>
    <n v="3.7"/>
    <n v="8.5000000000000006E-2"/>
    <n v="2188"/>
    <n v="0.51500000000000001"/>
    <n v="17.427600000000002"/>
    <n v="47.740500000000004"/>
    <n v="48.365107142857148"/>
    <n v="68.868099999999998"/>
    <n v="23.831900000000001"/>
    <n v="7.8795000000000011"/>
  </r>
  <r>
    <x v="1"/>
    <n v="6"/>
    <s v="Lunes "/>
    <x v="28"/>
    <n v="93.45"/>
    <n v="26.440131281122682"/>
    <n v="0.184"/>
    <n v="76.255200000000002"/>
    <n v="23.680849999999996"/>
    <n v="3.7"/>
    <n v="0.08"/>
    <n v="2218"/>
    <n v="0.52300000000000002"/>
    <n v="17.194800000000001"/>
    <n v="48.874350000000007"/>
    <n v="48.446657142857141"/>
    <n v="69.76915000000001"/>
    <n v="23.680849999999996"/>
    <n v="7.476"/>
  </r>
  <r>
    <x v="1"/>
    <n v="7"/>
    <s v="Martes"/>
    <x v="29"/>
    <n v="94.05"/>
    <n v="26.609891353553646"/>
    <n v="0.188"/>
    <n v="76.368600000000001"/>
    <n v="23.568549999999998"/>
    <n v="3.8"/>
    <n v="8.5000000000000006E-2"/>
    <n v="2223"/>
    <n v="0.52100000000000002"/>
    <n v="17.6814"/>
    <n v="49.000050000000002"/>
    <n v="48.418307142857138"/>
    <n v="70.481449999999995"/>
    <n v="23.568549999999998"/>
    <n v="7.9942500000000001"/>
  </r>
  <r>
    <x v="1"/>
    <n v="7"/>
    <s v="Miercoles"/>
    <x v="30"/>
    <n v="94.1"/>
    <n v="26.624038026256226"/>
    <n v="0.19"/>
    <n v="76.221000000000004"/>
    <n v="23.677200000000003"/>
    <n v="3.8"/>
    <n v="8.5000000000000006E-2"/>
    <n v="2221"/>
    <n v="0.51800000000000002"/>
    <n v="17.878999999999998"/>
    <n v="48.7438"/>
    <n v="48.471592857142859"/>
    <n v="70.422799999999995"/>
    <n v="23.677200000000003"/>
    <n v="7.9984999999999999"/>
  </r>
  <r>
    <x v="1"/>
    <n v="7"/>
    <s v="Jueves"/>
    <x v="31"/>
    <n v="93.85"/>
    <n v="26.553304662743322"/>
    <n v="0.188"/>
    <n v="76.206199999999995"/>
    <n v="23.985749999999999"/>
    <n v="3.7"/>
    <n v="8.5000000000000006E-2"/>
    <n v="2219"/>
    <n v="0.51700000000000002"/>
    <n v="17.643799999999999"/>
    <n v="48.520449999999997"/>
    <n v="48.53519285714286"/>
    <n v="69.864249999999998"/>
    <n v="23.985749999999999"/>
    <n v="7.9772499999999997"/>
  </r>
  <r>
    <x v="1"/>
    <n v="7"/>
    <s v="Viernes"/>
    <x v="32"/>
    <n v="93.7"/>
    <n v="26.510864644635586"/>
    <n v="0.188"/>
    <n v="76.084400000000002"/>
    <n v="23.941500000000001"/>
    <n v="3.7"/>
    <n v="8.5000000000000006E-2"/>
    <n v="2215"/>
    <n v="0.51700000000000002"/>
    <n v="17.615600000000001"/>
    <n v="48.442900000000002"/>
    <n v="48.487607142857144"/>
    <n v="69.758499999999998"/>
    <n v="23.941500000000001"/>
    <n v="7.964500000000001"/>
  </r>
  <r>
    <x v="1"/>
    <n v="7"/>
    <s v="Sábado"/>
    <x v="33"/>
    <n v="93.25"/>
    <n v="26.383544590312361"/>
    <n v="0.185"/>
    <n v="75.998750000000001"/>
    <n v="24.181749999999997"/>
    <n v="3.7"/>
    <n v="0.08"/>
    <n v="2212"/>
    <n v="0.51600000000000001"/>
    <n v="17.251249999999999"/>
    <n v="48.117000000000004"/>
    <n v="48.491292857142867"/>
    <n v="69.068250000000006"/>
    <n v="24.181749999999997"/>
    <n v="7.46"/>
  </r>
  <r>
    <x v="1"/>
    <n v="7"/>
    <s v="Domingo"/>
    <x v="34"/>
    <n v="92.6"/>
    <n v="26.199637845178813"/>
    <n v="0.183"/>
    <n v="75.654200000000003"/>
    <n v="24.450400000000005"/>
    <n v="3.7"/>
    <n v="0.08"/>
    <n v="2197"/>
    <n v="0.51300000000000001"/>
    <n v="16.945799999999998"/>
    <n v="47.503799999999998"/>
    <n v="48.457478571428574"/>
    <n v="68.149599999999992"/>
    <n v="24.450400000000005"/>
    <n v="7.4079999999999995"/>
  </r>
  <r>
    <x v="1"/>
    <n v="8"/>
    <s v="Lunes "/>
    <x v="35"/>
    <n v="91.3"/>
    <n v="25.831824354911724"/>
    <n v="0.17"/>
    <n v="75.778999999999996"/>
    <n v="24.9682"/>
    <n v="3.7"/>
    <n v="7.4999999999999997E-2"/>
    <n v="2196"/>
    <n v="0.51600000000000001"/>
    <n v="15.521000000000001"/>
    <n v="47.110799999999998"/>
    <n v="48.205542857142859"/>
    <n v="66.331800000000001"/>
    <n v="24.9682"/>
    <n v="6.8474999999999993"/>
  </r>
  <r>
    <x v="1"/>
    <n v="8"/>
    <s v="Martes"/>
    <x v="36"/>
    <n v="91.65"/>
    <n v="25.930851063829792"/>
    <n v="0.182"/>
    <n v="74.969700000000003"/>
    <n v="24.253249999999998"/>
    <n v="3.7"/>
    <n v="0.08"/>
    <n v="2177"/>
    <n v="0.51300000000000001"/>
    <n v="16.680299999999999"/>
    <n v="47.016450000000006"/>
    <n v="47.922171428571438"/>
    <n v="67.396750000000011"/>
    <n v="24.253249999999998"/>
    <n v="7.3320000000000007"/>
  </r>
  <r>
    <x v="1"/>
    <n v="8"/>
    <s v="Miercoles"/>
    <x v="37"/>
    <n v="91.9"/>
    <n v="26.001584427342692"/>
    <n v="0.17799999999999999"/>
    <n v="75.541800000000009"/>
    <n v="24.145700000000009"/>
    <n v="3.7"/>
    <n v="0.08"/>
    <n v="2193"/>
    <n v="0.51900000000000002"/>
    <n v="16.3582"/>
    <n v="47.696100000000001"/>
    <n v="47.772500000000001"/>
    <n v="67.754300000000001"/>
    <n v="24.145700000000009"/>
    <n v="7.3520000000000003"/>
  </r>
  <r>
    <x v="1"/>
    <n v="8"/>
    <s v="Viernes"/>
    <x v="38"/>
    <n v="92.25"/>
    <n v="26.100611136260753"/>
    <n v="0.19"/>
    <n v="74.722499999999997"/>
    <n v="22.867999999999999"/>
    <n v="3.7"/>
    <n v="8.5000000000000006E-2"/>
    <n v="2172"/>
    <n v="0.52200000000000002"/>
    <n v="17.5275"/>
    <n v="48.154499999999999"/>
    <n v="47.720221428571428"/>
    <n v="69.382000000000005"/>
    <n v="22.867999999999999"/>
    <n v="7.8412500000000005"/>
  </r>
  <r>
    <x v="1"/>
    <n v="8"/>
    <s v="Sábado"/>
    <x v="39"/>
    <n v="92.25"/>
    <n v="26.100611136260753"/>
    <n v="0.189"/>
    <n v="74.814750000000004"/>
    <n v="23.606000000000005"/>
    <n v="3.7"/>
    <n v="8.5000000000000006E-2"/>
    <n v="2175"/>
    <n v="0.51500000000000001"/>
    <n v="17.43525"/>
    <n v="47.508749999999999"/>
    <n v="47.586771428571431"/>
    <n v="68.643999999999991"/>
    <n v="23.606000000000005"/>
    <n v="7.8412500000000005"/>
  </r>
  <r>
    <x v="1"/>
    <n v="8"/>
    <s v="Domingo"/>
    <x v="40"/>
    <n v="92.25"/>
    <n v="26.100611136260753"/>
    <n v="0.189"/>
    <n v="74.814750000000004"/>
    <n v="23.421500000000005"/>
    <n v="3.7"/>
    <n v="8.5000000000000006E-2"/>
    <n v="2175"/>
    <n v="0.51700000000000002"/>
    <n v="17.43525"/>
    <n v="47.693249999999999"/>
    <n v="47.526235714285711"/>
    <n v="68.828499999999991"/>
    <n v="23.421500000000005"/>
    <n v="7.8412500000000005"/>
  </r>
  <r>
    <x v="1"/>
    <n v="9"/>
    <s v="Lunes "/>
    <x v="41"/>
    <n v="92.15"/>
    <n v="26.072317790855593"/>
    <n v="0.186"/>
    <n v="75.010100000000008"/>
    <n v="23.576400000000003"/>
    <n v="3.7"/>
    <n v="0.08"/>
    <n v="2179"/>
    <n v="0.51800000000000002"/>
    <n v="17.139900000000001"/>
    <n v="47.733700000000006"/>
    <n v="47.559078571428572"/>
    <n v="68.573599999999999"/>
    <n v="23.576400000000003"/>
    <n v="7.3720000000000008"/>
  </r>
  <r>
    <x v="1"/>
    <n v="9"/>
    <s v="Martes"/>
    <x v="42"/>
    <n v="91.45"/>
    <n v="25.874264373019468"/>
    <n v="0.186"/>
    <n v="74.440300000000008"/>
    <n v="23.735000000000003"/>
    <n v="3.7"/>
    <n v="0.08"/>
    <n v="2167"/>
    <n v="0.51400000000000001"/>
    <n v="17.009699999999999"/>
    <n v="47.005300000000005"/>
    <n v="47.54400714285714"/>
    <n v="67.715000000000003"/>
    <n v="23.735000000000003"/>
    <n v="7.3160000000000007"/>
  </r>
  <r>
    <x v="1"/>
    <n v="9"/>
    <s v="Miercoles"/>
    <x v="43"/>
    <n v="90.85"/>
    <n v="25.704504300588503"/>
    <n v="0.18"/>
    <n v="74.497"/>
    <n v="23.645849999999999"/>
    <n v="3.7"/>
    <n v="0.08"/>
    <n v="2160"/>
    <n v="0.51900000000000002"/>
    <n v="16.352999999999998"/>
    <n v="47.151150000000001"/>
    <n v="47.563250000000004"/>
    <n v="67.204149999999998"/>
    <n v="23.645849999999999"/>
    <n v="7.2679999999999998"/>
  </r>
  <r>
    <x v="1"/>
    <n v="9"/>
    <s v="Jueves"/>
    <x v="44"/>
    <n v="91.75"/>
    <n v="25.959144409234948"/>
    <n v="0.187"/>
    <n v="74.592749999999995"/>
    <n v="22.907499999999995"/>
    <n v="3.7"/>
    <n v="0.08"/>
    <n v="2167"/>
    <n v="0.52300000000000002"/>
    <n v="17.157250000000001"/>
    <n v="47.985250000000001"/>
    <n v="47.604557142857153"/>
    <n v="68.842500000000001"/>
    <n v="22.907499999999995"/>
    <n v="7.34"/>
  </r>
  <r>
    <x v="1"/>
    <n v="9"/>
    <s v="Viernes"/>
    <x v="45"/>
    <n v="91.25"/>
    <n v="25.817677682209148"/>
    <n v="0.18"/>
    <n v="74.825000000000003"/>
    <n v="23.583749999999998"/>
    <n v="3.7"/>
    <n v="0.08"/>
    <n v="2171"/>
    <n v="0.52100000000000002"/>
    <n v="16.425000000000001"/>
    <n v="47.541250000000005"/>
    <n v="47.516950000000001"/>
    <n v="67.666250000000005"/>
    <n v="23.583749999999998"/>
    <n v="7.3"/>
  </r>
  <r>
    <x v="1"/>
    <n v="9"/>
    <s v="Sábado"/>
    <x v="46"/>
    <n v="91.1"/>
    <n v="25.775237664101404"/>
    <n v="0.18"/>
    <n v="74.701999999999998"/>
    <n v="23.994400000000002"/>
    <n v="3.7"/>
    <n v="0.08"/>
    <n v="2166"/>
    <n v="0.51600000000000001"/>
    <n v="16.398"/>
    <n v="47.007599999999996"/>
    <n v="47.445357142857155"/>
    <n v="67.105599999999995"/>
    <n v="23.994400000000002"/>
    <n v="7.2879999999999994"/>
  </r>
  <r>
    <x v="1"/>
    <n v="9"/>
    <s v="Domingo"/>
    <x v="47"/>
    <n v="91"/>
    <n v="25.746944318696244"/>
    <n v="0.17699999999999999"/>
    <n v="74.893000000000001"/>
    <n v="23.964000000000002"/>
    <n v="3.7"/>
    <n v="0.08"/>
    <n v="2171"/>
    <n v="0.51900000000000002"/>
    <n v="16.106999999999999"/>
    <n v="47.228999999999999"/>
    <n v="47.379035714285713"/>
    <n v="67.036000000000001"/>
    <n v="23.964000000000002"/>
    <n v="7.28"/>
  </r>
  <r>
    <x v="1"/>
    <n v="10"/>
    <s v="Lunes "/>
    <x v="48"/>
    <n v="91.2"/>
    <n v="25.803531009506568"/>
    <n v="0.17799999999999999"/>
    <n v="74.966400000000007"/>
    <n v="23.386400000000005"/>
    <n v="3.7"/>
    <n v="0.08"/>
    <n v="2176"/>
    <n v="0.52500000000000002"/>
    <n v="16.233599999999999"/>
    <n v="47.88"/>
    <n v="47.399935714285718"/>
    <n v="67.813599999999994"/>
    <n v="23.386400000000005"/>
    <n v="7.2960000000000003"/>
  </r>
  <r>
    <x v="1"/>
    <n v="10"/>
    <s v="Martes"/>
    <x v="49"/>
    <n v="90.9"/>
    <n v="25.718650973291084"/>
    <n v="0.17499999999999999"/>
    <n v="74.992500000000007"/>
    <n v="23.842700000000004"/>
    <n v="3.7"/>
    <n v="7.4999999999999997E-2"/>
    <n v="2173"/>
    <n v="0.52200000000000002"/>
    <n v="15.907500000000001"/>
    <n v="47.449800000000003"/>
    <n v="47.463435714285716"/>
    <n v="67.057299999999998"/>
    <n v="23.842700000000004"/>
    <n v="6.8174999999999999"/>
  </r>
  <r>
    <x v="1"/>
    <n v="10"/>
    <s v="Miercoles"/>
    <x v="50"/>
    <n v="91.2"/>
    <n v="25.803531009506568"/>
    <n v="0.17399999999999999"/>
    <n v="75.331199999999995"/>
    <n v="23.842399999999994"/>
    <n v="3.7"/>
    <n v="7.4999999999999997E-2"/>
    <n v="2184"/>
    <n v="0.52400000000000002"/>
    <n v="15.8688"/>
    <n v="47.788800000000002"/>
    <n v="47.55452857142857"/>
    <n v="67.357600000000005"/>
    <n v="23.842399999999994"/>
    <n v="6.84"/>
  </r>
  <r>
    <x v="1"/>
    <n v="10"/>
    <s v="Jueves"/>
    <x v="51"/>
    <n v="91.4"/>
    <n v="25.860117700316888"/>
    <n v="0.18099999999999999"/>
    <n v="74.8566"/>
    <n v="23.445799999999995"/>
    <n v="3.7"/>
    <n v="0.08"/>
    <n v="2173"/>
    <n v="0.52200000000000002"/>
    <n v="16.543400000000002"/>
    <n v="47.710800000000006"/>
    <n v="47.515321428571433"/>
    <n v="67.954200000000014"/>
    <n v="23.445799999999995"/>
    <n v="7.3120000000000003"/>
  </r>
  <r>
    <x v="1"/>
    <n v="10"/>
    <s v="Viernes"/>
    <x v="52"/>
    <n v="90.95"/>
    <n v="25.732797645993664"/>
    <n v="0.17299999999999999"/>
    <n v="75.215650000000011"/>
    <n v="24.039750000000009"/>
    <n v="3.7"/>
    <n v="7.4999999999999997E-2"/>
    <n v="2180"/>
    <n v="0.52200000000000002"/>
    <n v="15.734349999999999"/>
    <n v="47.475900000000003"/>
    <n v="47.505985714285721"/>
    <n v="66.910249999999991"/>
    <n v="24.039750000000009"/>
    <n v="6.82125"/>
  </r>
  <r>
    <x v="1"/>
    <n v="10"/>
    <s v="Sábado"/>
    <x v="53"/>
    <n v="91.5"/>
    <n v="25.888411045722048"/>
    <n v="0.17499999999999999"/>
    <n v="75.487499999999997"/>
    <n v="24.024499999999993"/>
    <n v="3.7"/>
    <n v="0.08"/>
    <n v="2189"/>
    <n v="0.52200000000000002"/>
    <n v="16.012499999999999"/>
    <n v="47.763000000000005"/>
    <n v="47.613900000000008"/>
    <n v="67.475500000000011"/>
    <n v="24.024499999999993"/>
    <n v="7.32"/>
  </r>
  <r>
    <x v="1"/>
    <n v="10"/>
    <s v="Domingo"/>
    <x v="54"/>
    <n v="91.5"/>
    <n v="25.888411045722048"/>
    <n v="0.18"/>
    <n v="75.03"/>
    <n v="23.566999999999997"/>
    <n v="3.7"/>
    <n v="0.08"/>
    <n v="2178"/>
    <n v="0.52200000000000002"/>
    <n v="16.47"/>
    <n v="47.763000000000005"/>
    <n v="47.690185714285725"/>
    <n v="67.933000000000007"/>
    <n v="23.566999999999997"/>
    <n v="7.32"/>
  </r>
  <r>
    <x v="2"/>
    <n v="11"/>
    <s v="Lunes "/>
    <x v="55"/>
    <n v="91.4"/>
    <n v="25.860117700316888"/>
    <n v="0.18"/>
    <n v="74.948000000000008"/>
    <n v="23.445800000000002"/>
    <n v="3.7"/>
    <n v="0.08"/>
    <n v="2177"/>
    <n v="0.52300000000000002"/>
    <n v="16.452000000000002"/>
    <n v="47.802200000000006"/>
    <n v="47.67907142857144"/>
    <n v="67.9542"/>
    <n v="23.445800000000002"/>
    <n v="7.3120000000000003"/>
  </r>
  <r>
    <x v="2"/>
    <n v="11"/>
    <s v="Martes"/>
    <x v="56"/>
    <n v="91.35"/>
    <n v="25.845971027614304"/>
    <n v="0.182"/>
    <n v="74.724299999999999"/>
    <n v="22.9742"/>
    <n v="3.7"/>
    <n v="0.08"/>
    <n v="2169"/>
    <n v="0.52600000000000002"/>
    <n v="16.625699999999998"/>
    <n v="48.0501"/>
    <n v="47.764828571428573"/>
    <n v="68.375799999999998"/>
    <n v="22.9742"/>
    <n v="7.3079999999999998"/>
  </r>
  <r>
    <x v="2"/>
    <n v="11"/>
    <s v="Miercoles"/>
    <x v="57"/>
    <n v="91.7"/>
    <n v="25.944997736532372"/>
    <n v="0.17699999999999999"/>
    <n v="75.469099999999997"/>
    <n v="23.534899999999997"/>
    <n v="3.7"/>
    <n v="0.08"/>
    <n v="2191"/>
    <n v="0.52600000000000002"/>
    <n v="16.230899999999998"/>
    <n v="48.234200000000001"/>
    <n v="47.82845714285714"/>
    <n v="68.16510000000001"/>
    <n v="23.534899999999997"/>
    <n v="7.3360000000000003"/>
  </r>
  <r>
    <x v="2"/>
    <n v="11"/>
    <s v="Jueves"/>
    <x v="58"/>
    <n v="90.85"/>
    <n v="25.704504300588503"/>
    <n v="0.18"/>
    <n v="74.497"/>
    <n v="23.645849999999999"/>
    <n v="3.7"/>
    <n v="0.08"/>
    <n v="2159"/>
    <n v="0.51900000000000002"/>
    <n v="16.352999999999998"/>
    <n v="47.151150000000001"/>
    <n v="47.748507142857143"/>
    <n v="67.204149999999998"/>
    <n v="23.645849999999999"/>
    <n v="7.2679999999999998"/>
  </r>
  <r>
    <x v="2"/>
    <n v="11"/>
    <s v="Viernes"/>
    <x v="59"/>
    <n v="91.15"/>
    <n v="25.789384336803987"/>
    <n v="0.17899999999999999"/>
    <n v="74.834150000000008"/>
    <n v="23.553850000000001"/>
    <n v="3.7"/>
    <n v="0.08"/>
    <n v="2171"/>
    <n v="0.52200000000000002"/>
    <n v="16.315850000000001"/>
    <n v="47.580300000000008"/>
    <n v="47.763421428571426"/>
    <n v="67.596150000000009"/>
    <n v="23.553850000000001"/>
    <n v="7.2920000000000007"/>
  </r>
  <r>
    <x v="2"/>
    <n v="11"/>
    <s v="Sábado"/>
    <x v="60"/>
    <n v="91.9"/>
    <n v="26.001584427342692"/>
    <n v="0.187"/>
    <n v="74.714700000000008"/>
    <n v="22.859100000000002"/>
    <n v="3.7"/>
    <n v="0.08"/>
    <n v="2171"/>
    <n v="0.52400000000000002"/>
    <n v="17.185300000000002"/>
    <n v="48.155600000000007"/>
    <n v="47.819507142857141"/>
    <n v="69.040900000000008"/>
    <n v="22.859100000000002"/>
    <n v="7.3520000000000003"/>
  </r>
  <r>
    <x v="2"/>
    <n v="11"/>
    <s v="Domingo"/>
    <x v="61"/>
    <n v="91.2"/>
    <n v="25.803531009506568"/>
    <n v="0.17799999999999999"/>
    <n v="74.966400000000007"/>
    <n v="23.477600000000006"/>
    <n v="3.7"/>
    <n v="0.08"/>
    <n v="2180"/>
    <n v="0.52400000000000002"/>
    <n v="16.233599999999999"/>
    <n v="47.788800000000002"/>
    <n v="47.82319285714285"/>
    <n v="67.722399999999993"/>
    <n v="23.477600000000006"/>
    <n v="7.2960000000000003"/>
  </r>
  <r>
    <x v="2"/>
    <n v="12"/>
    <s v="Lunes "/>
    <x v="62"/>
    <n v="91.2"/>
    <n v="25.803531009506568"/>
    <n v="0.17699999999999999"/>
    <n v="75.057600000000008"/>
    <n v="23.568800000000007"/>
    <n v="3.7"/>
    <n v="0.08"/>
    <n v="2177"/>
    <n v="0.52400000000000002"/>
    <n v="16.142399999999999"/>
    <n v="47.788800000000002"/>
    <n v="47.821278571428572"/>
    <n v="67.631199999999993"/>
    <n v="23.568800000000007"/>
    <n v="7.2960000000000003"/>
  </r>
  <r>
    <x v="2"/>
    <n v="12"/>
    <s v="Martes"/>
    <x v="63"/>
    <n v="90.9"/>
    <n v="25.718650973291084"/>
    <n v="0.17799999999999999"/>
    <n v="74.719800000000006"/>
    <n v="23.024600000000003"/>
    <n v="3.7"/>
    <n v="0.08"/>
    <n v="2168"/>
    <n v="0.52800000000000002"/>
    <n v="16.180199999999999"/>
    <n v="47.995200000000004"/>
    <n v="47.813435714285724"/>
    <n v="67.875399999999999"/>
    <n v="23.024600000000003"/>
    <n v="7.2720000000000002"/>
  </r>
  <r>
    <x v="2"/>
    <n v="12"/>
    <s v="Miercoles"/>
    <x v="64"/>
    <n v="90.8"/>
    <n v="25.690357627885923"/>
    <n v="0.17799999999999999"/>
    <n v="74.637599999999992"/>
    <n v="24.084799999999991"/>
    <n v="3.7"/>
    <n v="0.08"/>
    <n v="2166"/>
    <n v="0.51600000000000001"/>
    <n v="16.162399999999998"/>
    <n v="46.852800000000002"/>
    <n v="47.61609285714286"/>
    <n v="66.71520000000001"/>
    <n v="24.084799999999991"/>
    <n v="7.2640000000000002"/>
  </r>
  <r>
    <x v="2"/>
    <n v="12"/>
    <s v="Jueves"/>
    <x v="65"/>
    <n v="90.55"/>
    <n v="25.619624264373019"/>
    <n v="0.16900000000000001"/>
    <n v="75.247050000000002"/>
    <n v="24.551600000000004"/>
    <n v="3.7"/>
    <n v="7.4999999999999997E-2"/>
    <n v="2179"/>
    <n v="0.51900000000000002"/>
    <n v="15.302950000000001"/>
    <n v="46.995449999999998"/>
    <n v="47.59385000000001"/>
    <n v="65.99839999999999"/>
    <n v="24.551600000000004"/>
    <n v="6.7912499999999998"/>
  </r>
  <r>
    <x v="2"/>
    <n v="12"/>
    <s v="Domingo"/>
    <x v="66"/>
    <n v="91.8"/>
    <n v="25.973291081937528"/>
    <n v="0.186"/>
    <n v="74.725200000000001"/>
    <n v="22.1876"/>
    <n v="3.7"/>
    <n v="0.08"/>
    <n v="2171"/>
    <n v="0.53200000000000003"/>
    <n v="17.0748"/>
    <n v="48.837600000000002"/>
    <n v="47.77346428571429"/>
    <n v="69.612399999999994"/>
    <n v="22.1876"/>
    <n v="7.3440000000000003"/>
  </r>
  <r>
    <x v="2"/>
    <n v="13"/>
    <s v="Lunes "/>
    <x v="67"/>
    <n v="91.4"/>
    <n v="25.860117700316888"/>
    <n v="0.184"/>
    <n v="74.582400000000007"/>
    <n v="22.897400000000001"/>
    <n v="3.7"/>
    <n v="0.08"/>
    <n v="2165"/>
    <n v="0.52500000000000002"/>
    <n v="16.817600000000002"/>
    <n v="47.985000000000007"/>
    <n v="47.749092857142855"/>
    <n v="68.502600000000001"/>
    <n v="22.897400000000001"/>
    <n v="7.3120000000000003"/>
  </r>
  <r>
    <x v="2"/>
    <n v="13"/>
    <s v="Martes"/>
    <x v="68"/>
    <n v="90.9"/>
    <n v="25.718650973291084"/>
    <n v="0.17499999999999999"/>
    <n v="74.992500000000007"/>
    <n v="24.115400000000005"/>
    <n v="3.7"/>
    <n v="7.4999999999999997E-2"/>
    <n v="2174"/>
    <n v="0.51900000000000002"/>
    <n v="15.907500000000001"/>
    <n v="47.177100000000003"/>
    <n v="47.661707142857146"/>
    <n v="66.784599999999998"/>
    <n v="24.115400000000005"/>
    <n v="6.8174999999999999"/>
  </r>
  <r>
    <x v="2"/>
    <n v="13"/>
    <s v="Miercoles"/>
    <x v="69"/>
    <n v="90.35"/>
    <n v="25.563037573562699"/>
    <n v="0.17100000000000001"/>
    <n v="74.900149999999996"/>
    <n v="24.579550000000001"/>
    <n v="3.7"/>
    <n v="7.4999999999999997E-2"/>
    <n v="2171"/>
    <n v="0.51600000000000001"/>
    <n v="15.44985"/>
    <n v="46.620599999999996"/>
    <n v="47.494821428571427"/>
    <n v="65.770449999999997"/>
    <n v="24.579550000000001"/>
    <n v="6.7762499999999992"/>
  </r>
  <r>
    <x v="2"/>
    <n v="13"/>
    <s v="Jueves"/>
    <x v="70"/>
    <n v="90.85"/>
    <n v="25.704504300588503"/>
    <n v="0.17299999999999999"/>
    <n v="75.132949999999994"/>
    <n v="24.190949999999997"/>
    <n v="3.7"/>
    <n v="7.4999999999999997E-2"/>
    <n v="2180"/>
    <n v="0.52"/>
    <n v="15.717049999999999"/>
    <n v="47.241999999999997"/>
    <n v="47.387221428571436"/>
    <n v="66.659049999999993"/>
    <n v="24.190949999999997"/>
    <n v="6.8137499999999998"/>
  </r>
  <r>
    <x v="2"/>
    <n v="13"/>
    <s v="Viernes"/>
    <x v="71"/>
    <n v="91.3"/>
    <n v="25.831824354911724"/>
    <n v="0.18099999999999999"/>
    <n v="74.774699999999996"/>
    <n v="23.142199999999999"/>
    <n v="3.7"/>
    <n v="0.08"/>
    <n v="2169"/>
    <n v="0.52500000000000002"/>
    <n v="16.525299999999998"/>
    <n v="47.932499999999997"/>
    <n v="47.541464285714291"/>
    <n v="68.157799999999995"/>
    <n v="23.142199999999999"/>
    <n v="7.3040000000000003"/>
  </r>
  <r>
    <x v="2"/>
    <n v="13"/>
    <s v="Sábado"/>
    <x v="72"/>
    <n v="90.7"/>
    <n v="25.662064282480763"/>
    <n v="0.17499999999999999"/>
    <n v="74.827500000000001"/>
    <n v="23.6007"/>
    <n v="3.7"/>
    <n v="7.4999999999999997E-2"/>
    <n v="2170"/>
    <n v="0.52400000000000002"/>
    <n v="15.872499999999999"/>
    <n v="47.526800000000001"/>
    <n v="47.617371428571424"/>
    <n v="67.099299999999999"/>
    <n v="23.6007"/>
    <n v="6.8025000000000002"/>
  </r>
  <r>
    <x v="2"/>
    <n v="13"/>
    <s v="Domingo"/>
    <x v="73"/>
    <n v="91"/>
    <n v="25.746944318696244"/>
    <n v="0.17499999999999999"/>
    <n v="75.075000000000003"/>
    <n v="23.782"/>
    <n v="3.7"/>
    <n v="7.4999999999999997E-2"/>
    <n v="2178"/>
    <n v="0.52300000000000002"/>
    <n v="15.924999999999999"/>
    <n v="47.593000000000004"/>
    <n v="47.439571428571426"/>
    <n v="67.218000000000004"/>
    <n v="23.782"/>
    <n v="6.8250000000000002"/>
  </r>
  <r>
    <x v="2"/>
    <n v="14"/>
    <s v="Lunes "/>
    <x v="74"/>
    <n v="91.2"/>
    <n v="25.803531009506568"/>
    <n v="0.17499999999999999"/>
    <n v="75.240000000000009"/>
    <n v="23.477600000000006"/>
    <n v="3.7"/>
    <n v="0.08"/>
    <n v="2183"/>
    <n v="0.52700000000000002"/>
    <n v="15.959999999999999"/>
    <n v="48.062400000000004"/>
    <n v="47.450628571428574"/>
    <n v="67.722399999999993"/>
    <n v="23.477600000000006"/>
    <n v="7.2960000000000003"/>
  </r>
  <r>
    <x v="2"/>
    <n v="14"/>
    <s v="Martes"/>
    <x v="75"/>
    <n v="90.75"/>
    <n v="25.676210955183343"/>
    <n v="0.17199999999999999"/>
    <n v="75.141000000000005"/>
    <n v="23.797250000000002"/>
    <n v="3.7"/>
    <n v="7.4999999999999997E-2"/>
    <n v="2177"/>
    <n v="0.52500000000000002"/>
    <n v="15.608999999999998"/>
    <n v="47.643750000000004"/>
    <n v="47.517292857142863"/>
    <n v="66.952749999999995"/>
    <n v="23.797250000000002"/>
    <n v="6.8062499999999995"/>
  </r>
  <r>
    <x v="2"/>
    <n v="14"/>
    <s v="Miercoles"/>
    <x v="76"/>
    <n v="90.3"/>
    <n v="25.548890900860119"/>
    <n v="0.17100000000000001"/>
    <n v="74.858699999999999"/>
    <n v="23.751200000000001"/>
    <n v="3.7"/>
    <n v="7.4999999999999997E-2"/>
    <n v="2169"/>
    <n v="0.52500000000000002"/>
    <n v="15.4413"/>
    <n v="47.407499999999999"/>
    <n v="47.62970714285715"/>
    <n v="66.5488"/>
    <n v="23.751200000000001"/>
    <n v="6.7725"/>
  </r>
  <r>
    <x v="2"/>
    <n v="14"/>
    <s v="Jueves"/>
    <x v="77"/>
    <n v="90.2"/>
    <n v="25.520597555454959"/>
    <n v="0.16800000000000001"/>
    <n v="75.046400000000006"/>
    <n v="24.262000000000004"/>
    <n v="3.7"/>
    <n v="7.4999999999999997E-2"/>
    <n v="2173"/>
    <n v="0.52200000000000002"/>
    <n v="15.153600000000001"/>
    <n v="47.084400000000002"/>
    <n v="47.607192857142863"/>
    <n v="65.938000000000002"/>
    <n v="24.262000000000004"/>
    <n v="6.7649999999999997"/>
  </r>
  <r>
    <x v="2"/>
    <n v="14"/>
    <s v="Viernes"/>
    <x v="78"/>
    <n v="90.35"/>
    <n v="25.563037573562699"/>
    <n v="0.17199999999999999"/>
    <n v="74.809799999999996"/>
    <n v="23.856749999999995"/>
    <n v="3.7"/>
    <n v="7.4999999999999997E-2"/>
    <n v="2166"/>
    <n v="0.52300000000000002"/>
    <n v="15.540199999999997"/>
    <n v="47.253050000000002"/>
    <n v="47.510128571428581"/>
    <n v="66.493250000000003"/>
    <n v="23.856749999999995"/>
    <n v="6.7762499999999992"/>
  </r>
  <r>
    <x v="2"/>
    <n v="14"/>
    <s v="Sábado"/>
    <x v="79"/>
    <n v="90.55"/>
    <n v="25.619624264373019"/>
    <n v="0.17399999999999999"/>
    <n v="74.794299999999993"/>
    <n v="23.464999999999993"/>
    <n v="3.7"/>
    <n v="7.4999999999999997E-2"/>
    <n v="2167"/>
    <n v="0.52600000000000002"/>
    <n v="15.755699999999999"/>
    <n v="47.629300000000001"/>
    <n v="47.524771428571441"/>
    <n v="67.085000000000008"/>
    <n v="23.464999999999993"/>
    <n v="6.7912499999999998"/>
  </r>
  <r>
    <x v="2"/>
    <n v="14"/>
    <s v="Domingo"/>
    <x v="80"/>
    <n v="90.6"/>
    <n v="25.6337709370756"/>
    <n v="0.17100000000000001"/>
    <n v="75.107399999999998"/>
    <n v="23.933000000000003"/>
    <n v="3.7"/>
    <n v="7.4999999999999997E-2"/>
    <n v="2177"/>
    <n v="0.52400000000000002"/>
    <n v="15.492599999999999"/>
    <n v="47.474399999999996"/>
    <n v="47.507828571428583"/>
    <n v="66.666999999999987"/>
    <n v="23.933000000000003"/>
    <n v="6.794999999999999"/>
  </r>
  <r>
    <x v="2"/>
    <n v="15"/>
    <s v="Lunes "/>
    <x v="81"/>
    <n v="90.75"/>
    <n v="25.676210955183343"/>
    <n v="0.17"/>
    <n v="75.322499999999991"/>
    <n v="24.069499999999987"/>
    <n v="3.7"/>
    <n v="7.4999999999999997E-2"/>
    <n v="2183"/>
    <n v="0.52400000000000002"/>
    <n v="15.427500000000002"/>
    <n v="47.553000000000004"/>
    <n v="47.43505714285714"/>
    <n v="66.680500000000009"/>
    <n v="24.069499999999987"/>
    <n v="6.8062499999999995"/>
  </r>
  <r>
    <x v="2"/>
    <n v="15"/>
    <s v="Martes"/>
    <x v="82"/>
    <n v="90.55"/>
    <n v="25.619624264373019"/>
    <n v="0.17199999999999999"/>
    <n v="74.975399999999993"/>
    <n v="23.827199999999994"/>
    <n v="3.7"/>
    <n v="7.4999999999999997E-2"/>
    <n v="2174"/>
    <n v="0.52400000000000002"/>
    <n v="15.574599999999998"/>
    <n v="47.4482"/>
    <n v="47.407121428571429"/>
    <n v="66.722800000000007"/>
    <n v="23.827199999999994"/>
    <n v="6.7912499999999998"/>
  </r>
  <r>
    <x v="2"/>
    <n v="15"/>
    <s v="Miercoles"/>
    <x v="83"/>
    <n v="90.75"/>
    <n v="25.676210955183343"/>
    <n v="0.17199999999999999"/>
    <n v="75.141000000000005"/>
    <n v="24.069500000000001"/>
    <n v="3.7"/>
    <n v="7.4999999999999997E-2"/>
    <n v="2177"/>
    <n v="0.52200000000000002"/>
    <n v="15.608999999999998"/>
    <n v="47.371500000000005"/>
    <n v="47.401978571428572"/>
    <n v="66.680499999999995"/>
    <n v="24.069500000000001"/>
    <n v="6.8062499999999995"/>
  </r>
  <r>
    <x v="2"/>
    <n v="15"/>
    <s v="Jueves"/>
    <x v="84"/>
    <n v="90.8"/>
    <n v="25.690357627885923"/>
    <n v="0.17599999999999999"/>
    <n v="74.819199999999995"/>
    <n v="23.630799999999997"/>
    <n v="3.7"/>
    <n v="0.08"/>
    <n v="2170"/>
    <n v="0.52300000000000002"/>
    <n v="15.980799999999999"/>
    <n v="47.488399999999999"/>
    <n v="47.459692857142862"/>
    <n v="67.169200000000004"/>
    <n v="23.630799999999997"/>
    <n v="7.2640000000000002"/>
  </r>
  <r>
    <x v="2"/>
    <n v="15"/>
    <s v="Viernes"/>
    <x v="85"/>
    <n v="91"/>
    <n v="25.746944318696244"/>
    <n v="0.17799999999999999"/>
    <n v="74.801999999999992"/>
    <n v="23.963999999999995"/>
    <n v="3.7"/>
    <n v="0.08"/>
    <n v="2171"/>
    <n v="0.51800000000000002"/>
    <n v="16.198"/>
    <n v="47.137999999999998"/>
    <n v="47.443257142857135"/>
    <n v="67.036000000000001"/>
    <n v="23.963999999999995"/>
    <n v="7.28"/>
  </r>
  <r>
    <x v="2"/>
    <n v="15"/>
    <s v="Sábado"/>
    <x v="86"/>
    <n v="90.6"/>
    <n v="25.6337709370756"/>
    <n v="0.17499999999999999"/>
    <n v="74.74499999999999"/>
    <n v="24.023599999999991"/>
    <n v="3.7"/>
    <n v="7.4999999999999997E-2"/>
    <n v="2166"/>
    <n v="0.51900000000000002"/>
    <n v="15.854999999999999"/>
    <n v="47.0214"/>
    <n v="47.356414285714273"/>
    <n v="66.576400000000007"/>
    <n v="24.023599999999991"/>
    <n v="6.794999999999999"/>
  </r>
  <r>
    <x v="2"/>
    <n v="15"/>
    <s v="Domingo"/>
    <x v="87"/>
    <n v="90.45"/>
    <n v="25.591330918967863"/>
    <n v="0.17399999999999999"/>
    <n v="74.711700000000008"/>
    <n v="23.977700000000002"/>
    <n v="3.7"/>
    <n v="7.4999999999999997E-2"/>
    <n v="2167"/>
    <n v="0.52"/>
    <n v="15.738299999999999"/>
    <n v="47.034000000000006"/>
    <n v="47.293500000000002"/>
    <n v="66.472300000000004"/>
    <n v="23.977700000000002"/>
    <n v="6.7837500000000004"/>
  </r>
  <r>
    <x v="2"/>
    <n v="16"/>
    <s v="Lunes "/>
    <x v="88"/>
    <n v="90.3"/>
    <n v="25.548890900860119"/>
    <n v="0.17399999999999999"/>
    <n v="74.587800000000001"/>
    <n v="23.660900000000002"/>
    <n v="3.7"/>
    <n v="7.4999999999999997E-2"/>
    <n v="2160"/>
    <n v="0.52300000000000002"/>
    <n v="15.712199999999999"/>
    <n v="47.226900000000001"/>
    <n v="47.24691428571429"/>
    <n v="66.639099999999999"/>
    <n v="23.660900000000002"/>
    <n v="6.7725"/>
  </r>
  <r>
    <x v="2"/>
    <n v="16"/>
    <s v="Martes"/>
    <x v="89"/>
    <n v="90.6"/>
    <n v="25.6337709370756"/>
    <n v="0.18"/>
    <n v="74.292000000000002"/>
    <n v="23.208200000000001"/>
    <n v="3.7"/>
    <n v="0.08"/>
    <n v="2154"/>
    <n v="0.52300000000000002"/>
    <n v="16.308"/>
    <n v="47.383800000000001"/>
    <n v="47.23771428571429"/>
    <n v="67.391799999999989"/>
    <n v="23.208200000000001"/>
    <n v="7.2479999999999993"/>
  </r>
  <r>
    <x v="2"/>
    <n v="16"/>
    <s v="Viernes"/>
    <x v="90"/>
    <n v="90.25"/>
    <n v="25.534744228157539"/>
    <n v="0.17399999999999999"/>
    <n v="74.546500000000009"/>
    <n v="23.284750000000006"/>
    <n v="3.7"/>
    <n v="7.4999999999999997E-2"/>
    <n v="2161"/>
    <n v="0.52700000000000002"/>
    <n v="15.703499999999998"/>
    <n v="47.561750000000004"/>
    <n v="47.264892857142861"/>
    <n v="66.965249999999997"/>
    <n v="23.284750000000006"/>
    <n v="6.7687499999999998"/>
  </r>
  <r>
    <x v="2"/>
    <n v="16"/>
    <s v="Sábado"/>
    <x v="91"/>
    <n v="89.65"/>
    <n v="25.364984155726578"/>
    <n v="0.17"/>
    <n v="74.409500000000008"/>
    <n v="24.091500000000007"/>
    <n v="3.7"/>
    <n v="7.4999999999999997E-2"/>
    <n v="2155"/>
    <n v="0.52"/>
    <n v="15.240500000000003"/>
    <n v="46.618000000000002"/>
    <n v="47.140550000000005"/>
    <n v="65.558499999999995"/>
    <n v="24.091500000000007"/>
    <n v="6.7237499999999999"/>
  </r>
  <r>
    <x v="2"/>
    <n v="16"/>
    <s v="Domingo"/>
    <x v="92"/>
    <n v="89.35"/>
    <n v="25.28010411951109"/>
    <n v="0.16300000000000001"/>
    <n v="74.78595"/>
    <n v="24.445250000000005"/>
    <n v="3.7"/>
    <n v="7.0000000000000007E-2"/>
    <n v="2163"/>
    <n v="0.52200000000000002"/>
    <n v="14.56405"/>
    <n v="46.640699999999995"/>
    <n v="47.069507142857148"/>
    <n v="64.904749999999993"/>
    <n v="24.445250000000005"/>
    <n v="6.2545000000000002"/>
  </r>
  <r>
    <x v="3"/>
    <n v="17"/>
    <s v="Lunes "/>
    <x v="93"/>
    <n v="90.7"/>
    <n v="25.662064282480763"/>
    <n v="0.17399999999999999"/>
    <n v="74.918199999999999"/>
    <n v="22.965799999999998"/>
    <n v="3.7"/>
    <n v="7.4999999999999997E-2"/>
    <n v="2172"/>
    <n v="0.53200000000000003"/>
    <n v="15.781799999999999"/>
    <n v="48.252400000000002"/>
    <n v="47.245364285714288"/>
    <n v="67.734200000000001"/>
    <n v="22.965799999999998"/>
    <n v="6.8025000000000002"/>
  </r>
  <r>
    <x v="3"/>
    <n v="17"/>
    <s v="Martes"/>
    <x v="94"/>
    <n v="90.75"/>
    <n v="25.676210955183343"/>
    <n v="0.18099999999999999"/>
    <n v="74.324250000000006"/>
    <n v="22.708250000000003"/>
    <n v="3.7"/>
    <n v="7.4999999999999997E-2"/>
    <n v="2156"/>
    <n v="0.52800000000000002"/>
    <n v="16.425750000000001"/>
    <n v="47.916000000000004"/>
    <n v="47.371364285714286"/>
    <n v="68.041749999999993"/>
    <n v="22.708250000000003"/>
    <n v="6.8062499999999995"/>
  </r>
  <r>
    <x v="3"/>
    <n v="17"/>
    <s v="Miercoles"/>
    <x v="95"/>
    <n v="90.3"/>
    <n v="25.548890900860119"/>
    <n v="0.17899999999999999"/>
    <n v="74.136300000000006"/>
    <n v="22.938500000000008"/>
    <n v="3.7"/>
    <n v="7.4999999999999997E-2"/>
    <n v="2148"/>
    <n v="0.52600000000000002"/>
    <n v="16.163699999999999"/>
    <n v="47.497799999999998"/>
    <n v="47.410064285714284"/>
    <n v="67.361499999999992"/>
    <n v="22.938500000000008"/>
    <n v="6.7725"/>
  </r>
  <r>
    <x v="3"/>
    <n v="17"/>
    <s v="Viernes"/>
    <x v="96"/>
    <n v="90.35"/>
    <n v="25.563037573562699"/>
    <n v="0.17499999999999999"/>
    <n v="74.538749999999993"/>
    <n v="22.772549999999992"/>
    <n v="3.7"/>
    <n v="7.4999999999999997E-2"/>
    <n v="2160"/>
    <n v="0.53200000000000003"/>
    <n v="15.811249999999998"/>
    <n v="48.066200000000002"/>
    <n v="47.507549999999995"/>
    <n v="67.577449999999999"/>
    <n v="22.772549999999992"/>
    <n v="6.7762499999999992"/>
  </r>
  <r>
    <x v="3"/>
    <n v="17"/>
    <s v="Sábado"/>
    <x v="97"/>
    <n v="90.25"/>
    <n v="25.534744228157539"/>
    <n v="0.17199999999999999"/>
    <n v="74.727000000000004"/>
    <n v="24.00675"/>
    <n v="3.7"/>
    <n v="7.4999999999999997E-2"/>
    <n v="2165"/>
    <n v="0.52100000000000002"/>
    <n v="15.522999999999998"/>
    <n v="47.020250000000004"/>
    <n v="47.430192857142856"/>
    <n v="66.243250000000003"/>
    <n v="24.00675"/>
    <n v="6.7687499999999998"/>
  </r>
  <r>
    <x v="3"/>
    <n v="17"/>
    <s v="Domingo"/>
    <x v="98"/>
    <n v="89.45"/>
    <n v="25.308397464916254"/>
    <n v="0.16400000000000001"/>
    <n v="74.780200000000008"/>
    <n v="24.476750000000006"/>
    <n v="3.7"/>
    <n v="7.4999999999999997E-2"/>
    <n v="2163"/>
    <n v="0.52100000000000002"/>
    <n v="14.6698"/>
    <n v="46.603450000000002"/>
    <n v="47.428114285714287"/>
    <n v="64.973249999999993"/>
    <n v="24.476750000000006"/>
    <n v="6.7087500000000002"/>
  </r>
  <r>
    <x v="3"/>
    <n v="18"/>
    <s v="Lunes "/>
    <x v="99"/>
    <n v="90.25"/>
    <n v="25.534744228157539"/>
    <n v="0.16900000000000001"/>
    <n v="74.997749999999996"/>
    <n v="24.187249999999995"/>
    <n v="3.7"/>
    <n v="7.4999999999999997E-2"/>
    <n v="2173"/>
    <n v="0.52200000000000002"/>
    <n v="15.252250000000002"/>
    <n v="47.110500000000002"/>
    <n v="47.495228571428576"/>
    <n v="66.062750000000008"/>
    <n v="24.187249999999995"/>
    <n v="6.7687499999999998"/>
  </r>
  <r>
    <x v="3"/>
    <n v="18"/>
    <s v="Martes"/>
    <x v="100"/>
    <n v="90.9"/>
    <n v="25.718650973291084"/>
    <n v="0.17799999999999999"/>
    <n v="74.719800000000006"/>
    <n v="22.933700000000005"/>
    <n v="3.7"/>
    <n v="0.08"/>
    <n v="2168"/>
    <n v="0.52900000000000003"/>
    <n v="16.180199999999999"/>
    <n v="48.086100000000002"/>
    <n v="47.471471428571427"/>
    <n v="67.966300000000004"/>
    <n v="22.933700000000005"/>
    <n v="7.2720000000000002"/>
  </r>
  <r>
    <x v="3"/>
    <n v="18"/>
    <s v="Miercoles"/>
    <x v="101"/>
    <n v="91.05"/>
    <n v="25.761090991398824"/>
    <n v="0.18099999999999999"/>
    <n v="74.569950000000006"/>
    <n v="22.704500000000007"/>
    <n v="3.7"/>
    <n v="0.08"/>
    <n v="2164"/>
    <n v="0.52900000000000003"/>
    <n v="16.480049999999999"/>
    <n v="48.16545"/>
    <n v="47.507107142857144"/>
    <n v="68.345499999999987"/>
    <n v="22.704500000000007"/>
    <n v="7.2839999999999998"/>
  </r>
  <r>
    <x v="3"/>
    <n v="18"/>
    <s v="Jueves"/>
    <x v="102"/>
    <n v="90.4"/>
    <n v="25.577184246265283"/>
    <n v="0.17100000000000001"/>
    <n v="74.941600000000008"/>
    <n v="23.872000000000003"/>
    <n v="3.7"/>
    <n v="7.4999999999999997E-2"/>
    <n v="2171"/>
    <n v="0.52400000000000002"/>
    <n v="15.458400000000003"/>
    <n v="47.369600000000005"/>
    <n v="47.488792857142862"/>
    <n v="66.528000000000006"/>
    <n v="23.872000000000003"/>
    <n v="6.78"/>
  </r>
  <r>
    <x v="3"/>
    <n v="18"/>
    <s v="Viernes"/>
    <x v="103"/>
    <n v="89.5"/>
    <n v="25.322544137618834"/>
    <n v="0.16600000000000001"/>
    <n v="74.643000000000001"/>
    <n v="24.492500000000003"/>
    <n v="3.7"/>
    <n v="7.4999999999999997E-2"/>
    <n v="2171"/>
    <n v="0.51900000000000002"/>
    <n v="14.857000000000001"/>
    <n v="46.450499999999998"/>
    <n v="47.257978571428573"/>
    <n v="65.007499999999993"/>
    <n v="24.492500000000003"/>
    <n v="6.7124999999999995"/>
  </r>
  <r>
    <x v="3"/>
    <n v="18"/>
    <s v="Sábado"/>
    <x v="104"/>
    <n v="89.9"/>
    <n v="25.435717519239478"/>
    <n v="0.16800000000000001"/>
    <n v="74.796800000000005"/>
    <n v="24.258900000000001"/>
    <n v="3.7"/>
    <n v="7.4999999999999997E-2"/>
    <n v="2165"/>
    <n v="0.52100000000000002"/>
    <n v="15.103200000000001"/>
    <n v="46.837900000000005"/>
    <n v="47.231928571428568"/>
    <n v="65.641100000000009"/>
    <n v="24.258900000000001"/>
    <n v="6.7425000000000006"/>
  </r>
  <r>
    <x v="3"/>
    <n v="18"/>
    <s v="Domingo"/>
    <x v="105"/>
    <n v="89.35"/>
    <n v="25.28010411951109"/>
    <n v="0.16300000000000001"/>
    <n v="74.78595"/>
    <n v="24.08785"/>
    <n v="3.7"/>
    <n v="7.0000000000000007E-2"/>
    <n v="2164"/>
    <n v="0.52600000000000002"/>
    <n v="14.56405"/>
    <n v="46.998100000000001"/>
    <n v="47.28830714285715"/>
    <n v="65.262149999999991"/>
    <n v="24.08785"/>
    <n v="6.2545000000000002"/>
  </r>
  <r>
    <x v="3"/>
    <n v="19"/>
    <s v="Sábado"/>
    <x v="106"/>
    <n v="90.05"/>
    <n v="25.478157537347215"/>
    <n v="0.17100000000000001"/>
    <n v="74.651449999999997"/>
    <n v="23.855299999999996"/>
    <n v="3.7"/>
    <n v="7.4999999999999997E-2"/>
    <n v="2163"/>
    <n v="0.52300000000000002"/>
    <n v="15.39855"/>
    <n v="47.096150000000002"/>
    <n v="47.286257142857153"/>
    <n v="66.194699999999997"/>
    <n v="23.855299999999996"/>
    <n v="6.7537499999999993"/>
  </r>
  <r>
    <x v="3"/>
    <n v="19"/>
    <s v="Domingo"/>
    <x v="107"/>
    <n v="90.8"/>
    <n v="25.690357627885923"/>
    <n v="0.17799999999999999"/>
    <n v="74.637599999999992"/>
    <n v="23.176799999999989"/>
    <n v="3.7"/>
    <n v="0.08"/>
    <n v="2164"/>
    <n v="0.52600000000000002"/>
    <n v="16.162399999999998"/>
    <n v="47.760800000000003"/>
    <n v="47.239785714285723"/>
    <n v="67.623200000000011"/>
    <n v="23.176799999999989"/>
    <n v="7.2640000000000002"/>
  </r>
  <r>
    <x v="3"/>
    <n v="20"/>
    <s v="Lunes "/>
    <x v="108"/>
    <n v="91"/>
    <n v="25.746944318696244"/>
    <n v="0.17799999999999999"/>
    <n v="74.801999999999992"/>
    <n v="23.50899999999999"/>
    <n v="3.7"/>
    <n v="0.08"/>
    <n v="2171"/>
    <n v="0.52300000000000002"/>
    <n v="16.198"/>
    <n v="47.593000000000004"/>
    <n v="47.158007142857151"/>
    <n v="67.491000000000014"/>
    <n v="23.50899999999999"/>
    <n v="7.28"/>
  </r>
  <r>
    <x v="3"/>
    <n v="20"/>
    <s v="Martes"/>
    <x v="109"/>
    <n v="90.5"/>
    <n v="25.605477591670439"/>
    <n v="0.17199999999999999"/>
    <n v="74.933999999999997"/>
    <n v="24.354999999999993"/>
    <n v="3.7"/>
    <n v="7.4999999999999997E-2"/>
    <n v="2172"/>
    <n v="0.51800000000000002"/>
    <n v="15.565999999999999"/>
    <n v="46.879000000000005"/>
    <n v="47.087921428571427"/>
    <n v="66.14500000000001"/>
    <n v="24.354999999999993"/>
    <n v="6.7874999999999996"/>
  </r>
  <r>
    <x v="3"/>
    <n v="20"/>
    <s v="Miercoles"/>
    <x v="110"/>
    <n v="90.1"/>
    <n v="25.492304210049795"/>
    <n v="0.17299999999999999"/>
    <n v="74.512699999999995"/>
    <n v="23.960699999999999"/>
    <n v="3.7"/>
    <n v="7.4999999999999997E-2"/>
    <n v="2157"/>
    <n v="0.52"/>
    <n v="15.587299999999997"/>
    <n v="46.851999999999997"/>
    <n v="47.14527857142857"/>
    <n v="66.139299999999992"/>
    <n v="23.960699999999999"/>
    <n v="6.7574999999999994"/>
  </r>
  <r>
    <x v="3"/>
    <n v="20"/>
    <s v="Jueves"/>
    <x v="111"/>
    <n v="90.35"/>
    <n v="25.563037573562699"/>
    <n v="0.17499999999999999"/>
    <n v="74.538749999999993"/>
    <n v="24.308499999999999"/>
    <n v="3.7"/>
    <n v="7.4999999999999997E-2"/>
    <n v="2159"/>
    <n v="0.51500000000000001"/>
    <n v="15.811249999999998"/>
    <n v="46.530249999999995"/>
    <n v="47.101328571428567"/>
    <n v="66.041499999999999"/>
    <n v="24.308499999999999"/>
    <n v="6.7762499999999992"/>
  </r>
  <r>
    <x v="3"/>
    <n v="20"/>
    <s v="Sábado"/>
    <x v="112"/>
    <n v="90.55"/>
    <n v="25.619624264373019"/>
    <n v="0.17599999999999999"/>
    <n v="74.613200000000006"/>
    <n v="23.283900000000006"/>
    <n v="3.7"/>
    <n v="7.4999999999999997E-2"/>
    <n v="2164"/>
    <n v="0.52600000000000002"/>
    <n v="15.936799999999998"/>
    <n v="47.629300000000001"/>
    <n v="47.191500000000005"/>
    <n v="67.266099999999994"/>
    <n v="23.283900000000006"/>
    <n v="6.7912499999999998"/>
  </r>
  <r>
    <x v="3"/>
    <n v="20"/>
    <s v="Domingo"/>
    <x v="113"/>
    <n v="90.2"/>
    <n v="25.520597555454959"/>
    <n v="0.17199999999999999"/>
    <n v="74.685600000000008"/>
    <n v="23.450200000000006"/>
    <n v="3.7"/>
    <n v="7.4999999999999997E-2"/>
    <n v="2167"/>
    <n v="0.52700000000000002"/>
    <n v="15.514399999999998"/>
    <n v="47.535400000000003"/>
    <n v="47.254249999999999"/>
    <n v="66.749799999999993"/>
    <n v="23.450200000000006"/>
    <n v="6.7649999999999997"/>
  </r>
  <r>
    <x v="3"/>
    <n v="21"/>
    <s v="Lunes "/>
    <x v="114"/>
    <n v="90.1"/>
    <n v="25.492304210049795"/>
    <n v="0.16900000000000001"/>
    <n v="74.873099999999994"/>
    <n v="23.690399999999993"/>
    <n v="3.7"/>
    <n v="7.4999999999999997E-2"/>
    <n v="2168"/>
    <n v="0.52700000000000002"/>
    <n v="15.226900000000001"/>
    <n v="47.482700000000001"/>
    <n v="47.214521428571437"/>
    <n v="66.409599999999998"/>
    <n v="23.690399999999993"/>
    <n v="6.7574999999999994"/>
  </r>
  <r>
    <x v="3"/>
    <n v="21"/>
    <s v="Martes"/>
    <x v="115"/>
    <n v="90.2"/>
    <n v="25.520597555454959"/>
    <n v="0.17100000000000001"/>
    <n v="74.775800000000004"/>
    <n v="23.540400000000002"/>
    <n v="3.7"/>
    <n v="7.4999999999999997E-2"/>
    <n v="2165"/>
    <n v="0.52700000000000002"/>
    <n v="15.424200000000001"/>
    <n v="47.535400000000003"/>
    <n v="47.206292857142856"/>
    <n v="66.659599999999998"/>
    <n v="23.540400000000002"/>
    <n v="6.7649999999999997"/>
  </r>
  <r>
    <x v="3"/>
    <n v="21"/>
    <s v="Miercoles"/>
    <x v="116"/>
    <n v="90.35"/>
    <n v="25.563037573562699"/>
    <n v="0.17399999999999999"/>
    <n v="74.629099999999994"/>
    <n v="23.585699999999999"/>
    <n v="3.7"/>
    <n v="7.4999999999999997E-2"/>
    <n v="2164"/>
    <n v="0.52400000000000002"/>
    <n v="15.720899999999999"/>
    <n v="47.343399999999995"/>
    <n v="47.272635714285705"/>
    <n v="66.764299999999992"/>
    <n v="23.585699999999999"/>
    <n v="6.7762499999999992"/>
  </r>
  <r>
    <x v="3"/>
    <n v="21"/>
    <s v="Jueves"/>
    <x v="117"/>
    <n v="90.35"/>
    <n v="25.563037573562699"/>
    <n v="0.16900000000000001"/>
    <n v="75.080849999999998"/>
    <n v="24.127799999999997"/>
    <n v="3.7"/>
    <n v="7.4999999999999997E-2"/>
    <n v="2175"/>
    <n v="0.52300000000000002"/>
    <n v="15.26915"/>
    <n v="47.253050000000002"/>
    <n v="47.329928571428567"/>
    <n v="66.222200000000001"/>
    <n v="24.127799999999997"/>
    <n v="6.7762499999999992"/>
  </r>
  <r>
    <x v="3"/>
    <n v="21"/>
    <s v="Viernes"/>
    <x v="118"/>
    <n v="90.45"/>
    <n v="25.591330918967863"/>
    <n v="0.17199999999999999"/>
    <n v="74.892600000000002"/>
    <n v="23.434999999999999"/>
    <n v="3.7"/>
    <n v="7.4999999999999997E-2"/>
    <n v="2171"/>
    <n v="0.52800000000000002"/>
    <n v="15.557399999999999"/>
    <n v="47.757600000000004"/>
    <n v="47.505264285714297"/>
    <n v="67.015000000000001"/>
    <n v="23.434999999999999"/>
    <n v="6.7837500000000004"/>
  </r>
  <r>
    <x v="3"/>
    <n v="21"/>
    <s v="Sábado"/>
    <x v="119"/>
    <n v="90.6"/>
    <n v="25.6337709370756"/>
    <n v="0.16900000000000001"/>
    <n v="75.288599999999988"/>
    <n v="23.842399999999987"/>
    <n v="3.7"/>
    <n v="7.4999999999999997E-2"/>
    <n v="2181"/>
    <n v="0.52700000000000002"/>
    <n v="15.311400000000001"/>
    <n v="47.746200000000002"/>
    <n v="47.521964285714283"/>
    <n v="66.757600000000011"/>
    <n v="23.842399999999987"/>
    <n v="6.794999999999999"/>
  </r>
  <r>
    <x v="3"/>
    <n v="21"/>
    <s v="Domingo"/>
    <x v="120"/>
    <n v="90.55"/>
    <n v="25.619624264373019"/>
    <n v="0.16900000000000001"/>
    <n v="75.247050000000002"/>
    <n v="24.008300000000002"/>
    <n v="3.7"/>
    <n v="7.4999999999999997E-2"/>
    <n v="2181"/>
    <n v="0.52500000000000002"/>
    <n v="15.302950000000001"/>
    <n v="47.53875"/>
    <n v="47.522442857142856"/>
    <n v="66.541699999999992"/>
    <n v="24.008300000000002"/>
    <n v="6.7912499999999998"/>
  </r>
  <r>
    <x v="3"/>
    <n v="22"/>
    <s v="Lunes "/>
    <x v="121"/>
    <n v="90.75"/>
    <n v="25.676210955183343"/>
    <n v="0.16900000000000001"/>
    <n v="75.413250000000005"/>
    <n v="24.160250000000001"/>
    <n v="3.7"/>
    <n v="7.4999999999999997E-2"/>
    <n v="2186"/>
    <n v="0.52400000000000002"/>
    <n v="15.33675"/>
    <n v="47.553000000000004"/>
    <n v="47.532485714285713"/>
    <n v="66.589749999999995"/>
    <n v="24.160250000000001"/>
    <n v="6.8062499999999995"/>
  </r>
  <r>
    <x v="3"/>
    <n v="22"/>
    <s v="Martes"/>
    <x v="122"/>
    <n v="89.9"/>
    <n v="25.435717519239478"/>
    <n v="0.16700000000000001"/>
    <n v="74.886700000000005"/>
    <n v="24.258900000000001"/>
    <n v="3.7"/>
    <n v="7.4999999999999997E-2"/>
    <n v="2168"/>
    <n v="0.52200000000000002"/>
    <n v="15.013300000000001"/>
    <n v="46.927800000000005"/>
    <n v="47.445685714285716"/>
    <n v="65.641100000000009"/>
    <n v="24.258900000000001"/>
    <n v="6.7425000000000006"/>
  </r>
  <r>
    <x v="3"/>
    <n v="22"/>
    <s v="Miercoles"/>
    <x v="123"/>
    <n v="89.8"/>
    <n v="25.407424173834315"/>
    <n v="0.16600000000000001"/>
    <n v="74.893199999999993"/>
    <n v="24.227799999999991"/>
    <n v="3.7"/>
    <n v="7.4999999999999997E-2"/>
    <n v="2168"/>
    <n v="0.52300000000000002"/>
    <n v="14.9068"/>
    <n v="46.965400000000002"/>
    <n v="47.391685714285707"/>
    <n v="65.572200000000009"/>
    <n v="24.227799999999991"/>
    <n v="6.7349999999999994"/>
  </r>
  <r>
    <x v="3"/>
    <n v="22"/>
    <s v="Jueves"/>
    <x v="124"/>
    <n v="90.3"/>
    <n v="25.548890900860119"/>
    <n v="0.17199999999999999"/>
    <n v="74.7684"/>
    <n v="23.389999999999997"/>
    <n v="3.7"/>
    <n v="7.4999999999999997E-2"/>
    <n v="2167"/>
    <n v="0.52800000000000002"/>
    <n v="15.531599999999997"/>
    <n v="47.678400000000003"/>
    <n v="47.452449999999999"/>
    <n v="66.91"/>
    <n v="23.389999999999997"/>
    <n v="6.7725"/>
  </r>
  <r>
    <x v="3"/>
    <n v="22"/>
    <s v="Viernes"/>
    <x v="125"/>
    <n v="89.8"/>
    <n v="25.407424173834315"/>
    <n v="0.16700000000000001"/>
    <n v="74.803399999999996"/>
    <n v="23.688999999999997"/>
    <n v="3.7"/>
    <n v="7.4999999999999997E-2"/>
    <n v="2164"/>
    <n v="0.52800000000000002"/>
    <n v="14.996600000000001"/>
    <n v="47.414400000000001"/>
    <n v="47.403421428571434"/>
    <n v="66.111000000000004"/>
    <n v="23.688999999999997"/>
    <n v="6.7349999999999994"/>
  </r>
  <r>
    <x v="3"/>
    <n v="22"/>
    <s v="Sábado"/>
    <x v="126"/>
    <n v="89.85"/>
    <n v="25.421570846536895"/>
    <n v="0.16700000000000001"/>
    <n v="74.845050000000001"/>
    <n v="23.704250000000005"/>
    <n v="3.7"/>
    <n v="7.4999999999999997E-2"/>
    <n v="2164"/>
    <n v="0.52800000000000002"/>
    <n v="15.004949999999999"/>
    <n v="47.440799999999996"/>
    <n v="47.359792857142857"/>
    <n v="66.145749999999992"/>
    <n v="23.704250000000005"/>
    <n v="6.7387499999999996"/>
  </r>
  <r>
    <x v="3"/>
    <n v="22"/>
    <s v="Domingo"/>
    <x v="127"/>
    <n v="90.9"/>
    <n v="25.718650973291084"/>
    <n v="0.17399999999999999"/>
    <n v="75.083400000000012"/>
    <n v="23.388200000000008"/>
    <n v="3.7"/>
    <n v="7.4999999999999997E-2"/>
    <n v="2176"/>
    <n v="0.52800000000000002"/>
    <n v="15.816599999999999"/>
    <n v="47.995200000000004"/>
    <n v="47.425000000000011"/>
    <n v="67.511799999999994"/>
    <n v="23.388200000000008"/>
    <n v="6.8174999999999999"/>
  </r>
  <r>
    <x v="3"/>
    <n v="23"/>
    <s v="Lunes "/>
    <x v="128"/>
    <n v="90.4"/>
    <n v="25.577184246265283"/>
    <n v="0.17199999999999999"/>
    <n v="74.851200000000006"/>
    <n v="23.600800000000003"/>
    <n v="3.7"/>
    <n v="7.4999999999999997E-2"/>
    <n v="2169"/>
    <n v="0.52600000000000002"/>
    <n v="15.5488"/>
    <n v="47.550400000000003"/>
    <n v="47.424628571428578"/>
    <n v="66.799199999999999"/>
    <n v="23.600800000000003"/>
    <n v="6.78"/>
  </r>
  <r>
    <x v="3"/>
    <n v="23"/>
    <s v="Martes"/>
    <x v="129"/>
    <n v="90.2"/>
    <n v="25.520597555454959"/>
    <n v="0.17199999999999999"/>
    <n v="74.685600000000008"/>
    <n v="23.360000000000003"/>
    <n v="3.7"/>
    <n v="7.4999999999999997E-2"/>
    <n v="2164"/>
    <n v="0.52800000000000002"/>
    <n v="15.514399999999998"/>
    <n v="47.625600000000006"/>
    <n v="47.52431428571429"/>
    <n v="66.84"/>
    <n v="23.360000000000003"/>
    <n v="6.7649999999999997"/>
  </r>
  <r>
    <x v="3"/>
    <n v="23"/>
    <s v="Miercoles"/>
    <x v="130"/>
    <n v="89.05"/>
    <n v="25.19522408329561"/>
    <n v="0.16500000000000001"/>
    <n v="74.356749999999991"/>
    <n v="23.994549999999993"/>
    <n v="3.7"/>
    <n v="7.4999999999999997E-2"/>
    <n v="2152"/>
    <n v="0.52400000000000002"/>
    <n v="14.693250000000001"/>
    <n v="46.662199999999999"/>
    <n v="47.481000000000002"/>
    <n v="65.055450000000008"/>
    <n v="23.994549999999993"/>
    <n v="6.67875"/>
  </r>
  <r>
    <x v="3"/>
    <n v="23"/>
    <s v="Jueves"/>
    <x v="131"/>
    <n v="89.25"/>
    <n v="25.25181077410593"/>
    <n v="0.16300000000000001"/>
    <n v="74.702249999999992"/>
    <n v="24.14599999999999"/>
    <n v="3.7"/>
    <n v="7.0000000000000007E-2"/>
    <n v="2161"/>
    <n v="0.52500000000000002"/>
    <n v="14.547750000000001"/>
    <n v="46.856250000000003"/>
    <n v="47.363549999999996"/>
    <n v="65.104000000000013"/>
    <n v="24.14599999999999"/>
    <n v="6.2475000000000005"/>
  </r>
  <r>
    <x v="3"/>
    <n v="23"/>
    <s v="Viernes"/>
    <x v="132"/>
    <n v="89.6"/>
    <n v="25.350837483023994"/>
    <n v="0.16400000000000001"/>
    <n v="74.905599999999993"/>
    <n v="23.807199999999991"/>
    <n v="3.7"/>
    <n v="7.4999999999999997E-2"/>
    <n v="2168"/>
    <n v="0.52900000000000003"/>
    <n v="14.6944"/>
    <n v="47.398400000000002"/>
    <n v="47.361264285714284"/>
    <n v="65.7928"/>
    <n v="23.807199999999991"/>
    <n v="6.72"/>
  </r>
  <r>
    <x v="3"/>
    <n v="23"/>
    <s v="Sábado"/>
    <x v="133"/>
    <n v="90.2"/>
    <n v="25.520597555454959"/>
    <n v="0.17199999999999999"/>
    <n v="74.685600000000008"/>
    <n v="22.999200000000005"/>
    <n v="3.7"/>
    <n v="7.4999999999999997E-2"/>
    <n v="2163"/>
    <n v="0.53200000000000003"/>
    <n v="15.514399999999998"/>
    <n v="47.986400000000003"/>
    <n v="47.439207142857136"/>
    <n v="67.200800000000001"/>
    <n v="22.999200000000005"/>
    <n v="6.7649999999999997"/>
  </r>
  <r>
    <x v="3"/>
    <n v="23"/>
    <s v="Domingo"/>
    <x v="134"/>
    <n v="89.5"/>
    <n v="25.322544137618834"/>
    <n v="0.16600000000000001"/>
    <n v="74.643000000000001"/>
    <n v="23.328999999999997"/>
    <n v="3.7"/>
    <n v="7.4999999999999997E-2"/>
    <n v="2159"/>
    <n v="0.53200000000000003"/>
    <n v="14.857000000000001"/>
    <n v="47.614000000000004"/>
    <n v="47.384750000000004"/>
    <n v="66.171000000000006"/>
    <n v="23.328999999999997"/>
    <n v="6.7124999999999995"/>
  </r>
  <r>
    <x v="4"/>
    <n v="24"/>
    <s v="Lunes "/>
    <x v="135"/>
    <n v="89.45"/>
    <n v="25.308397464916254"/>
    <n v="0.16500000000000001"/>
    <n v="74.690750000000008"/>
    <n v="23.582250000000005"/>
    <n v="3.7"/>
    <n v="7.4999999999999997E-2"/>
    <n v="2161"/>
    <n v="0.53"/>
    <n v="14.759250000000002"/>
    <n v="47.408500000000004"/>
    <n v="47.36447857142857"/>
    <n v="65.867750000000001"/>
    <n v="23.582250000000005"/>
    <n v="6.7087500000000002"/>
  </r>
  <r>
    <x v="4"/>
    <n v="24"/>
    <s v="Martes"/>
    <x v="136"/>
    <n v="89.15"/>
    <n v="25.223517428700774"/>
    <n v="0.161"/>
    <n v="74.796850000000006"/>
    <n v="24.114799999999999"/>
    <n v="3.7"/>
    <n v="7.0000000000000007E-2"/>
    <n v="2163"/>
    <n v="0.52700000000000002"/>
    <n v="14.353150000000001"/>
    <n v="46.982050000000008"/>
    <n v="47.272542857142859"/>
    <n v="65.035200000000003"/>
    <n v="24.114799999999999"/>
    <n v="6.2405000000000008"/>
  </r>
  <r>
    <x v="4"/>
    <n v="24"/>
    <s v="Miercoles"/>
    <x v="137"/>
    <n v="90.2"/>
    <n v="25.520597555454959"/>
    <n v="0.17"/>
    <n v="74.866"/>
    <n v="23.089400000000008"/>
    <n v="3.7"/>
    <n v="7.4999999999999997E-2"/>
    <n v="2169"/>
    <n v="0.53299999999999992"/>
    <n v="15.334000000000001"/>
    <n v="48.076599999999992"/>
    <n v="47.474600000000002"/>
    <n v="67.110599999999991"/>
    <n v="23.089400000000008"/>
    <n v="6.7649999999999997"/>
  </r>
  <r>
    <x v="4"/>
    <n v="24"/>
    <s v="Jueves"/>
    <x v="138"/>
    <n v="90.15"/>
    <n v="25.506450882752379"/>
    <n v="0.16800000000000001"/>
    <n v="75.004800000000003"/>
    <n v="23.435149999999997"/>
    <n v="3.7"/>
    <n v="7.4999999999999997E-2"/>
    <n v="2172"/>
    <n v="0.53100000000000003"/>
    <n v="15.145200000000003"/>
    <n v="47.869650000000007"/>
    <n v="47.619371428571426"/>
    <n v="66.714850000000013"/>
    <n v="23.435149999999997"/>
    <n v="6.7612500000000004"/>
  </r>
  <r>
    <x v="4"/>
    <n v="24"/>
    <s v="Viernes"/>
    <x v="139"/>
    <n v="90"/>
    <n v="25.464010864644639"/>
    <n v="0.16800000000000001"/>
    <n v="74.88"/>
    <n v="23.479999999999993"/>
    <n v="3.7"/>
    <n v="7.4999999999999997E-2"/>
    <n v="2167"/>
    <n v="0.53"/>
    <n v="15.120000000000001"/>
    <n v="47.7"/>
    <n v="47.662457142857143"/>
    <n v="66.52000000000001"/>
    <n v="23.479999999999993"/>
    <n v="6.75"/>
  </r>
  <r>
    <x v="4"/>
    <n v="24"/>
    <s v="Sábado"/>
    <x v="140"/>
    <n v="89.35"/>
    <n v="25.28010411951109"/>
    <n v="0.16500000000000001"/>
    <n v="74.607249999999993"/>
    <n v="23.730449999999994"/>
    <n v="3.7"/>
    <n v="7.4999999999999997E-2"/>
    <n v="2158"/>
    <n v="0.52800000000000002"/>
    <n v="14.742749999999999"/>
    <n v="47.1768"/>
    <n v="47.546800000000005"/>
    <n v="65.619550000000004"/>
    <n v="23.730449999999994"/>
    <n v="6.701249999999999"/>
  </r>
  <r>
    <x v="4"/>
    <n v="24"/>
    <s v="Domingo"/>
    <x v="141"/>
    <n v="89"/>
    <n v="25.18107741059303"/>
    <n v="0.161"/>
    <n v="74.670999999999992"/>
    <n v="24.067999999999994"/>
    <n v="3.7"/>
    <n v="7.0000000000000007E-2"/>
    <n v="2158"/>
    <n v="0.52700000000000002"/>
    <n v="14.329000000000001"/>
    <n v="46.902999999999999"/>
    <n v="47.445228571428579"/>
    <n v="64.932000000000002"/>
    <n v="24.067999999999994"/>
    <n v="6.23"/>
  </r>
  <r>
    <x v="4"/>
    <n v="25"/>
    <s v="Lunes "/>
    <x v="142"/>
    <n v="89.6"/>
    <n v="25.350837483023994"/>
    <n v="0.16900000000000001"/>
    <n v="74.457599999999999"/>
    <n v="22.911199999999997"/>
    <n v="3.7"/>
    <n v="7.4999999999999997E-2"/>
    <n v="2156"/>
    <n v="0.53400000000000003"/>
    <n v="15.1424"/>
    <n v="47.846400000000003"/>
    <n v="47.507785714285724"/>
    <n v="66.688800000000001"/>
    <n v="22.911199999999997"/>
    <n v="6.72"/>
  </r>
  <r>
    <x v="4"/>
    <n v="25"/>
    <s v="Martes"/>
    <x v="143"/>
    <n v="89.65"/>
    <n v="25.364984155726578"/>
    <n v="0.16600000000000001"/>
    <n v="74.768100000000004"/>
    <n v="23.28465000000001"/>
    <n v="3.7"/>
    <n v="7.4999999999999997E-2"/>
    <n v="2163"/>
    <n v="0.53299999999999992"/>
    <n v="14.881900000000002"/>
    <n v="47.783449999999995"/>
    <n v="47.62227142857143"/>
    <n v="66.365349999999992"/>
    <n v="23.28465000000001"/>
    <n v="6.7237499999999999"/>
  </r>
  <r>
    <x v="4"/>
    <n v="25"/>
    <s v="Miercoles"/>
    <x v="144"/>
    <n v="89.65"/>
    <n v="25.364984155726578"/>
    <n v="0.16400000000000001"/>
    <n v="74.947400000000002"/>
    <n v="23.553599999999999"/>
    <n v="3.7"/>
    <n v="7.4999999999999997E-2"/>
    <n v="2169"/>
    <n v="0.53200000000000003"/>
    <n v="14.702600000000002"/>
    <n v="47.693800000000003"/>
    <n v="47.56758571428572"/>
    <n v="66.096400000000003"/>
    <n v="23.553599999999999"/>
    <n v="6.7237499999999999"/>
  </r>
  <r>
    <x v="4"/>
    <n v="25"/>
    <s v="Jueves"/>
    <x v="145"/>
    <n v="89.6"/>
    <n v="25.350837483023994"/>
    <n v="0.16400000000000001"/>
    <n v="74.905599999999993"/>
    <n v="23.807199999999991"/>
    <n v="3.7"/>
    <n v="7.4999999999999997E-2"/>
    <n v="2166"/>
    <n v="0.52900000000000003"/>
    <n v="14.6944"/>
    <n v="47.398400000000002"/>
    <n v="47.500264285714273"/>
    <n v="65.7928"/>
    <n v="23.807199999999991"/>
    <n v="6.72"/>
  </r>
  <r>
    <x v="4"/>
    <n v="25"/>
    <s v="Viernes"/>
    <x v="146"/>
    <n v="90.15"/>
    <n v="25.506450882752379"/>
    <n v="0.16800000000000001"/>
    <n v="75.004800000000003"/>
    <n v="23.074549999999999"/>
    <n v="3.7"/>
    <n v="7.4999999999999997E-2"/>
    <n v="2172"/>
    <n v="0.53500000000000003"/>
    <n v="15.145200000000003"/>
    <n v="48.230250000000005"/>
    <n v="47.576014285714287"/>
    <n v="67.075450000000004"/>
    <n v="23.074549999999999"/>
    <n v="6.7612500000000004"/>
  </r>
  <r>
    <x v="4"/>
    <n v="25"/>
    <s v="Sábado"/>
    <x v="147"/>
    <n v="90.6"/>
    <n v="25.6337709370756"/>
    <n v="0.17199999999999999"/>
    <n v="75.016799999999989"/>
    <n v="22.755199999999991"/>
    <n v="3.7"/>
    <n v="7.4999999999999997E-2"/>
    <n v="2176"/>
    <n v="0.53600000000000003"/>
    <n v="15.583199999999998"/>
    <n v="48.561599999999999"/>
    <n v="47.77384285714286"/>
    <n v="67.844800000000006"/>
    <n v="22.755199999999991"/>
    <n v="6.794999999999999"/>
  </r>
  <r>
    <x v="4"/>
    <n v="25"/>
    <s v="Domingo"/>
    <x v="148"/>
    <n v="90.05"/>
    <n v="25.478157537347215"/>
    <n v="0.16900000000000001"/>
    <n v="74.831549999999993"/>
    <n v="23.224949999999989"/>
    <n v="3.7"/>
    <n v="7.4999999999999997E-2"/>
    <n v="2167"/>
    <n v="0.53200000000000003"/>
    <n v="15.218450000000001"/>
    <n v="47.906600000000005"/>
    <n v="47.917214285714294"/>
    <n v="66.825050000000005"/>
    <n v="23.224949999999989"/>
    <n v="6.7537499999999993"/>
  </r>
  <r>
    <x v="4"/>
    <n v="26"/>
    <s v="Lunes "/>
    <x v="149"/>
    <n v="90.35"/>
    <n v="25.563037573562699"/>
    <n v="0.17499999999999999"/>
    <n v="74.538749999999993"/>
    <n v="22.049749999999992"/>
    <n v="3.7"/>
    <n v="7.4999999999999997E-2"/>
    <n v="2161"/>
    <n v="0.54"/>
    <n v="15.811249999999998"/>
    <n v="48.789000000000001"/>
    <n v="48.051871428571431"/>
    <n v="68.300250000000005"/>
    <n v="22.049749999999992"/>
    <n v="6.7762499999999992"/>
  </r>
  <r>
    <x v="4"/>
    <n v="26"/>
    <s v="Martes"/>
    <x v="150"/>
    <n v="90.85"/>
    <n v="25.704504300588503"/>
    <n v="0.17199999999999999"/>
    <n v="75.223799999999997"/>
    <n v="22.646500000000007"/>
    <n v="3.7"/>
    <n v="7.4999999999999997E-2"/>
    <n v="2181"/>
    <n v="0.53799999999999992"/>
    <n v="15.626199999999997"/>
    <n v="48.877299999999991"/>
    <n v="48.208135714285717"/>
    <n v="68.203499999999991"/>
    <n v="22.646500000000007"/>
    <n v="6.8137499999999998"/>
  </r>
  <r>
    <x v="4"/>
    <n v="26"/>
    <s v="Domingo"/>
    <x v="151"/>
    <n v="90.7"/>
    <n v="25.662064282480763"/>
    <n v="0.17199999999999999"/>
    <n v="75.099600000000009"/>
    <n v="23.510000000000009"/>
    <n v="3.7"/>
    <n v="7.4999999999999997E-2"/>
    <n v="2179"/>
    <n v="0.52800000000000002"/>
    <n v="15.600399999999999"/>
    <n v="47.889600000000002"/>
    <n v="48.236107142857136"/>
    <n v="67.19"/>
    <n v="23.510000000000009"/>
    <n v="6.8025000000000002"/>
  </r>
  <r>
    <x v="4"/>
    <n v="1"/>
    <s v="Lunes "/>
    <x v="152"/>
    <n v="90.6"/>
    <n v="25.6337709370756"/>
    <n v="0.17"/>
    <n v="75.197999999999993"/>
    <n v="23.661199999999997"/>
    <n v="3.7"/>
    <n v="7.4999999999999997E-2"/>
    <n v="2179"/>
    <n v="0.52800000000000002"/>
    <n v="15.402000000000001"/>
    <n v="47.836799999999997"/>
    <n v="48.298735714285719"/>
    <n v="66.938800000000001"/>
    <n v="23.661199999999997"/>
    <n v="6.794999999999999"/>
  </r>
  <r>
    <x v="4"/>
    <n v="1"/>
    <s v="Martes"/>
    <x v="153"/>
    <n v="90.8"/>
    <n v="25.690357627885923"/>
    <n v="0.17"/>
    <n v="75.364000000000004"/>
    <n v="24.084800000000005"/>
    <n v="3.7"/>
    <n v="7.4999999999999997E-2"/>
    <n v="2184"/>
    <n v="0.52400000000000002"/>
    <n v="15.436"/>
    <n v="47.5792"/>
    <n v="48.205728571428573"/>
    <n v="66.715199999999996"/>
    <n v="24.084800000000005"/>
    <n v="6.81"/>
  </r>
  <r>
    <x v="4"/>
    <n v="1"/>
    <s v="Miercoles"/>
    <x v="154"/>
    <n v="90.2"/>
    <n v="25.520597555454959"/>
    <n v="0.16800000000000001"/>
    <n v="75.046400000000006"/>
    <n v="24.442400000000003"/>
    <n v="3.7"/>
    <n v="7.4999999999999997E-2"/>
    <n v="2173"/>
    <n v="0.52"/>
    <n v="15.153600000000001"/>
    <n v="46.904000000000003"/>
    <n v="47.968928571428577"/>
    <n v="65.757599999999996"/>
    <n v="24.442400000000003"/>
    <n v="6.7649999999999997"/>
  </r>
  <r>
    <x v="4"/>
    <n v="1"/>
    <s v="Jueves"/>
    <x v="155"/>
    <n v="89.7"/>
    <n v="25.379130828429155"/>
    <n v="0.16300000000000001"/>
    <n v="75.078900000000004"/>
    <n v="24.286400000000004"/>
    <n v="3.7"/>
    <n v="7.0000000000000007E-2"/>
    <n v="2174"/>
    <n v="0.52500000000000002"/>
    <n v="14.6211"/>
    <n v="47.092500000000001"/>
    <n v="47.852628571428568"/>
    <n v="65.413600000000002"/>
    <n v="24.286400000000004"/>
    <n v="6.2790000000000008"/>
  </r>
  <r>
    <x v="4"/>
    <n v="1"/>
    <s v="Viernes"/>
    <x v="156"/>
    <n v="90"/>
    <n v="25.464010864644639"/>
    <n v="0.16400000000000001"/>
    <n v="75.239999999999995"/>
    <n v="24.199999999999992"/>
    <n v="3.7"/>
    <n v="7.4999999999999997E-2"/>
    <n v="2177"/>
    <n v="0.52600000000000002"/>
    <n v="14.76"/>
    <n v="47.34"/>
    <n v="47.645628571428574"/>
    <n v="65.800000000000011"/>
    <n v="24.199999999999992"/>
    <n v="6.75"/>
  </r>
  <r>
    <x v="4"/>
    <n v="1"/>
    <s v="Sábado"/>
    <x v="157"/>
    <n v="90.1"/>
    <n v="25.492304210049795"/>
    <n v="0.16900000000000001"/>
    <n v="74.873099999999994"/>
    <n v="23.690399999999993"/>
    <n v="3.7"/>
    <n v="7.4999999999999997E-2"/>
    <n v="2168"/>
    <n v="0.52700000000000002"/>
    <n v="15.226900000000001"/>
    <n v="47.482700000000001"/>
    <n v="47.446400000000004"/>
    <n v="66.409599999999998"/>
    <n v="23.690399999999993"/>
    <n v="6.7574999999999994"/>
  </r>
  <r>
    <x v="4"/>
    <n v="1"/>
    <s v="Domingo"/>
    <x v="158"/>
    <n v="90.2"/>
    <n v="25.520597555454959"/>
    <n v="0.17299999999999999"/>
    <n v="74.595399999999998"/>
    <n v="22.999199999999991"/>
    <n v="3.7"/>
    <n v="7.4999999999999997E-2"/>
    <n v="2160"/>
    <n v="0.53100000000000003"/>
    <n v="15.6046"/>
    <n v="47.896200000000007"/>
    <n v="47.447342857142864"/>
    <n v="67.200800000000015"/>
    <n v="22.999199999999991"/>
    <n v="6.7649999999999997"/>
  </r>
  <r>
    <x v="4"/>
    <n v="2"/>
    <s v="Lunes "/>
    <x v="159"/>
    <n v="90.55"/>
    <n v="25.619624264373019"/>
    <n v="0.17199999999999999"/>
    <n v="74.975399999999993"/>
    <n v="23.193349999999992"/>
    <n v="3.7"/>
    <n v="7.4999999999999997E-2"/>
    <n v="2173"/>
    <n v="0.53100000000000003"/>
    <n v="15.574599999999998"/>
    <n v="48.082050000000002"/>
    <n v="47.482378571428569"/>
    <n v="67.356650000000002"/>
    <n v="23.193349999999992"/>
    <n v="6.7912499999999998"/>
  </r>
  <r>
    <x v="4"/>
    <n v="2"/>
    <s v="Martes"/>
    <x v="160"/>
    <n v="90.15"/>
    <n v="25.506450882752379"/>
    <n v="0.16900000000000001"/>
    <n v="74.914650000000009"/>
    <n v="23.615450000000006"/>
    <n v="3.7"/>
    <n v="7.4999999999999997E-2"/>
    <n v="2169"/>
    <n v="0.52800000000000002"/>
    <n v="15.235350000000002"/>
    <n v="47.599200000000003"/>
    <n v="47.485235714285707"/>
    <n v="66.534549999999996"/>
    <n v="23.615450000000006"/>
    <n v="6.7612500000000004"/>
  </r>
  <r>
    <x v="4"/>
    <n v="2"/>
    <s v="Miercoles"/>
    <x v="161"/>
    <n v="89"/>
    <n v="25.18107741059303"/>
    <n v="0.161"/>
    <n v="74.670999999999992"/>
    <n v="24.067999999999994"/>
    <n v="3.7"/>
    <n v="7.0000000000000007E-2"/>
    <n v="2158"/>
    <n v="0.52700000000000002"/>
    <n v="14.329000000000001"/>
    <n v="46.902999999999999"/>
    <n v="47.485092857142867"/>
    <n v="64.932000000000002"/>
    <n v="24.067999999999994"/>
    <n v="6.23"/>
  </r>
  <r>
    <x v="4"/>
    <n v="2"/>
    <s v="Jueves"/>
    <x v="162"/>
    <n v="89.25"/>
    <n v="25.25181077410593"/>
    <n v="0.16500000000000001"/>
    <n v="74.523750000000007"/>
    <n v="23.521250000000006"/>
    <n v="3.7"/>
    <n v="7.4999999999999997E-2"/>
    <n v="2154"/>
    <n v="0.53"/>
    <n v="14.72625"/>
    <n v="47.302500000000002"/>
    <n v="47.515092857142861"/>
    <n v="65.728749999999991"/>
    <n v="23.521250000000006"/>
    <n v="6.6937499999999996"/>
  </r>
  <r>
    <x v="4"/>
    <n v="2"/>
    <s v="Viernes"/>
    <x v="163"/>
    <n v="90.1"/>
    <n v="25.492304210049795"/>
    <n v="0.17"/>
    <n v="74.782999999999987"/>
    <n v="23.239899999999988"/>
    <n v="3.7"/>
    <n v="7.4999999999999997E-2"/>
    <n v="2166"/>
    <n v="0.53100000000000003"/>
    <n v="15.317"/>
    <n v="47.8431"/>
    <n v="47.586964285714281"/>
    <n v="66.860100000000003"/>
    <n v="23.239899999999988"/>
    <n v="6.7574999999999994"/>
  </r>
  <r>
    <x v="4"/>
    <n v="2"/>
    <s v="Sábado"/>
    <x v="164"/>
    <n v="89.8"/>
    <n v="25.407424173834315"/>
    <n v="0.17"/>
    <n v="74.533999999999992"/>
    <n v="23.419599999999992"/>
    <n v="3.7"/>
    <n v="7.4999999999999997E-2"/>
    <n v="2158"/>
    <n v="0.52800000000000002"/>
    <n v="15.266"/>
    <n v="47.414400000000001"/>
    <n v="47.577207142857148"/>
    <n v="66.380400000000009"/>
    <n v="23.419599999999992"/>
    <n v="6.7349999999999994"/>
  </r>
  <r>
    <x v="4"/>
    <n v="2"/>
    <s v="Domingo"/>
    <x v="165"/>
    <n v="89.55"/>
    <n v="25.336690810321414"/>
    <n v="0.16300000000000001"/>
    <n v="74.95335"/>
    <n v="23.165000000000003"/>
    <n v="3.7"/>
    <n v="7.4999999999999997E-2"/>
    <n v="2169"/>
    <n v="0.53700000000000003"/>
    <n v="14.59665"/>
    <n v="48.088349999999998"/>
    <n v="47.604657142857143"/>
    <n v="66.384999999999991"/>
    <n v="23.165000000000003"/>
    <n v="6.7162499999999996"/>
  </r>
  <r>
    <x v="4"/>
    <n v="3"/>
    <s v="Lunes "/>
    <x v="166"/>
    <n v="88.95"/>
    <n v="25.16693073789045"/>
    <n v="0.161"/>
    <n v="74.629050000000007"/>
    <n v="23.6966"/>
    <n v="3.7"/>
    <n v="7.0000000000000007E-2"/>
    <n v="2157"/>
    <n v="0.53100000000000003"/>
    <n v="14.320950000000002"/>
    <n v="47.232450000000007"/>
    <n v="47.483285714285721"/>
    <n v="65.253399999999999"/>
    <n v="23.6966"/>
    <n v="6.2265000000000006"/>
  </r>
  <r>
    <x v="4"/>
    <n v="3"/>
    <s v="Martes"/>
    <x v="167"/>
    <n v="89.05"/>
    <n v="25.19522408329561"/>
    <n v="0.16500000000000001"/>
    <n v="74.356749999999991"/>
    <n v="23.460249999999991"/>
    <n v="3.7"/>
    <n v="7.4999999999999997E-2"/>
    <n v="2149"/>
    <n v="0.53"/>
    <n v="14.693250000000001"/>
    <n v="47.1965"/>
    <n v="47.425757142857144"/>
    <n v="65.589750000000009"/>
    <n v="23.460249999999991"/>
    <n v="6.67875"/>
  </r>
  <r>
    <x v="4"/>
    <n v="3"/>
    <s v="Miercoles"/>
    <x v="168"/>
    <n v="89.1"/>
    <n v="25.20937075599819"/>
    <n v="0.16400000000000001"/>
    <n v="74.4876"/>
    <n v="23.564600000000002"/>
    <n v="3.7"/>
    <n v="7.0000000000000007E-2"/>
    <n v="2155"/>
    <n v="0.53"/>
    <n v="14.612399999999999"/>
    <n v="47.222999999999999"/>
    <n v="47.471471428571427"/>
    <n v="65.535399999999996"/>
    <n v="23.564600000000002"/>
    <n v="6.2370000000000001"/>
  </r>
  <r>
    <x v="4"/>
    <n v="3"/>
    <s v="Jueves"/>
    <x v="169"/>
    <n v="89.3"/>
    <n v="25.26595744680851"/>
    <n v="0.17"/>
    <n v="74.119"/>
    <n v="23.179300000000001"/>
    <n v="3.7"/>
    <n v="7.4999999999999997E-2"/>
    <n v="2146"/>
    <n v="0.52900000000000003"/>
    <n v="15.181000000000001"/>
    <n v="47.239699999999999"/>
    <n v="47.462499999999991"/>
    <n v="66.120699999999999"/>
    <n v="23.179300000000001"/>
    <n v="6.6974999999999998"/>
  </r>
  <r>
    <x v="4"/>
    <n v="3"/>
    <s v="Viernes"/>
    <x v="170"/>
    <n v="89.1"/>
    <n v="25.20937075599819"/>
    <n v="0.16600000000000001"/>
    <n v="74.309399999999997"/>
    <n v="23.653699999999997"/>
    <n v="3.7"/>
    <n v="7.4999999999999997E-2"/>
    <n v="2150"/>
    <n v="0.52700000000000002"/>
    <n v="14.7906"/>
    <n v="46.9557"/>
    <n v="47.335728571428568"/>
    <n v="65.446299999999994"/>
    <n v="23.653699999999997"/>
    <n v="6.6824999999999992"/>
  </r>
  <r>
    <x v="4"/>
    <n v="3"/>
    <s v="Domingo"/>
    <x v="171"/>
    <n v="90.15"/>
    <n v="25.506450882752379"/>
    <n v="0.17100000000000001"/>
    <n v="74.734350000000006"/>
    <n v="23.1647"/>
    <n v="3.7"/>
    <n v="7.4999999999999997E-2"/>
    <n v="2165"/>
    <n v="0.53100000000000003"/>
    <n v="15.415650000000003"/>
    <n v="47.869650000000007"/>
    <n v="47.400764285714281"/>
    <n v="66.985300000000009"/>
    <n v="23.1647"/>
    <n v="6.7612500000000004"/>
  </r>
  <r>
    <x v="5"/>
    <n v="4"/>
    <s v="Lunes "/>
    <x v="172"/>
    <n v="89.75"/>
    <n v="25.393277501131735"/>
    <n v="0.16800000000000001"/>
    <n v="74.671999999999997"/>
    <n v="23.224999999999998"/>
    <n v="3.7"/>
    <n v="7.4999999999999997E-2"/>
    <n v="2161"/>
    <n v="0.53200000000000003"/>
    <n v="15.078000000000001"/>
    <n v="47.747"/>
    <n v="47.351999999999997"/>
    <n v="66.525000000000006"/>
    <n v="23.224999999999998"/>
    <n v="6.7312500000000002"/>
  </r>
  <r>
    <x v="5"/>
    <n v="4"/>
    <s v="Martes"/>
    <x v="173"/>
    <n v="88.9"/>
    <n v="25.15278406518787"/>
    <n v="0.16200000000000001"/>
    <n v="74.498199999999997"/>
    <n v="24.036799999999996"/>
    <n v="3.7"/>
    <n v="7.0000000000000007E-2"/>
    <n v="2154"/>
    <n v="0.52600000000000002"/>
    <n v="14.401800000000001"/>
    <n v="46.761400000000002"/>
    <n v="47.284707142857144"/>
    <n v="64.863200000000006"/>
    <n v="24.036799999999996"/>
    <n v="6.2230000000000008"/>
  </r>
  <r>
    <x v="5"/>
    <n v="4"/>
    <s v="Miercoles"/>
    <x v="174"/>
    <n v="88.2"/>
    <n v="24.954730647351745"/>
    <n v="0.158"/>
    <n v="74.264399999999995"/>
    <n v="24.43579999999999"/>
    <n v="3.7"/>
    <n v="7.0000000000000007E-2"/>
    <n v="2145"/>
    <n v="0.52300000000000002"/>
    <n v="13.935600000000001"/>
    <n v="46.128600000000006"/>
    <n v="47.132150000000003"/>
    <n v="63.764200000000017"/>
    <n v="24.43579999999999"/>
    <n v="6.1740000000000004"/>
  </r>
  <r>
    <x v="5"/>
    <n v="4"/>
    <s v="Jueves"/>
    <x v="175"/>
    <n v="88.4"/>
    <n v="25.011317338162069"/>
    <n v="0.158"/>
    <n v="74.4328"/>
    <n v="24.057599999999997"/>
    <n v="3.7"/>
    <n v="7.0000000000000007E-2"/>
    <n v="2149"/>
    <n v="0.52800000000000002"/>
    <n v="13.967200000000002"/>
    <n v="46.675200000000004"/>
    <n v="47.053892857142856"/>
    <n v="64.342400000000012"/>
    <n v="24.057599999999997"/>
    <n v="6.1880000000000006"/>
  </r>
  <r>
    <x v="5"/>
    <n v="4"/>
    <s v="Viernes"/>
    <x v="176"/>
    <n v="89.05"/>
    <n v="25.19522408329561"/>
    <n v="0.16600000000000001"/>
    <n v="74.267699999999991"/>
    <n v="23.282149999999991"/>
    <n v="3.7"/>
    <n v="7.4999999999999997E-2"/>
    <n v="2149"/>
    <n v="0.53100000000000003"/>
    <n v="14.782300000000001"/>
    <n v="47.285550000000001"/>
    <n v="47.06044285714286"/>
    <n v="65.76785000000001"/>
    <n v="23.282149999999991"/>
    <n v="6.67875"/>
  </r>
  <r>
    <x v="5"/>
    <n v="4"/>
    <s v="Sábado"/>
    <x v="177"/>
    <n v="89.3"/>
    <n v="25.26595744680851"/>
    <n v="0.16800000000000001"/>
    <n v="74.297600000000003"/>
    <n v="23.000700000000013"/>
    <n v="3.7"/>
    <n v="7.4999999999999997E-2"/>
    <n v="2150"/>
    <n v="0.53299999999999992"/>
    <n v="15.0024"/>
    <n v="47.596899999999991"/>
    <n v="47.15204285714286"/>
    <n v="66.299299999999988"/>
    <n v="23.000700000000013"/>
    <n v="6.6974999999999998"/>
  </r>
  <r>
    <x v="5"/>
    <n v="4"/>
    <s v="Domingo"/>
    <x v="178"/>
    <n v="89.65"/>
    <n v="25.364984155726578"/>
    <n v="0.17100000000000001"/>
    <n v="74.319850000000002"/>
    <n v="22.657099999999996"/>
    <n v="3.7"/>
    <n v="7.4999999999999997E-2"/>
    <n v="2152"/>
    <n v="0.53500000000000003"/>
    <n v="15.330150000000001"/>
    <n v="47.962750000000007"/>
    <n v="47.165342857142868"/>
    <n v="66.992900000000006"/>
    <n v="22.657099999999996"/>
    <n v="6.7237499999999999"/>
  </r>
  <r>
    <x v="5"/>
    <n v="5"/>
    <s v="Lunes "/>
    <x v="179"/>
    <n v="89.8"/>
    <n v="25.407424173834315"/>
    <n v="0.16900000000000001"/>
    <n v="74.623800000000003"/>
    <n v="22.970600000000001"/>
    <n v="3.7"/>
    <n v="7.4999999999999997E-2"/>
    <n v="2161"/>
    <n v="0.53400000000000003"/>
    <n v="15.1762"/>
    <n v="47.953200000000002"/>
    <n v="47.194800000000001"/>
    <n v="66.829399999999993"/>
    <n v="22.970600000000001"/>
    <n v="6.7349999999999994"/>
  </r>
  <r>
    <x v="5"/>
    <n v="5"/>
    <s v="Martes"/>
    <x v="180"/>
    <n v="89.6"/>
    <n v="25.350837483023994"/>
    <n v="0.16900000000000001"/>
    <n v="74.457599999999999"/>
    <n v="22.8216"/>
    <n v="3.7"/>
    <n v="7.4999999999999997E-2"/>
    <n v="2156"/>
    <n v="0.53500000000000003"/>
    <n v="15.1424"/>
    <n v="47.936"/>
    <n v="47.3626"/>
    <n v="66.778399999999991"/>
    <n v="22.8216"/>
    <n v="6.72"/>
  </r>
  <r>
    <x v="5"/>
    <n v="5"/>
    <s v="Miercoles"/>
    <x v="181"/>
    <n v="88.6"/>
    <n v="25.067904028972386"/>
    <n v="0.16300000000000001"/>
    <n v="74.158199999999994"/>
    <n v="23.500199999999996"/>
    <n v="3.7"/>
    <n v="7.0000000000000007E-2"/>
    <n v="2144"/>
    <n v="0.53"/>
    <n v="14.441799999999999"/>
    <n v="46.957999999999998"/>
    <n v="47.481085714285719"/>
    <n v="65.099800000000002"/>
    <n v="23.500199999999996"/>
    <n v="6.202"/>
  </r>
  <r>
    <x v="5"/>
    <n v="5"/>
    <s v="Jueves"/>
    <x v="182"/>
    <n v="89"/>
    <n v="25.18107741059303"/>
    <n v="0.16200000000000001"/>
    <n v="74.581999999999994"/>
    <n v="23.355999999999991"/>
    <n v="3.7"/>
    <n v="7.0000000000000007E-2"/>
    <n v="2156"/>
    <n v="0.53400000000000003"/>
    <n v="14.418000000000001"/>
    <n v="47.526000000000003"/>
    <n v="47.602628571428575"/>
    <n v="65.644000000000005"/>
    <n v="23.355999999999991"/>
    <n v="6.23"/>
  </r>
  <r>
    <x v="5"/>
    <n v="5"/>
    <s v="Viernes"/>
    <x v="183"/>
    <n v="89.2"/>
    <n v="25.237664101403354"/>
    <n v="0.16600000000000001"/>
    <n v="74.392799999999994"/>
    <n v="23.327599999999993"/>
    <n v="3.7"/>
    <n v="7.4999999999999997E-2"/>
    <n v="2152"/>
    <n v="0.53100000000000003"/>
    <n v="14.807200000000002"/>
    <n v="47.365200000000002"/>
    <n v="47.614007142857147"/>
    <n v="65.872400000000013"/>
    <n v="23.327599999999993"/>
    <n v="6.69"/>
  </r>
  <r>
    <x v="5"/>
    <n v="5"/>
    <s v="Sábado"/>
    <x v="184"/>
    <n v="89.1"/>
    <n v="25.20937075599819"/>
    <n v="0.16400000000000001"/>
    <n v="74.4876"/>
    <n v="23.4755"/>
    <n v="3.7"/>
    <n v="7.4999999999999997E-2"/>
    <n v="2153"/>
    <n v="0.53100000000000003"/>
    <n v="14.612399999999999"/>
    <n v="47.312100000000001"/>
    <n v="47.573321428571433"/>
    <n v="65.624499999999998"/>
    <n v="23.4755"/>
    <n v="6.6824999999999992"/>
  </r>
  <r>
    <x v="5"/>
    <n v="5"/>
    <s v="Domingo"/>
    <x v="185"/>
    <n v="88.8"/>
    <n v="25.12449071978271"/>
    <n v="0.16"/>
    <n v="74.591999999999999"/>
    <n v="23.827999999999999"/>
    <n v="3.7"/>
    <n v="7.0000000000000007E-2"/>
    <n v="2155"/>
    <n v="0.53"/>
    <n v="14.208"/>
    <n v="47.064"/>
    <n v="47.444928571428576"/>
    <n v="64.971999999999994"/>
    <n v="23.827999999999999"/>
    <n v="6.2160000000000002"/>
  </r>
  <r>
    <x v="5"/>
    <n v="6"/>
    <s v="Lunes "/>
    <x v="186"/>
    <n v="89.15"/>
    <n v="25.223517428700774"/>
    <n v="0.16800000000000001"/>
    <n v="74.172800000000009"/>
    <n v="23.401600000000006"/>
    <n v="3.7"/>
    <n v="7.4999999999999997E-2"/>
    <n v="2146"/>
    <n v="0.52800000000000002"/>
    <n v="14.977200000000002"/>
    <n v="47.071200000000005"/>
    <n v="47.318928571428579"/>
    <n v="65.748400000000004"/>
    <n v="23.401600000000006"/>
    <n v="6.6862500000000002"/>
  </r>
  <r>
    <x v="5"/>
    <n v="6"/>
    <s v="Martes"/>
    <x v="187"/>
    <n v="89.05"/>
    <n v="25.19522408329561"/>
    <n v="0.16800000000000001"/>
    <n v="74.08959999999999"/>
    <n v="22.925949999999997"/>
    <n v="3.7"/>
    <n v="7.4999999999999997E-2"/>
    <n v="2143"/>
    <n v="0.53299999999999992"/>
    <n v="14.9604"/>
    <n v="47.463649999999994"/>
    <n v="47.251449999999991"/>
    <n v="66.124049999999997"/>
    <n v="22.925949999999997"/>
    <n v="6.67875"/>
  </r>
  <r>
    <x v="5"/>
    <n v="6"/>
    <s v="Miercoles"/>
    <x v="188"/>
    <n v="89.5"/>
    <n v="25.322544137618834"/>
    <n v="0.17100000000000001"/>
    <n v="74.195499999999996"/>
    <n v="22.792000000000005"/>
    <n v="3.7"/>
    <n v="7.4999999999999997E-2"/>
    <n v="2147"/>
    <n v="0.53299999999999992"/>
    <n v="15.304500000000001"/>
    <n v="47.703499999999991"/>
    <n v="47.357949999999995"/>
    <n v="66.707999999999998"/>
    <n v="22.792000000000005"/>
    <n v="6.7124999999999995"/>
  </r>
  <r>
    <x v="5"/>
    <n v="6"/>
    <s v="Jueves"/>
    <x v="189"/>
    <n v="89.25"/>
    <n v="25.25181077410593"/>
    <n v="0.16700000000000001"/>
    <n v="74.345249999999993"/>
    <n v="22.985749999999992"/>
    <n v="3.7"/>
    <n v="7.4999999999999997E-2"/>
    <n v="2151"/>
    <n v="0.53400000000000003"/>
    <n v="14.904750000000002"/>
    <n v="47.659500000000001"/>
    <n v="47.377021428571425"/>
    <n v="66.264250000000004"/>
    <n v="22.985749999999992"/>
    <n v="6.6937499999999996"/>
  </r>
  <r>
    <x v="5"/>
    <n v="6"/>
    <s v="Viernes"/>
    <x v="190"/>
    <n v="88.45"/>
    <n v="25.025464010864646"/>
    <n v="0.159"/>
    <n v="74.386449999999996"/>
    <n v="24.161749999999994"/>
    <n v="3.7"/>
    <n v="7.0000000000000007E-2"/>
    <n v="2150"/>
    <n v="0.52600000000000002"/>
    <n v="14.063550000000001"/>
    <n v="46.524700000000003"/>
    <n v="47.256950000000003"/>
    <n v="64.288250000000005"/>
    <n v="24.161749999999994"/>
    <n v="6.1915000000000004"/>
  </r>
  <r>
    <x v="5"/>
    <n v="6"/>
    <s v="Sábado"/>
    <x v="191"/>
    <n v="88.05"/>
    <n v="24.912290629244001"/>
    <n v="0.156"/>
    <n v="74.3142"/>
    <n v="24.211850000000002"/>
    <n v="3.7"/>
    <n v="7.0000000000000007E-2"/>
    <n v="2145"/>
    <n v="0.52700000000000002"/>
    <n v="13.735799999999999"/>
    <n v="46.402349999999998"/>
    <n v="47.126985714285716"/>
    <n v="63.838149999999999"/>
    <n v="24.211850000000002"/>
    <n v="6.1635"/>
  </r>
  <r>
    <x v="5"/>
    <n v="6"/>
    <s v="Domingo"/>
    <x v="192"/>
    <n v="87.65"/>
    <n v="24.799117247623361"/>
    <n v="0.154"/>
    <n v="74.151900000000012"/>
    <n v="24.085050000000006"/>
    <n v="3.7"/>
    <n v="7.0000000000000007E-2"/>
    <n v="2139"/>
    <n v="0.52900000000000003"/>
    <n v="13.498100000000001"/>
    <n v="46.366850000000007"/>
    <n v="47.027392857142857"/>
    <n v="63.564949999999996"/>
    <n v="24.085050000000006"/>
    <n v="6.1355000000000013"/>
  </r>
  <r>
    <x v="5"/>
    <n v="7"/>
    <s v="Lunes "/>
    <x v="193"/>
    <n v="88.1"/>
    <n v="24.926437301946581"/>
    <n v="0.159"/>
    <n v="74.092099999999988"/>
    <n v="23.799099999999989"/>
    <n v="3.6"/>
    <n v="7.0000000000000007E-2"/>
    <n v="2139"/>
    <n v="0.53"/>
    <n v="14.007899999999999"/>
    <n v="46.692999999999998"/>
    <n v="46.973364285714283"/>
    <n v="64.300900000000013"/>
    <n v="23.799099999999989"/>
    <n v="6.1669999999999998"/>
  </r>
  <r>
    <x v="5"/>
    <n v="7"/>
    <s v="Martes"/>
    <x v="194"/>
    <n v="88.1"/>
    <n v="24.926437301946581"/>
    <n v="0.159"/>
    <n v="74.092099999999988"/>
    <n v="23.434799999999999"/>
    <n v="3.7"/>
    <n v="7.0000000000000007E-2"/>
    <n v="2140"/>
    <n v="0.53299999999999992"/>
    <n v="14.007899999999999"/>
    <n v="46.957299999999989"/>
    <n v="46.901028571428569"/>
    <n v="64.665199999999999"/>
    <n v="23.434799999999999"/>
    <n v="6.1669999999999998"/>
  </r>
  <r>
    <x v="5"/>
    <n v="7"/>
    <s v="Miercoles"/>
    <x v="195"/>
    <n v="88.35"/>
    <n v="24.997170665459485"/>
    <n v="0.16400000000000001"/>
    <n v="73.860599999999991"/>
    <n v="22.816649999999989"/>
    <n v="3.6"/>
    <n v="7.0000000000000007E-2"/>
    <n v="2136"/>
    <n v="0.53700000000000003"/>
    <n v="14.4894"/>
    <n v="47.443950000000001"/>
    <n v="46.863949999999996"/>
    <n v="65.533350000000013"/>
    <n v="22.816649999999989"/>
    <n v="6.1844999999999999"/>
  </r>
  <r>
    <x v="5"/>
    <n v="7"/>
    <s v="Sábado"/>
    <x v="196"/>
    <n v="89.45"/>
    <n v="25.308397464916254"/>
    <n v="0.16800000000000001"/>
    <n v="74.422399999999996"/>
    <n v="22.866649999999989"/>
    <n v="3.7"/>
    <n v="7.4999999999999997E-2"/>
    <n v="2154"/>
    <n v="0.53500000000000003"/>
    <n v="15.027600000000001"/>
    <n v="47.855750000000008"/>
    <n v="46.891985714285717"/>
    <n v="66.58335000000001"/>
    <n v="22.866649999999989"/>
    <n v="6.7087500000000002"/>
  </r>
  <r>
    <x v="5"/>
    <n v="7"/>
    <s v="Domingo"/>
    <x v="197"/>
    <n v="88.3"/>
    <n v="24.983023992756905"/>
    <n v="0.159"/>
    <n v="74.260300000000001"/>
    <n v="23.761300000000002"/>
    <n v="3.7"/>
    <n v="7.0000000000000007E-2"/>
    <n v="2145"/>
    <n v="0.53"/>
    <n v="14.0397"/>
    <n v="46.798999999999999"/>
    <n v="46.931171428571425"/>
    <n v="64.538699999999992"/>
    <n v="23.761300000000002"/>
    <n v="6.181"/>
  </r>
  <r>
    <x v="5"/>
    <n v="8"/>
    <s v="Lunes "/>
    <x v="198"/>
    <n v="88.45"/>
    <n v="25.025464010864646"/>
    <n v="0.161"/>
    <n v="74.209550000000007"/>
    <n v="23.719500000000007"/>
    <n v="3.7"/>
    <n v="7.0000000000000007E-2"/>
    <n v="2145"/>
    <n v="0.52900000000000003"/>
    <n v="14.240450000000001"/>
    <n v="46.790050000000001"/>
    <n v="46.986557142857144"/>
    <n v="64.730499999999992"/>
    <n v="23.719500000000007"/>
    <n v="6.1915000000000004"/>
  </r>
  <r>
    <x v="5"/>
    <n v="8"/>
    <s v="Martes"/>
    <x v="199"/>
    <n v="87.85"/>
    <n v="24.855703938433681"/>
    <n v="0.155"/>
    <n v="74.233249999999998"/>
    <n v="23.884899999999998"/>
    <n v="3.7"/>
    <n v="7.0000000000000007E-2"/>
    <n v="2143"/>
    <n v="0.53100000000000003"/>
    <n v="13.61675"/>
    <n v="46.648350000000001"/>
    <n v="47.026771428571422"/>
    <n v="63.965099999999993"/>
    <n v="23.884899999999998"/>
    <n v="6.1494999999999997"/>
  </r>
  <r>
    <x v="5"/>
    <n v="8"/>
    <s v="Miercoles"/>
    <x v="200"/>
    <n v="88.45"/>
    <n v="25.025464010864646"/>
    <n v="0.16"/>
    <n v="74.298000000000002"/>
    <n v="23.100349999999995"/>
    <n v="3.7"/>
    <n v="7.0000000000000007E-2"/>
    <n v="2147"/>
    <n v="0.53700000000000003"/>
    <n v="14.152000000000001"/>
    <n v="47.497650000000007"/>
    <n v="47.141721428571437"/>
    <n v="65.349650000000011"/>
    <n v="23.100349999999995"/>
    <n v="6.1915000000000004"/>
  </r>
  <r>
    <x v="5"/>
    <n v="8"/>
    <s v="Jueves"/>
    <x v="201"/>
    <n v="88.8"/>
    <n v="25.12449071978271"/>
    <n v="0.16300000000000001"/>
    <n v="74.325599999999994"/>
    <n v="23.117599999999992"/>
    <n v="3.7"/>
    <n v="7.0000000000000007E-2"/>
    <n v="2150"/>
    <n v="0.53500000000000003"/>
    <n v="14.474399999999999"/>
    <n v="47.508000000000003"/>
    <n v="47.220392857142862"/>
    <n v="65.682400000000001"/>
    <n v="23.117599999999992"/>
    <n v="6.2160000000000002"/>
  </r>
  <r>
    <x v="5"/>
    <n v="8"/>
    <s v="Viernes"/>
    <x v="202"/>
    <n v="88.6"/>
    <n v="25.067904028972386"/>
    <n v="0.159"/>
    <n v="74.512599999999992"/>
    <n v="23.588800000000003"/>
    <n v="3.7"/>
    <n v="7.0000000000000007E-2"/>
    <n v="2153"/>
    <n v="0.53299999999999992"/>
    <n v="14.087399999999999"/>
    <n v="47.22379999999999"/>
    <n v="47.188942857142855"/>
    <n v="65.011199999999988"/>
    <n v="23.588800000000003"/>
    <n v="6.202"/>
  </r>
  <r>
    <x v="5"/>
    <n v="8"/>
    <s v="Sábado"/>
    <x v="203"/>
    <n v="87.35"/>
    <n v="24.714237211407877"/>
    <n v="0.155"/>
    <n v="73.810749999999999"/>
    <n v="23.8279"/>
    <n v="3.6"/>
    <n v="7.0000000000000007E-2"/>
    <n v="2130"/>
    <n v="0.53100000000000003"/>
    <n v="13.539249999999999"/>
    <n v="46.382849999999998"/>
    <n v="46.978528571428576"/>
    <n v="63.522099999999995"/>
    <n v="23.8279"/>
    <n v="6.1145000000000005"/>
  </r>
  <r>
    <x v="5"/>
    <n v="8"/>
    <s v="Domingo"/>
    <x v="204"/>
    <n v="87.4"/>
    <n v="24.72838388411046"/>
    <n v="0.158"/>
    <n v="73.590800000000002"/>
    <n v="23.581399999999995"/>
    <n v="3.6"/>
    <n v="7.0000000000000007E-2"/>
    <n v="2124"/>
    <n v="0.53100000000000003"/>
    <n v="13.809200000000001"/>
    <n v="46.409400000000005"/>
    <n v="46.922871428571433"/>
    <n v="63.818600000000011"/>
    <n v="23.581399999999995"/>
    <n v="6.1180000000000012"/>
  </r>
  <r>
    <x v="5"/>
    <n v="9"/>
    <s v="Lunes "/>
    <x v="205"/>
    <n v="87.75"/>
    <n v="24.827410593028521"/>
    <n v="0.156"/>
    <n v="74.061000000000007"/>
    <n v="23.414750000000002"/>
    <n v="3.7"/>
    <n v="7.0000000000000007E-2"/>
    <n v="2138"/>
    <n v="0.53500000000000003"/>
    <n v="13.689"/>
    <n v="46.946250000000006"/>
    <n v="46.945185714285721"/>
    <n v="64.335250000000002"/>
    <n v="23.414750000000002"/>
    <n v="6.142500000000001"/>
  </r>
  <r>
    <x v="5"/>
    <n v="9"/>
    <s v="Martes"/>
    <x v="206"/>
    <n v="87.2"/>
    <n v="24.671797193300137"/>
    <n v="0.152"/>
    <n v="73.945599999999999"/>
    <n v="23.606399999999994"/>
    <n v="3.6"/>
    <n v="7.0000000000000007E-2"/>
    <n v="2132"/>
    <n v="0.53600000000000003"/>
    <n v="13.2544"/>
    <n v="46.739200000000004"/>
    <n v="46.958164285714282"/>
    <n v="63.593600000000009"/>
    <n v="23.606399999999994"/>
    <n v="6.104000000000001"/>
  </r>
  <r>
    <x v="5"/>
    <n v="9"/>
    <s v="Miercoles"/>
    <x v="207"/>
    <n v="87.2"/>
    <n v="24.671797193300137"/>
    <n v="0.154"/>
    <n v="73.771200000000007"/>
    <n v="23.519200000000005"/>
    <n v="3.6"/>
    <n v="7.0000000000000007E-2"/>
    <n v="2129"/>
    <n v="0.53500000000000003"/>
    <n v="13.428800000000001"/>
    <n v="46.652000000000001"/>
    <n v="46.837357142857137"/>
    <n v="63.680799999999998"/>
    <n v="23.519200000000005"/>
    <n v="6.104000000000001"/>
  </r>
  <r>
    <x v="5"/>
    <n v="9"/>
    <s v="Jueves"/>
    <x v="208"/>
    <n v="88.4"/>
    <n v="25.011317338162069"/>
    <n v="0.16"/>
    <n v="74.256"/>
    <n v="23.085199999999997"/>
    <n v="3.7"/>
    <n v="7.0000000000000007E-2"/>
    <n v="2146"/>
    <n v="0.53700000000000003"/>
    <n v="14.144000000000002"/>
    <n v="47.470800000000004"/>
    <n v="46.832042857142866"/>
    <n v="65.314800000000005"/>
    <n v="23.085199999999997"/>
    <n v="6.1880000000000006"/>
  </r>
  <r>
    <x v="5"/>
    <n v="9"/>
    <s v="Viernes"/>
    <x v="209"/>
    <n v="88"/>
    <n v="24.898143956541425"/>
    <n v="0.154"/>
    <n v="74.448000000000008"/>
    <n v="23.668000000000003"/>
    <n v="3.7"/>
    <n v="7.0000000000000007E-2"/>
    <n v="2146"/>
    <n v="0.53500000000000003"/>
    <n v="13.552"/>
    <n v="47.080000000000005"/>
    <n v="46.811500000000002"/>
    <n v="64.331999999999994"/>
    <n v="23.668000000000003"/>
    <n v="6.16"/>
  </r>
  <r>
    <x v="5"/>
    <n v="9"/>
    <s v="Sábado"/>
    <x v="210"/>
    <n v="87.85"/>
    <n v="24.855703938433681"/>
    <n v="0.155"/>
    <n v="74.233249999999998"/>
    <n v="23.5335"/>
    <n v="3.7"/>
    <n v="7.0000000000000007E-2"/>
    <n v="2142"/>
    <n v="0.53500000000000003"/>
    <n v="13.61675"/>
    <n v="46.999749999999999"/>
    <n v="46.899628571428572"/>
    <n v="64.316499999999991"/>
    <n v="23.5335"/>
    <n v="6.1494999999999997"/>
  </r>
  <r>
    <x v="5"/>
    <n v="9"/>
    <s v="Domingo"/>
    <x v="211"/>
    <n v="87.85"/>
    <n v="24.855703938433681"/>
    <n v="0.157"/>
    <n v="74.057549999999992"/>
    <n v="23.457799999999992"/>
    <n v="3.6"/>
    <n v="7.0000000000000007E-2"/>
    <n v="2138"/>
    <n v="0.53500000000000003"/>
    <n v="13.792449999999999"/>
    <n v="46.999749999999999"/>
    <n v="46.983964285714286"/>
    <n v="64.392200000000003"/>
    <n v="23.457799999999992"/>
    <n v="6.1494999999999997"/>
  </r>
  <r>
    <x v="5"/>
    <n v="10"/>
    <s v="Lunes "/>
    <x v="212"/>
    <n v="88.85"/>
    <n v="25.138637392485286"/>
    <n v="0.16500000000000001"/>
    <n v="74.189749999999989"/>
    <n v="23.043849999999988"/>
    <n v="3.7"/>
    <n v="7.4999999999999997E-2"/>
    <n v="2144"/>
    <n v="0.53400000000000003"/>
    <n v="14.66025"/>
    <n v="47.445900000000002"/>
    <n v="47.055342857142861"/>
    <n v="65.806150000000002"/>
    <n v="23.043849999999988"/>
    <n v="6.6637499999999994"/>
  </r>
  <r>
    <x v="5"/>
    <n v="10"/>
    <s v="Martes"/>
    <x v="213"/>
    <n v="87.95"/>
    <n v="24.883997283838845"/>
    <n v="0.157"/>
    <n v="74.141850000000005"/>
    <n v="23.828350000000004"/>
    <n v="3.7"/>
    <n v="7.0000000000000007E-2"/>
    <n v="2141"/>
    <n v="0.53"/>
    <n v="13.808150000000001"/>
    <n v="46.613500000000002"/>
    <n v="47.037385714285719"/>
    <n v="64.121650000000002"/>
    <n v="23.828350000000004"/>
    <n v="6.1565000000000012"/>
  </r>
  <r>
    <x v="5"/>
    <n v="10"/>
    <s v="Miercoles"/>
    <x v="214"/>
    <n v="88.7"/>
    <n v="25.096197374377549"/>
    <n v="0.16400000000000001"/>
    <n v="74.153199999999998"/>
    <n v="22.998699999999996"/>
    <n v="3.7"/>
    <n v="7.0000000000000007E-2"/>
    <n v="2143"/>
    <n v="0.53500000000000003"/>
    <n v="14.546800000000001"/>
    <n v="47.454500000000003"/>
    <n v="47.152028571428573"/>
    <n v="65.701300000000003"/>
    <n v="22.998699999999996"/>
    <n v="6.2090000000000005"/>
  </r>
  <r>
    <x v="5"/>
    <n v="10"/>
    <s v="Jueves"/>
    <x v="215"/>
    <n v="89.05"/>
    <n v="25.19522408329561"/>
    <n v="0.161"/>
    <n v="74.712949999999992"/>
    <n v="23.282149999999991"/>
    <n v="3.7"/>
    <n v="7.0000000000000007E-2"/>
    <n v="2159"/>
    <n v="0.53600000000000003"/>
    <n v="14.33705"/>
    <n v="47.730800000000002"/>
    <n v="47.18917142857142"/>
    <n v="65.76785000000001"/>
    <n v="23.282149999999991"/>
    <n v="6.2335000000000003"/>
  </r>
  <r>
    <x v="5"/>
    <n v="10"/>
    <s v="Viernes"/>
    <x v="216"/>
    <n v="88.15"/>
    <n v="24.940583974649165"/>
    <n v="0.16"/>
    <n v="74.046000000000006"/>
    <n v="23.626500000000004"/>
    <n v="3.7"/>
    <n v="7.0000000000000007E-2"/>
    <n v="2139"/>
    <n v="0.53"/>
    <n v="14.104000000000001"/>
    <n v="46.719500000000004"/>
    <n v="47.137671428571423"/>
    <n v="64.523499999999999"/>
    <n v="23.626500000000004"/>
    <n v="6.1705000000000014"/>
  </r>
  <r>
    <x v="5"/>
    <n v="10"/>
    <s v="Sábado"/>
    <x v="217"/>
    <n v="87.85"/>
    <n v="24.855703938433681"/>
    <n v="0.155"/>
    <n v="74.233249999999998"/>
    <n v="24.236299999999996"/>
    <n v="3.7"/>
    <n v="7.0000000000000007E-2"/>
    <n v="2142"/>
    <n v="0.52700000000000002"/>
    <n v="13.61675"/>
    <n v="46.296950000000002"/>
    <n v="47.037271428571422"/>
    <n v="63.613699999999994"/>
    <n v="24.236299999999996"/>
    <n v="6.1494999999999997"/>
  </r>
  <r>
    <x v="5"/>
    <n v="10"/>
    <s v="Domingo"/>
    <x v="218"/>
    <n v="87.8"/>
    <n v="24.841557265731101"/>
    <n v="0.154"/>
    <n v="74.278800000000004"/>
    <n v="23.957000000000004"/>
    <n v="3.7"/>
    <n v="7.0000000000000007E-2"/>
    <n v="2144"/>
    <n v="0.53100000000000003"/>
    <n v="13.521199999999999"/>
    <n v="46.6218"/>
    <n v="46.983278571428578"/>
    <n v="63.842999999999989"/>
    <n v="23.957000000000004"/>
    <n v="6.1460000000000008"/>
  </r>
  <r>
    <x v="5"/>
    <n v="11"/>
    <s v="Lunes "/>
    <x v="219"/>
    <n v="88.15"/>
    <n v="24.940583974649165"/>
    <n v="0.16"/>
    <n v="74.046000000000006"/>
    <n v="23.197600000000001"/>
    <n v="3.6"/>
    <n v="7.0000000000000007E-2"/>
    <n v="2139"/>
    <n v="0.53600000000000003"/>
    <n v="14.104000000000001"/>
    <n v="47.248400000000004"/>
    <n v="46.955064285714293"/>
    <n v="64.952400000000011"/>
    <n v="23.197600000000001"/>
    <n v="6.1705000000000014"/>
  </r>
  <r>
    <x v="5"/>
    <n v="11"/>
    <s v="Viernes"/>
    <x v="220"/>
    <n v="88.2"/>
    <n v="24.954730647351745"/>
    <n v="0.161"/>
    <n v="73.999800000000008"/>
    <n v="22.86"/>
    <n v="3.6"/>
    <n v="7.0000000000000007E-2"/>
    <n v="2138"/>
    <n v="0.53900000000000003"/>
    <n v="14.200200000000001"/>
    <n v="47.539800000000007"/>
    <n v="47.087392857142859"/>
    <n v="65.34"/>
    <n v="22.86"/>
    <n v="6.1740000000000004"/>
  </r>
  <r>
    <x v="5"/>
    <n v="11"/>
    <s v="Sábado"/>
    <x v="221"/>
    <n v="88.25"/>
    <n v="24.968877320054325"/>
    <n v="0.159"/>
    <n v="74.218249999999998"/>
    <n v="23.216249999999999"/>
    <n v="3.7"/>
    <n v="7.0000000000000007E-2"/>
    <n v="2143"/>
    <n v="0.53600000000000003"/>
    <n v="14.031750000000001"/>
    <n v="47.302"/>
    <n v="47.065607142857154"/>
    <n v="65.033749999999998"/>
    <n v="23.216249999999999"/>
    <n v="6.1775000000000002"/>
  </r>
  <r>
    <x v="5"/>
    <n v="11"/>
    <s v="Domingo"/>
    <x v="222"/>
    <n v="87.95"/>
    <n v="24.883997283838845"/>
    <n v="0.161"/>
    <n v="73.790050000000008"/>
    <n v="23.312700000000014"/>
    <n v="3.6"/>
    <n v="7.0000000000000007E-2"/>
    <n v="2131"/>
    <n v="0.53299999999999992"/>
    <n v="14.15995"/>
    <n v="46.877349999999993"/>
    <n v="46.943685714285714"/>
    <n v="64.637299999999982"/>
    <n v="23.312700000000014"/>
    <n v="6.1565000000000012"/>
  </r>
  <r>
    <x v="6"/>
    <n v="12"/>
    <s v="Lunes "/>
    <x v="223"/>
    <n v="89.1"/>
    <n v="25.20937075599819"/>
    <n v="0.161"/>
    <n v="74.754899999999992"/>
    <n v="23.475499999999993"/>
    <n v="3.7"/>
    <n v="7.0000000000000007E-2"/>
    <n v="2162"/>
    <n v="0.53400000000000003"/>
    <n v="14.345099999999999"/>
    <n v="47.5794"/>
    <n v="47.066528571428577"/>
    <n v="65.624499999999998"/>
    <n v="23.475499999999993"/>
    <n v="6.2370000000000001"/>
  </r>
  <r>
    <x v="6"/>
    <n v="12"/>
    <s v="Martes"/>
    <x v="224"/>
    <n v="87.7"/>
    <n v="24.813263920325941"/>
    <n v="0.158"/>
    <n v="73.843400000000003"/>
    <n v="23.674699999999994"/>
    <n v="3.6"/>
    <n v="7.0000000000000007E-2"/>
    <n v="2131"/>
    <n v="0.53100000000000003"/>
    <n v="13.8566"/>
    <n v="46.568700000000007"/>
    <n v="47.105350000000008"/>
    <n v="64.025300000000016"/>
    <n v="23.674699999999994"/>
    <n v="6.1390000000000011"/>
  </r>
  <r>
    <x v="6"/>
    <n v="12"/>
    <s v="Miercoles"/>
    <x v="225"/>
    <n v="87.6"/>
    <n v="24.784970574920777"/>
    <n v="0.155"/>
    <n v="74.021999999999991"/>
    <n v="23.906399999999991"/>
    <n v="3.6"/>
    <n v="7.0000000000000007E-2"/>
    <n v="2136"/>
    <n v="0.53100000000000003"/>
    <n v="13.577999999999999"/>
    <n v="46.515599999999999"/>
    <n v="47.090178571428574"/>
    <n v="63.693600000000004"/>
    <n v="23.906399999999991"/>
    <n v="6.1320000000000006"/>
  </r>
  <r>
    <x v="6"/>
    <n v="12"/>
    <s v="Jueves"/>
    <x v="226"/>
    <n v="88.3"/>
    <n v="24.983023992756905"/>
    <n v="0.159"/>
    <n v="74.260300000000001"/>
    <n v="23.408100000000001"/>
    <n v="3.7"/>
    <n v="7.0000000000000007E-2"/>
    <n v="2145"/>
    <n v="0.53400000000000003"/>
    <n v="14.0397"/>
    <n v="47.152200000000001"/>
    <n v="47.076435714285715"/>
    <n v="64.891899999999993"/>
    <n v="23.408100000000001"/>
    <n v="6.181"/>
  </r>
  <r>
    <x v="6"/>
    <n v="12"/>
    <s v="Viernes"/>
    <x v="227"/>
    <n v="88.6"/>
    <n v="25.067904028972386"/>
    <n v="0.16200000000000001"/>
    <n v="74.246799999999993"/>
    <n v="23.588799999999996"/>
    <n v="3.7"/>
    <n v="7.0000000000000007E-2"/>
    <n v="2147"/>
    <n v="0.53"/>
    <n v="14.353199999999999"/>
    <n v="46.957999999999998"/>
    <n v="46.993321428571434"/>
    <n v="65.011200000000002"/>
    <n v="23.588799999999996"/>
    <n v="6.202"/>
  </r>
  <r>
    <x v="6"/>
    <n v="13"/>
    <s v="Sábado"/>
    <x v="228"/>
    <n v="88.1"/>
    <n v="24.926437301946581"/>
    <n v="0.16"/>
    <n v="74.003999999999991"/>
    <n v="22.994299999999992"/>
    <n v="3.7"/>
    <n v="7.0000000000000007E-2"/>
    <n v="2137"/>
    <n v="0.53700000000000003"/>
    <n v="14.096"/>
    <n v="47.309699999999999"/>
    <n v="46.994421428571435"/>
    <n v="65.105699999999999"/>
    <n v="22.994299999999992"/>
    <n v="6.1669999999999998"/>
  </r>
  <r>
    <x v="6"/>
    <n v="13"/>
    <s v="Domingo"/>
    <x v="229"/>
    <n v="89.2"/>
    <n v="25.237664101403354"/>
    <n v="0.17199999999999999"/>
    <n v="73.857600000000005"/>
    <n v="21.82200000000001"/>
    <n v="3.6"/>
    <n v="7.4999999999999997E-2"/>
    <n v="2138"/>
    <n v="0.54299999999999993"/>
    <n v="15.3424"/>
    <n v="48.435599999999994"/>
    <n v="47.217028571428564"/>
    <n v="67.377999999999986"/>
    <n v="21.82200000000001"/>
    <n v="6.69"/>
  </r>
  <r>
    <x v="6"/>
    <n v="14"/>
    <s v="Lunes "/>
    <x v="230"/>
    <n v="88.55"/>
    <n v="25.053757356269806"/>
    <n v="0.156"/>
    <n v="74.736199999999997"/>
    <n v="23.839050000000004"/>
    <n v="3.7"/>
    <n v="7.0000000000000007E-2"/>
    <n v="2159"/>
    <n v="0.53299999999999992"/>
    <n v="13.813799999999999"/>
    <n v="47.197149999999993"/>
    <n v="47.16242142857142"/>
    <n v="64.710949999999997"/>
    <n v="23.839050000000004"/>
    <n v="6.1985000000000001"/>
  </r>
  <r>
    <x v="6"/>
    <n v="14"/>
    <s v="Martes"/>
    <x v="231"/>
    <n v="87.95"/>
    <n v="24.883997283838845"/>
    <n v="0.156"/>
    <n v="74.229799999999997"/>
    <n v="24.092199999999995"/>
    <n v="3.7"/>
    <n v="7.0000000000000007E-2"/>
    <n v="2143"/>
    <n v="0.52800000000000002"/>
    <n v="13.7202"/>
    <n v="46.437600000000003"/>
    <n v="47.14369285714286"/>
    <n v="63.857800000000012"/>
    <n v="24.092199999999995"/>
    <n v="6.1565000000000012"/>
  </r>
  <r>
    <x v="6"/>
    <n v="14"/>
    <s v="Miercoles"/>
    <x v="232"/>
    <n v="87.8"/>
    <n v="24.841557265731101"/>
    <n v="0.152"/>
    <n v="74.454399999999993"/>
    <n v="24.220399999999994"/>
    <n v="3.7"/>
    <n v="7.0000000000000007E-2"/>
    <n v="2148"/>
    <n v="0.53"/>
    <n v="13.345599999999999"/>
    <n v="46.533999999999999"/>
    <n v="47.146321428571419"/>
    <n v="63.579599999999999"/>
    <n v="24.220399999999994"/>
    <n v="6.1460000000000008"/>
  </r>
  <r>
    <x v="6"/>
    <n v="14"/>
    <s v="Jueves"/>
    <x v="233"/>
    <n v="87.95"/>
    <n v="24.883997283838845"/>
    <n v="0.154"/>
    <n v="74.405699999999996"/>
    <n v="23.916299999999996"/>
    <n v="3.7"/>
    <n v="7.0000000000000007E-2"/>
    <n v="2147"/>
    <n v="0.53200000000000003"/>
    <n v="13.5443"/>
    <n v="46.789400000000001"/>
    <n v="47.09449285714286"/>
    <n v="64.03370000000001"/>
    <n v="23.916299999999996"/>
    <n v="6.1565000000000012"/>
  </r>
  <r>
    <x v="6"/>
    <n v="14"/>
    <s v="Viernes"/>
    <x v="234"/>
    <n v="88.75"/>
    <n v="25.11034404708013"/>
    <n v="0.16200000000000001"/>
    <n v="74.372500000000002"/>
    <n v="23.19125"/>
    <n v="3.7"/>
    <n v="7.0000000000000007E-2"/>
    <n v="2151"/>
    <n v="0.53500000000000003"/>
    <n v="14.377500000000001"/>
    <n v="47.481250000000003"/>
    <n v="47.169242857142855"/>
    <n v="65.558750000000003"/>
    <n v="23.19125"/>
    <n v="6.2125000000000004"/>
  </r>
  <r>
    <x v="6"/>
    <n v="14"/>
    <s v="Sábado"/>
    <x v="235"/>
    <n v="89.25"/>
    <n v="25.25181077410593"/>
    <n v="0.16700000000000001"/>
    <n v="74.345249999999993"/>
    <n v="23.074999999999999"/>
    <n v="3.7"/>
    <n v="7.4999999999999997E-2"/>
    <n v="2150"/>
    <n v="0.53299999999999992"/>
    <n v="14.904750000000002"/>
    <n v="47.570249999999994"/>
    <n v="47.206464285714283"/>
    <n v="66.174999999999997"/>
    <n v="23.074999999999999"/>
    <n v="6.6937499999999996"/>
  </r>
  <r>
    <x v="6"/>
    <n v="14"/>
    <s v="Domingo"/>
    <x v="236"/>
    <n v="89.4"/>
    <n v="25.294250792213674"/>
    <n v="0.16500000000000001"/>
    <n v="74.649000000000001"/>
    <n v="23.119999999999994"/>
    <n v="3.7"/>
    <n v="7.4999999999999997E-2"/>
    <n v="2160"/>
    <n v="0.53500000000000003"/>
    <n v="14.751000000000001"/>
    <n v="47.829000000000008"/>
    <n v="47.119807142857141"/>
    <n v="66.280000000000015"/>
    <n v="23.119999999999994"/>
    <n v="6.7050000000000001"/>
  </r>
  <r>
    <x v="6"/>
    <n v="15"/>
    <s v="Miercoles"/>
    <x v="237"/>
    <n v="89.05"/>
    <n v="25.19522408329561"/>
    <n v="0.16900000000000001"/>
    <n v="74.000550000000004"/>
    <n v="22.5807"/>
    <n v="3.6"/>
    <n v="7.4999999999999997E-2"/>
    <n v="2141"/>
    <n v="0.53700000000000003"/>
    <n v="15.04945"/>
    <n v="47.819850000000002"/>
    <n v="47.208764285714288"/>
    <n v="66.469300000000004"/>
    <n v="22.5807"/>
    <n v="6.67875"/>
  </r>
  <r>
    <x v="6"/>
    <n v="15"/>
    <s v="Jueves"/>
    <x v="238"/>
    <n v="89.15"/>
    <n v="25.223517428700774"/>
    <n v="0.16800000000000001"/>
    <n v="74.172800000000009"/>
    <n v="22.955850000000016"/>
    <n v="3.7"/>
    <n v="7.4999999999999997E-2"/>
    <n v="2146"/>
    <n v="0.53299999999999992"/>
    <n v="14.977200000000002"/>
    <n v="47.516949999999994"/>
    <n v="47.362957142857134"/>
    <n v="66.194149999999993"/>
    <n v="22.955850000000016"/>
    <n v="6.6862500000000002"/>
  </r>
  <r>
    <x v="6"/>
    <n v="15"/>
    <s v="Viernes"/>
    <x v="239"/>
    <n v="88.6"/>
    <n v="25.067904028972386"/>
    <n v="0.16400000000000001"/>
    <n v="74.069599999999994"/>
    <n v="23.322999999999997"/>
    <n v="3.7"/>
    <n v="7.0000000000000007E-2"/>
    <n v="2142"/>
    <n v="0.53100000000000003"/>
    <n v="14.5304"/>
    <n v="47.046599999999998"/>
    <n v="47.43618571428572"/>
    <n v="65.277000000000001"/>
    <n v="23.322999999999997"/>
    <n v="6.202"/>
  </r>
  <r>
    <x v="6"/>
    <n v="15"/>
    <s v="Sábado"/>
    <x v="240"/>
    <n v="89"/>
    <n v="25.18107741059303"/>
    <n v="0.16600000000000001"/>
    <n v="74.225999999999999"/>
    <n v="23.355999999999998"/>
    <n v="3.7"/>
    <n v="7.4999999999999997E-2"/>
    <n v="2146"/>
    <n v="0.53"/>
    <n v="14.774000000000001"/>
    <n v="47.17"/>
    <n v="47.490557142857149"/>
    <n v="65.644000000000005"/>
    <n v="23.355999999999998"/>
    <n v="6.6749999999999998"/>
  </r>
  <r>
    <x v="6"/>
    <n v="15"/>
    <s v="Domingo"/>
    <x v="241"/>
    <n v="89.15"/>
    <n v="25.223517428700774"/>
    <n v="0.16400000000000001"/>
    <n v="74.52940000000001"/>
    <n v="23.045000000000005"/>
    <n v="3.7"/>
    <n v="7.4999999999999997E-2"/>
    <n v="2156"/>
    <n v="0.53600000000000003"/>
    <n v="14.620600000000001"/>
    <n v="47.784400000000005"/>
    <n v="47.533864285714287"/>
    <n v="66.105000000000004"/>
    <n v="23.045000000000005"/>
    <n v="6.6862500000000002"/>
  </r>
  <r>
    <x v="7"/>
    <n v="16"/>
    <s v="Lunes "/>
    <x v="242"/>
    <n v="88.6"/>
    <n v="25.067904028972386"/>
    <n v="0.16200000000000001"/>
    <n v="74.246799999999993"/>
    <n v="23.411599999999996"/>
    <n v="3.7"/>
    <n v="7.0000000000000007E-2"/>
    <n v="2145"/>
    <n v="0.53200000000000003"/>
    <n v="14.353199999999999"/>
    <n v="47.135199999999998"/>
    <n v="47.471714285714292"/>
    <n v="65.188400000000001"/>
    <n v="23.411599999999996"/>
    <n v="6.202"/>
  </r>
  <r>
    <x v="7"/>
    <n v="16"/>
    <s v="Martes"/>
    <x v="243"/>
    <n v="88.2"/>
    <n v="24.954730647351745"/>
    <n v="0.157"/>
    <n v="74.352599999999995"/>
    <n v="23.906599999999994"/>
    <n v="3.7"/>
    <n v="7.0000000000000007E-2"/>
    <n v="2149"/>
    <n v="0.53"/>
    <n v="13.8474"/>
    <n v="46.746000000000002"/>
    <n v="47.317"/>
    <n v="64.293400000000005"/>
    <n v="23.906599999999994"/>
    <n v="6.1740000000000004"/>
  </r>
  <r>
    <x v="7"/>
    <n v="16"/>
    <s v="Miercoles"/>
    <x v="244"/>
    <n v="88.45"/>
    <n v="25.025464010864646"/>
    <n v="0.16"/>
    <n v="74.298000000000002"/>
    <n v="23.277249999999999"/>
    <n v="3.7"/>
    <n v="7.0000000000000007E-2"/>
    <n v="2146"/>
    <n v="0.53500000000000003"/>
    <n v="14.152000000000001"/>
    <n v="47.320750000000004"/>
    <n v="47.245699999999992"/>
    <n v="65.172750000000008"/>
    <n v="23.277249999999999"/>
    <n v="6.1915000000000004"/>
  </r>
  <r>
    <x v="7"/>
    <n v="16"/>
    <s v="Jueves"/>
    <x v="245"/>
    <n v="88.95"/>
    <n v="25.16693073789045"/>
    <n v="0.16800000000000001"/>
    <n v="74.006399999999999"/>
    <n v="22.451300000000007"/>
    <n v="3.7"/>
    <n v="7.4999999999999997E-2"/>
    <n v="2140"/>
    <n v="0.53799999999999992"/>
    <n v="14.943600000000002"/>
    <n v="47.855099999999993"/>
    <n v="47.29400714285714"/>
    <n v="66.498699999999999"/>
    <n v="22.451300000000007"/>
    <n v="6.6712499999999997"/>
  </r>
  <r>
    <x v="7"/>
    <n v="16"/>
    <s v="Viernes"/>
    <x v="246"/>
    <n v="89.2"/>
    <n v="25.237664101403354"/>
    <n v="0.16900000000000001"/>
    <n v="74.125200000000007"/>
    <n v="21.989600000000014"/>
    <n v="3.7"/>
    <n v="7.4999999999999997E-2"/>
    <n v="2144"/>
    <n v="0.54299999999999993"/>
    <n v="15.074800000000002"/>
    <n v="48.435599999999994"/>
    <n v="47.492435714285712"/>
    <n v="67.210399999999993"/>
    <n v="21.989600000000014"/>
    <n v="6.69"/>
  </r>
  <r>
    <x v="7"/>
    <n v="16"/>
    <s v="Sábado"/>
    <x v="247"/>
    <n v="88"/>
    <n v="24.898143956541425"/>
    <n v="0.159"/>
    <n v="74.007999999999996"/>
    <n v="23.327999999999989"/>
    <n v="3.6"/>
    <n v="7.0000000000000007E-2"/>
    <n v="2138"/>
    <n v="0.53500000000000003"/>
    <n v="13.992000000000001"/>
    <n v="47.080000000000005"/>
    <n v="47.479578571428576"/>
    <n v="64.672000000000011"/>
    <n v="23.327999999999989"/>
    <n v="6.16"/>
  </r>
  <r>
    <x v="7"/>
    <n v="17"/>
    <s v="Lunes "/>
    <x v="248"/>
    <n v="89.55"/>
    <n v="25.336690810321414"/>
    <n v="0.16800000000000001"/>
    <n v="74.505600000000001"/>
    <n v="22.538149999999998"/>
    <n v="3.7"/>
    <n v="7.4999999999999997E-2"/>
    <n v="2155"/>
    <n v="0.53900000000000003"/>
    <n v="15.044400000000001"/>
    <n v="48.267450000000004"/>
    <n v="47.548585714285714"/>
    <n v="67.011849999999995"/>
    <n v="22.538149999999998"/>
    <n v="6.7162499999999996"/>
  </r>
  <r>
    <x v="7"/>
    <n v="17"/>
    <s v="Martes"/>
    <x v="249"/>
    <n v="89.25"/>
    <n v="25.25181077410593"/>
    <n v="0.16800000000000001"/>
    <n v="74.256"/>
    <n v="23.253499999999999"/>
    <n v="3.7"/>
    <n v="7.4999999999999997E-2"/>
    <n v="2148"/>
    <n v="0.53"/>
    <n v="14.994000000000002"/>
    <n v="47.302500000000002"/>
    <n v="47.572485714285719"/>
    <n v="65.996499999999997"/>
    <n v="23.253499999999999"/>
    <n v="6.6937499999999996"/>
  </r>
  <r>
    <x v="7"/>
    <n v="17"/>
    <s v="Miercoles"/>
    <x v="250"/>
    <n v="88.5"/>
    <n v="25.039610683567226"/>
    <n v="0.158"/>
    <n v="74.516999999999996"/>
    <n v="23.823499999999992"/>
    <n v="3.7"/>
    <n v="7.0000000000000007E-2"/>
    <n v="2152"/>
    <n v="0.53100000000000003"/>
    <n v="13.983000000000001"/>
    <n v="46.993500000000004"/>
    <n v="47.607842857142849"/>
    <n v="64.676500000000004"/>
    <n v="23.823499999999992"/>
    <n v="6.1950000000000003"/>
  </r>
  <r>
    <x v="7"/>
    <n v="17"/>
    <s v="Jueves"/>
    <x v="251"/>
    <n v="87.85"/>
    <n v="24.855703938433681"/>
    <n v="0.155"/>
    <n v="74.233249999999998"/>
    <n v="24.236299999999996"/>
    <n v="3.7"/>
    <n v="7.0000000000000007E-2"/>
    <n v="2142"/>
    <n v="0.52700000000000002"/>
    <n v="13.61675"/>
    <n v="46.296950000000002"/>
    <n v="47.461585714285711"/>
    <n v="63.613699999999994"/>
    <n v="24.236299999999996"/>
    <n v="6.1494999999999997"/>
  </r>
  <r>
    <x v="7"/>
    <n v="17"/>
    <s v="Viernes"/>
    <x v="252"/>
    <n v="87.85"/>
    <n v="24.855703938433681"/>
    <n v="0.158"/>
    <n v="73.969699999999989"/>
    <n v="23.721349999999987"/>
    <n v="3.6"/>
    <n v="7.0000000000000007E-2"/>
    <n v="2135"/>
    <n v="0.53100000000000003"/>
    <n v="13.8803"/>
    <n v="46.648350000000001"/>
    <n v="47.289192857142858"/>
    <n v="64.128650000000007"/>
    <n v="23.721349999999987"/>
    <n v="6.1494999999999997"/>
  </r>
  <r>
    <x v="7"/>
    <n v="17"/>
    <s v="Sábado"/>
    <x v="253"/>
    <n v="87.9"/>
    <n v="24.869850611136265"/>
    <n v="0.16"/>
    <n v="73.835999999999999"/>
    <n v="23.912699999999994"/>
    <n v="3.6"/>
    <n v="7.0000000000000007E-2"/>
    <n v="2132"/>
    <n v="0.52700000000000002"/>
    <n v="14.064000000000002"/>
    <n v="46.323300000000003"/>
    <n v="46.987435714285724"/>
    <n v="63.987300000000012"/>
    <n v="23.912699999999994"/>
    <n v="6.1530000000000014"/>
  </r>
  <r>
    <x v="7"/>
    <n v="17"/>
    <s v="Domingo"/>
    <x v="254"/>
    <n v="88"/>
    <n v="24.898143956541425"/>
    <n v="0.16"/>
    <n v="73.92"/>
    <n v="23.151999999999994"/>
    <n v="3.6"/>
    <n v="7.0000000000000007E-2"/>
    <n v="2135"/>
    <n v="0.53600000000000003"/>
    <n v="14.08"/>
    <n v="47.168000000000006"/>
    <n v="47.00000714285715"/>
    <n v="64.848000000000013"/>
    <n v="23.151999999999994"/>
    <n v="6.16"/>
  </r>
  <r>
    <x v="7"/>
    <n v="18"/>
    <s v="Lunes "/>
    <x v="255"/>
    <n v="88.6"/>
    <n v="25.067904028972386"/>
    <n v="0.161"/>
    <n v="74.335399999999993"/>
    <n v="23.057199999999991"/>
    <n v="3.7"/>
    <n v="7.4999999999999997E-2"/>
    <n v="2148"/>
    <n v="0.53700000000000003"/>
    <n v="14.2646"/>
    <n v="47.578200000000002"/>
    <n v="46.90154285714285"/>
    <n v="65.5428"/>
    <n v="23.057199999999991"/>
    <n v="6.6449999999999996"/>
  </r>
  <r>
    <x v="7"/>
    <n v="18"/>
    <s v="Martes"/>
    <x v="256"/>
    <n v="88.65"/>
    <n v="25.082050701674969"/>
    <n v="0.16400000000000001"/>
    <n v="74.111400000000003"/>
    <n v="22.806349999999998"/>
    <n v="3.7"/>
    <n v="7.4999999999999997E-2"/>
    <n v="2142"/>
    <n v="0.53700000000000003"/>
    <n v="14.538600000000002"/>
    <n v="47.605050000000006"/>
    <n v="46.944764285714292"/>
    <n v="65.843650000000011"/>
    <n v="22.806349999999998"/>
    <n v="6.6487500000000006"/>
  </r>
  <r>
    <x v="7"/>
    <n v="18"/>
    <s v="Miercoles"/>
    <x v="257"/>
    <n v="87.9"/>
    <n v="24.869850611136265"/>
    <n v="0.157"/>
    <n v="74.099699999999999"/>
    <n v="23.549000000000003"/>
    <n v="3.7"/>
    <n v="7.0000000000000007E-2"/>
    <n v="2137"/>
    <n v="0.53299999999999992"/>
    <n v="13.800300000000002"/>
    <n v="46.850699999999996"/>
    <n v="46.924364285714297"/>
    <n v="64.350999999999999"/>
    <n v="23.549000000000003"/>
    <n v="6.1530000000000014"/>
  </r>
  <r>
    <x v="7"/>
    <n v="18"/>
    <s v="Jueves"/>
    <x v="258"/>
    <n v="87.65"/>
    <n v="24.799117247623361"/>
    <n v="0.155"/>
    <n v="74.064250000000001"/>
    <n v="23.746800000000007"/>
    <n v="3.6"/>
    <n v="7.0000000000000007E-2"/>
    <n v="2135"/>
    <n v="0.53299999999999992"/>
    <n v="13.585750000000001"/>
    <n v="46.717449999999992"/>
    <n v="46.984435714285716"/>
    <n v="63.903199999999998"/>
    <n v="23.746800000000007"/>
    <n v="6.1355000000000013"/>
  </r>
  <r>
    <x v="7"/>
    <n v="18"/>
    <s v="Viernes"/>
    <x v="259"/>
    <n v="87.8"/>
    <n v="24.841557265731101"/>
    <n v="0.16"/>
    <n v="73.751999999999995"/>
    <n v="23.003399999999992"/>
    <n v="3.6"/>
    <n v="7.0000000000000007E-2"/>
    <n v="2128"/>
    <n v="0.53700000000000003"/>
    <n v="14.048"/>
    <n v="47.148600000000002"/>
    <n v="47.055900000000001"/>
    <n v="64.796600000000012"/>
    <n v="23.003399999999992"/>
    <n v="6.1460000000000008"/>
  </r>
  <r>
    <x v="7"/>
    <n v="18"/>
    <s v="Sábado"/>
    <x v="260"/>
    <n v="88.6"/>
    <n v="25.067904028972386"/>
    <n v="0.16400000000000001"/>
    <n v="74.069599999999994"/>
    <n v="23.157199999999996"/>
    <n v="3.6"/>
    <n v="7.4999999999999997E-2"/>
    <n v="2138"/>
    <n v="0.53400000000000003"/>
    <n v="14.5304"/>
    <n v="47.312399999999997"/>
    <n v="47.197200000000002"/>
    <n v="65.442800000000005"/>
    <n v="23.157199999999996"/>
    <n v="6.6449999999999996"/>
  </r>
  <r>
    <x v="7"/>
    <n v="18"/>
    <s v="Domingo"/>
    <x v="261"/>
    <n v="88.3"/>
    <n v="24.983023992756905"/>
    <n v="0.16"/>
    <n v="74.171999999999997"/>
    <n v="23.408100000000008"/>
    <n v="3.7"/>
    <n v="7.0000000000000007E-2"/>
    <n v="2141"/>
    <n v="0.53299999999999992"/>
    <n v="14.128"/>
    <n v="47.06389999999999"/>
    <n v="47.18232857142857"/>
    <n v="64.891899999999993"/>
    <n v="23.408100000000008"/>
    <n v="6.181"/>
  </r>
  <r>
    <x v="7"/>
    <n v="19"/>
    <s v="Lunes "/>
    <x v="262"/>
    <n v="88.8"/>
    <n v="25.12449071978271"/>
    <n v="0.16300000000000001"/>
    <n v="74.325599999999994"/>
    <n v="23.028799999999993"/>
    <n v="3.7"/>
    <n v="7.4999999999999997E-2"/>
    <n v="2148"/>
    <n v="0.53600000000000003"/>
    <n v="14.474399999999999"/>
    <n v="47.596800000000002"/>
    <n v="47.184985714285709"/>
    <n v="65.771200000000007"/>
    <n v="23.028799999999993"/>
    <n v="6.6599999999999993"/>
  </r>
  <r>
    <x v="7"/>
    <n v="19"/>
    <s v="Martes"/>
    <x v="263"/>
    <n v="88.25"/>
    <n v="24.968877320054325"/>
    <n v="0.16200000000000001"/>
    <n v="73.953500000000005"/>
    <n v="23.669249999999998"/>
    <n v="3.6"/>
    <n v="7.4999999999999997E-2"/>
    <n v="2137"/>
    <n v="0.52900000000000003"/>
    <n v="14.2965"/>
    <n v="46.684250000000006"/>
    <n v="47.053442857142855"/>
    <n v="64.580749999999995"/>
    <n v="23.669249999999998"/>
    <n v="6.6187499999999995"/>
  </r>
  <r>
    <x v="7"/>
    <n v="19"/>
    <s v="Miercoles"/>
    <x v="264"/>
    <n v="88.65"/>
    <n v="25.082050701674969"/>
    <n v="0.16300000000000001"/>
    <n v="74.200050000000005"/>
    <n v="23.4269"/>
    <n v="3.7"/>
    <n v="7.4999999999999997E-2"/>
    <n v="2143"/>
    <n v="0.53100000000000003"/>
    <n v="14.449950000000001"/>
    <n v="47.073150000000005"/>
    <n v="47.085221428571423"/>
    <n v="65.223100000000002"/>
    <n v="23.4269"/>
    <n v="6.6487500000000006"/>
  </r>
  <r>
    <x v="7"/>
    <n v="19"/>
    <s v="Jueves"/>
    <x v="265"/>
    <n v="88.75"/>
    <n v="25.11034404708013"/>
    <n v="0.158"/>
    <n v="74.727499999999992"/>
    <n v="23.812499999999989"/>
    <n v="3.7"/>
    <n v="7.0000000000000007E-2"/>
    <n v="2159"/>
    <n v="0.53200000000000003"/>
    <n v="14.022500000000001"/>
    <n v="47.215000000000003"/>
    <n v="47.156300000000002"/>
    <n v="64.937500000000014"/>
    <n v="23.812499999999989"/>
    <n v="6.2125000000000004"/>
  </r>
  <r>
    <x v="7"/>
    <n v="19"/>
    <s v="Viernes"/>
    <x v="266"/>
    <n v="88.35"/>
    <n v="24.997170665459485"/>
    <n v="0.154"/>
    <n v="74.744100000000003"/>
    <n v="24.130250000000007"/>
    <n v="3.7"/>
    <n v="7.0000000000000007E-2"/>
    <n v="2156"/>
    <n v="0.53100000000000003"/>
    <n v="13.605899999999998"/>
    <n v="46.913849999999996"/>
    <n v="47.122764285714297"/>
    <n v="64.219749999999991"/>
    <n v="24.130250000000007"/>
    <n v="6.1844999999999999"/>
  </r>
  <r>
    <x v="7"/>
    <n v="19"/>
    <s v="Sábado"/>
    <x v="267"/>
    <n v="88.4"/>
    <n v="25.011317338162069"/>
    <n v="0.161"/>
    <n v="74.167600000000007"/>
    <n v="24.057600000000004"/>
    <n v="3.7"/>
    <n v="7.4999999999999997E-2"/>
    <n v="2143"/>
    <n v="0.52500000000000002"/>
    <n v="14.232400000000002"/>
    <n v="46.410000000000004"/>
    <n v="46.993850000000002"/>
    <n v="64.342399999999998"/>
    <n v="24.057600000000004"/>
    <n v="6.63"/>
  </r>
  <r>
    <x v="7"/>
    <n v="19"/>
    <s v="Domingo"/>
    <x v="268"/>
    <n v="87.5"/>
    <n v="24.756677229515621"/>
    <n v="0.156"/>
    <n v="73.849999999999994"/>
    <n v="23.524999999999991"/>
    <n v="3.6"/>
    <n v="7.0000000000000007E-2"/>
    <n v="2129"/>
    <n v="0.53400000000000003"/>
    <n v="13.65"/>
    <n v="46.725000000000001"/>
    <n v="46.945435714285722"/>
    <n v="63.975000000000009"/>
    <n v="23.524999999999991"/>
    <n v="6.1250000000000009"/>
  </r>
  <r>
    <x v="7"/>
    <n v="20"/>
    <s v="Lunes "/>
    <x v="269"/>
    <n v="87.85"/>
    <n v="24.855703938433681"/>
    <n v="0.156"/>
    <n v="74.145399999999995"/>
    <n v="23.445649999999997"/>
    <n v="3.7"/>
    <n v="7.0000000000000007E-2"/>
    <n v="2140"/>
    <n v="0.53500000000000003"/>
    <n v="13.704599999999999"/>
    <n v="46.999749999999999"/>
    <n v="46.860142857142861"/>
    <n v="64.404349999999994"/>
    <n v="23.445649999999997"/>
    <n v="6.1494999999999997"/>
  </r>
  <r>
    <x v="7"/>
    <n v="20"/>
    <s v="Martes"/>
    <x v="270"/>
    <n v="88.65"/>
    <n v="25.082050701674969"/>
    <n v="0.16"/>
    <n v="74.466000000000008"/>
    <n v="23.160950000000003"/>
    <n v="3.7"/>
    <n v="7.4999999999999997E-2"/>
    <n v="2150"/>
    <n v="0.53700000000000003"/>
    <n v="14.184000000000001"/>
    <n v="47.605050000000006"/>
    <n v="46.991685714285715"/>
    <n v="65.489050000000006"/>
    <n v="23.160950000000003"/>
    <n v="6.6487500000000006"/>
  </r>
  <r>
    <x v="7"/>
    <n v="20"/>
    <s v="Miercoles"/>
    <x v="271"/>
    <n v="88.05"/>
    <n v="24.912290629244001"/>
    <n v="0.16"/>
    <n v="73.962000000000003"/>
    <n v="23.519399999999997"/>
    <n v="3.6"/>
    <n v="7.0000000000000007E-2"/>
    <n v="2136"/>
    <n v="0.53200000000000003"/>
    <n v="14.087999999999999"/>
    <n v="46.842600000000004"/>
    <n v="46.958750000000002"/>
    <n v="64.530599999999993"/>
    <n v="23.519399999999997"/>
    <n v="6.1635"/>
  </r>
  <r>
    <x v="7"/>
    <n v="20"/>
    <s v="Jueves"/>
    <x v="272"/>
    <n v="88.6"/>
    <n v="25.067904028972386"/>
    <n v="0.16400000000000001"/>
    <n v="74.069599999999994"/>
    <n v="22.89139999999999"/>
    <n v="3.6"/>
    <n v="7.4999999999999997E-2"/>
    <n v="2139"/>
    <n v="0.53700000000000003"/>
    <n v="14.5304"/>
    <n v="47.578200000000002"/>
    <n v="47.010635714285719"/>
    <n v="65.708600000000004"/>
    <n v="22.89139999999999"/>
    <n v="6.6449999999999996"/>
  </r>
  <r>
    <x v="7"/>
    <n v="20"/>
    <s v="Viernes"/>
    <x v="273"/>
    <n v="88.65"/>
    <n v="25.082050701674969"/>
    <n v="0.16"/>
    <n v="74.466000000000008"/>
    <n v="23.160950000000003"/>
    <n v="3.7"/>
    <n v="7.4999999999999997E-2"/>
    <n v="2150"/>
    <n v="0.53700000000000003"/>
    <n v="14.184000000000001"/>
    <n v="47.605050000000006"/>
    <n v="47.109378571428572"/>
    <n v="65.489050000000006"/>
    <n v="23.160950000000003"/>
    <n v="6.6487500000000006"/>
  </r>
  <r>
    <x v="7"/>
    <n v="20"/>
    <s v="Domingo"/>
    <x v="274"/>
    <n v="88.7"/>
    <n v="25.096197374377549"/>
    <n v="0.16200000000000001"/>
    <n v="74.330600000000004"/>
    <n v="23.530899999999999"/>
    <n v="3.7"/>
    <n v="7.4999999999999997E-2"/>
    <n v="2148"/>
    <n v="0.53100000000000003"/>
    <n v="14.369400000000001"/>
    <n v="47.099700000000006"/>
    <n v="47.207907142857145"/>
    <n v="65.1691"/>
    <n v="23.530899999999999"/>
    <n v="6.6524999999999999"/>
  </r>
  <r>
    <x v="8"/>
    <n v="21"/>
    <s v="Lunes "/>
    <x v="275"/>
    <n v="88.3"/>
    <n v="24.983023992756905"/>
    <n v="0.159"/>
    <n v="74.260300000000001"/>
    <n v="23.408100000000001"/>
    <n v="3.7"/>
    <n v="7.0000000000000007E-2"/>
    <n v="2143"/>
    <n v="0.53400000000000003"/>
    <n v="14.0397"/>
    <n v="47.152200000000001"/>
    <n v="47.268935714285718"/>
    <n v="64.891899999999993"/>
    <n v="23.408100000000001"/>
    <n v="6.181"/>
  </r>
  <r>
    <x v="8"/>
    <n v="21"/>
    <s v="Martes"/>
    <x v="276"/>
    <n v="88"/>
    <n v="24.898143956541425"/>
    <n v="0.156"/>
    <n v="74.272000000000006"/>
    <n v="23.756000000000004"/>
    <n v="3.7"/>
    <n v="7.0000000000000007E-2"/>
    <n v="2143"/>
    <n v="0.53200000000000003"/>
    <n v="13.728"/>
    <n v="46.816000000000003"/>
    <n v="47.242685714285713"/>
    <n v="64.244"/>
    <n v="23.756000000000004"/>
    <n v="6.16"/>
  </r>
  <r>
    <x v="8"/>
    <n v="21"/>
    <s v="Miercoles"/>
    <x v="277"/>
    <n v="87.8"/>
    <n v="24.841557265731101"/>
    <n v="0.158"/>
    <n v="73.927599999999998"/>
    <n v="23.354599999999998"/>
    <n v="3.6"/>
    <n v="7.0000000000000007E-2"/>
    <n v="2134"/>
    <n v="0.53500000000000003"/>
    <n v="13.872399999999999"/>
    <n v="46.972999999999999"/>
    <n v="47.152392857142857"/>
    <n v="64.445400000000006"/>
    <n v="23.354599999999998"/>
    <n v="6.1460000000000008"/>
  </r>
  <r>
    <x v="8"/>
    <n v="21"/>
    <s v="Sábado"/>
    <x v="278"/>
    <n v="88"/>
    <n v="24.898143956541425"/>
    <n v="0.16400000000000001"/>
    <n v="73.567999999999998"/>
    <n v="23.227999999999998"/>
    <n v="3.7"/>
    <n v="7.4999999999999997E-2"/>
    <n v="2132"/>
    <n v="0.53"/>
    <n v="14.432"/>
    <n v="46.64"/>
    <n v="47.123449999999998"/>
    <n v="64.772000000000006"/>
    <n v="23.227999999999998"/>
    <n v="6.6"/>
  </r>
  <r>
    <x v="8"/>
    <n v="21"/>
    <s v="Domingo"/>
    <x v="279"/>
    <n v="88.75"/>
    <n v="25.11034404708013"/>
    <n v="0.17399999999999999"/>
    <n v="73.307500000000005"/>
    <n v="22.137500000000003"/>
    <n v="3.6"/>
    <n v="7.4999999999999997E-2"/>
    <n v="2121"/>
    <n v="0.53600000000000003"/>
    <n v="15.442499999999999"/>
    <n v="47.57"/>
    <n v="47.122278571428573"/>
    <n v="66.612499999999997"/>
    <n v="22.137500000000003"/>
    <n v="6.65625"/>
  </r>
  <r>
    <x v="8"/>
    <n v="22"/>
    <s v="Lunes "/>
    <x v="280"/>
    <n v="89.3"/>
    <n v="25.26595744680851"/>
    <n v="0.17100000000000001"/>
    <n v="74.029699999999991"/>
    <n v="22.564899999999987"/>
    <n v="3.6"/>
    <n v="7.4999999999999997E-2"/>
    <n v="2143"/>
    <n v="0.53600000000000003"/>
    <n v="15.270300000000001"/>
    <n v="47.864800000000002"/>
    <n v="47.159385714285712"/>
    <n v="66.735100000000017"/>
    <n v="22.564899999999987"/>
    <n v="6.6974999999999998"/>
  </r>
  <r>
    <x v="8"/>
    <n v="22"/>
    <s v="Martes"/>
    <x v="281"/>
    <n v="88.35"/>
    <n v="24.997170665459485"/>
    <n v="0.158"/>
    <n v="74.390699999999995"/>
    <n v="23.600150000000003"/>
    <n v="3.7"/>
    <n v="7.0000000000000007E-2"/>
    <n v="2148"/>
    <n v="0.53299999999999992"/>
    <n v="13.959299999999999"/>
    <n v="47.090549999999993"/>
    <n v="47.158078571428568"/>
    <n v="64.749849999999995"/>
    <n v="23.600150000000003"/>
    <n v="6.1844999999999999"/>
  </r>
  <r>
    <x v="8"/>
    <n v="22"/>
    <s v="Miercoles"/>
    <x v="282"/>
    <n v="87.7"/>
    <n v="24.813263920325941"/>
    <n v="0.154"/>
    <n v="74.194199999999995"/>
    <n v="24.100899999999992"/>
    <n v="3.7"/>
    <n v="7.0000000000000007E-2"/>
    <n v="2140"/>
    <n v="0.52900000000000003"/>
    <n v="13.505800000000001"/>
    <n v="46.393300000000004"/>
    <n v="47.049664285714286"/>
    <n v="63.599100000000007"/>
    <n v="24.100899999999992"/>
    <n v="6.1390000000000011"/>
  </r>
  <r>
    <x v="8"/>
    <n v="22"/>
    <s v="Jueves"/>
    <x v="283"/>
    <n v="88.1"/>
    <n v="24.926437301946581"/>
    <n v="0.154"/>
    <n v="74.532600000000002"/>
    <n v="24.139600000000005"/>
    <n v="3.7"/>
    <n v="7.0000000000000007E-2"/>
    <n v="2150"/>
    <n v="0.53"/>
    <n v="13.567399999999999"/>
    <n v="46.692999999999998"/>
    <n v="47.032092857142857"/>
    <n v="63.960399999999993"/>
    <n v="24.139600000000005"/>
    <n v="6.1669999999999998"/>
  </r>
  <r>
    <x v="8"/>
    <n v="22"/>
    <s v="Viernes"/>
    <x v="284"/>
    <n v="87.75"/>
    <n v="24.827410593028521"/>
    <n v="0.154"/>
    <n v="74.236500000000007"/>
    <n v="23.590250000000001"/>
    <n v="3.7"/>
    <n v="7.0000000000000007E-2"/>
    <n v="2142"/>
    <n v="0.53500000000000003"/>
    <n v="13.513500000000001"/>
    <n v="46.946250000000006"/>
    <n v="47.028271428571429"/>
    <n v="64.159750000000003"/>
    <n v="23.590250000000001"/>
    <n v="6.142500000000001"/>
  </r>
  <r>
    <x v="8"/>
    <n v="22"/>
    <s v="Sábado"/>
    <x v="285"/>
    <n v="87.55"/>
    <n v="24.770823902218201"/>
    <n v="0.159"/>
    <n v="73.629549999999995"/>
    <n v="23.715599999999995"/>
    <n v="3.6"/>
    <n v="7.0000000000000007E-2"/>
    <n v="2123"/>
    <n v="0.52900000000000003"/>
    <n v="13.920449999999999"/>
    <n v="46.313949999999998"/>
    <n v="46.981692857142853"/>
    <n v="63.834400000000002"/>
    <n v="23.715599999999995"/>
    <n v="6.1285000000000007"/>
  </r>
  <r>
    <x v="8"/>
    <n v="22"/>
    <s v="Domingo"/>
    <x v="286"/>
    <n v="87.9"/>
    <n v="24.869850611136265"/>
    <n v="0.16200000000000001"/>
    <n v="73.660200000000003"/>
    <n v="23.033699999999996"/>
    <n v="3.6"/>
    <n v="7.4999999999999997E-2"/>
    <n v="2126"/>
    <n v="0.53500000000000003"/>
    <n v="14.239800000000001"/>
    <n v="47.026500000000006"/>
    <n v="46.904049999999998"/>
    <n v="64.86630000000001"/>
    <n v="23.033699999999996"/>
    <n v="6.5925000000000002"/>
  </r>
  <r>
    <x v="8"/>
    <n v="23"/>
    <s v="Lunes "/>
    <x v="287"/>
    <n v="88.1"/>
    <n v="24.926437301946581"/>
    <n v="0.16300000000000001"/>
    <n v="73.739699999999999"/>
    <n v="22.918099999999995"/>
    <n v="3.6"/>
    <n v="7.4999999999999997E-2"/>
    <n v="2129"/>
    <n v="0.53600000000000003"/>
    <n v="14.360299999999999"/>
    <n v="47.221600000000002"/>
    <n v="46.812164285714296"/>
    <n v="65.181899999999999"/>
    <n v="22.918099999999995"/>
    <n v="6.607499999999999"/>
  </r>
  <r>
    <x v="8"/>
    <n v="23"/>
    <s v="Martes"/>
    <x v="288"/>
    <n v="88.45"/>
    <n v="25.025464010864646"/>
    <n v="0.16200000000000001"/>
    <n v="74.121099999999998"/>
    <n v="22.658099999999994"/>
    <n v="3.7"/>
    <n v="7.4999999999999997E-2"/>
    <n v="2141"/>
    <n v="0.54"/>
    <n v="14.328900000000001"/>
    <n v="47.763000000000005"/>
    <n v="46.90822857142858"/>
    <n v="65.791900000000012"/>
    <n v="22.658099999999994"/>
    <n v="6.63375"/>
  </r>
  <r>
    <x v="8"/>
    <n v="23"/>
    <s v="Miercoles"/>
    <x v="289"/>
    <n v="88.4"/>
    <n v="25.011317338162069"/>
    <n v="0.16800000000000001"/>
    <n v="73.5488"/>
    <n v="22.654799999999994"/>
    <n v="3.6"/>
    <n v="7.4999999999999997E-2"/>
    <n v="2125"/>
    <n v="0.53500000000000003"/>
    <n v="14.851200000000002"/>
    <n v="47.294000000000004"/>
    <n v="47.036899999999996"/>
    <n v="65.745200000000011"/>
    <n v="22.654799999999994"/>
    <n v="6.63"/>
  </r>
  <r>
    <x v="8"/>
    <n v="23"/>
    <s v="Jueves"/>
    <x v="290"/>
    <n v="88.15"/>
    <n v="24.940583974649165"/>
    <n v="0.156"/>
    <n v="74.398600000000002"/>
    <n v="23.538349999999998"/>
    <n v="3.7"/>
    <n v="7.0000000000000007E-2"/>
    <n v="2147"/>
    <n v="0.53500000000000003"/>
    <n v="13.7514"/>
    <n v="47.160250000000005"/>
    <n v="47.103650000000002"/>
    <n v="64.611650000000012"/>
    <n v="23.538349999999998"/>
    <n v="6.1705000000000014"/>
  </r>
  <r>
    <x v="8"/>
    <n v="23"/>
    <s v="Viernes"/>
    <x v="291"/>
    <n v="88.4"/>
    <n v="25.011317338162069"/>
    <n v="0.16400000000000001"/>
    <n v="73.9024"/>
    <n v="23.008399999999995"/>
    <n v="3.6"/>
    <n v="7.4999999999999997E-2"/>
    <n v="2139"/>
    <n v="0.53500000000000003"/>
    <n v="14.497600000000002"/>
    <n v="47.294000000000004"/>
    <n v="47.153328571428574"/>
    <n v="65.391600000000011"/>
    <n v="23.008399999999995"/>
    <n v="6.63"/>
  </r>
  <r>
    <x v="8"/>
    <n v="23"/>
    <s v="Sábado"/>
    <x v="292"/>
    <n v="89.05"/>
    <n v="25.19522408329561"/>
    <n v="0.161"/>
    <n v="74.712949999999992"/>
    <n v="23.282149999999991"/>
    <n v="3.7"/>
    <n v="7.4999999999999997E-2"/>
    <n v="2159"/>
    <n v="0.53600000000000003"/>
    <n v="14.33705"/>
    <n v="47.730800000000002"/>
    <n v="47.355735714285707"/>
    <n v="65.76785000000001"/>
    <n v="23.282149999999991"/>
    <n v="6.67875"/>
  </r>
  <r>
    <x v="8"/>
    <n v="23"/>
    <s v="Domingo"/>
    <x v="293"/>
    <n v="88.15"/>
    <n v="24.940583974649165"/>
    <n v="0.155"/>
    <n v="74.486750000000001"/>
    <n v="23.890949999999993"/>
    <n v="3.7"/>
    <n v="7.0000000000000007E-2"/>
    <n v="2149"/>
    <n v="0.53200000000000003"/>
    <n v="13.663250000000001"/>
    <n v="46.895800000000008"/>
    <n v="47.337064285714291"/>
    <n v="64.259050000000016"/>
    <n v="23.890949999999993"/>
    <n v="6.1705000000000014"/>
  </r>
  <r>
    <x v="8"/>
    <n v="24"/>
    <s v="Lunes "/>
    <x v="294"/>
    <n v="88.45"/>
    <n v="25.025464010864646"/>
    <n v="0.154"/>
    <n v="74.828699999999998"/>
    <n v="23.807949999999995"/>
    <n v="3.7"/>
    <n v="7.0000000000000007E-2"/>
    <n v="2160"/>
    <n v="0.53500000000000003"/>
    <n v="13.6213"/>
    <n v="47.320750000000004"/>
    <n v="47.351228571428578"/>
    <n v="64.642050000000012"/>
    <n v="23.807949999999995"/>
    <n v="6.1915000000000004"/>
  </r>
  <r>
    <x v="8"/>
    <n v="24"/>
    <s v="Martes"/>
    <x v="295"/>
    <n v="88"/>
    <n v="24.898143956541425"/>
    <n v="0.156"/>
    <n v="74.272000000000006"/>
    <n v="23.492000000000001"/>
    <n v="3.7"/>
    <n v="7.0000000000000007E-2"/>
    <n v="2142"/>
    <n v="0.53500000000000003"/>
    <n v="13.728"/>
    <n v="47.080000000000005"/>
    <n v="47.253657142857143"/>
    <n v="64.507999999999996"/>
    <n v="23.492000000000001"/>
    <n v="6.16"/>
  </r>
  <r>
    <x v="8"/>
    <n v="24"/>
    <s v="Miercoles"/>
    <x v="296"/>
    <n v="87.9"/>
    <n v="24.869850611136265"/>
    <n v="0.157"/>
    <n v="74.099699999999999"/>
    <n v="23.561099999999989"/>
    <n v="3.6"/>
    <n v="7.0000000000000007E-2"/>
    <n v="2135"/>
    <n v="0.53400000000000003"/>
    <n v="13.800300000000002"/>
    <n v="46.938600000000008"/>
    <n v="47.202885714285721"/>
    <n v="64.338900000000024"/>
    <n v="23.561099999999989"/>
    <n v="6.1530000000000014"/>
  </r>
  <r>
    <x v="8"/>
    <n v="24"/>
    <s v="Jueves"/>
    <x v="297"/>
    <n v="88.3"/>
    <n v="24.983023992756905"/>
    <n v="0.16"/>
    <n v="74.171999999999997"/>
    <n v="22.789999999999996"/>
    <n v="3.7"/>
    <n v="7.0000000000000007E-2"/>
    <n v="2143"/>
    <n v="0.54"/>
    <n v="14.128"/>
    <n v="47.682000000000002"/>
    <n v="47.277421428571429"/>
    <n v="65.510000000000005"/>
    <n v="22.789999999999996"/>
    <n v="6.181"/>
  </r>
  <r>
    <x v="8"/>
    <n v="24"/>
    <s v="Viernes"/>
    <x v="298"/>
    <n v="88.1"/>
    <n v="24.926437301946581"/>
    <n v="0.157"/>
    <n v="74.268299999999996"/>
    <n v="23.170500000000001"/>
    <n v="3.7"/>
    <n v="7.0000000000000007E-2"/>
    <n v="2142"/>
    <n v="0.53800000000000003"/>
    <n v="13.8317"/>
    <n v="47.397799999999997"/>
    <n v="47.29225000000001"/>
    <n v="64.92949999999999"/>
    <n v="23.170500000000001"/>
    <n v="6.1669999999999998"/>
  </r>
  <r>
    <x v="8"/>
    <n v="24"/>
    <s v="Sábado"/>
    <x v="299"/>
    <n v="87.8"/>
    <n v="24.841557265731101"/>
    <n v="0.155"/>
    <n v="74.191000000000003"/>
    <n v="23.2546"/>
    <n v="3.7"/>
    <n v="7.0000000000000007E-2"/>
    <n v="2139"/>
    <n v="0.53800000000000003"/>
    <n v="13.609"/>
    <n v="47.236400000000003"/>
    <n v="47.221621428571439"/>
    <n v="64.545400000000001"/>
    <n v="23.2546"/>
    <n v="6.1460000000000008"/>
  </r>
  <r>
    <x v="8"/>
    <n v="24"/>
    <s v="Domingo"/>
    <x v="300"/>
    <n v="87.75"/>
    <n v="24.827410593028521"/>
    <n v="0.153"/>
    <n v="74.324250000000006"/>
    <n v="23.502500000000001"/>
    <n v="3.7"/>
    <n v="7.0000000000000007E-2"/>
    <n v="2142"/>
    <n v="0.53700000000000003"/>
    <n v="13.425749999999999"/>
    <n v="47.121750000000006"/>
    <n v="47.253900000000009"/>
    <n v="64.247500000000002"/>
    <n v="23.502500000000001"/>
    <n v="6.142500000000001"/>
  </r>
  <r>
    <x v="8"/>
    <n v="25"/>
    <s v="Lunes "/>
    <x v="301"/>
    <n v="87.95"/>
    <n v="24.883997283838845"/>
    <n v="0.151"/>
    <n v="74.669550000000001"/>
    <n v="23.652449999999998"/>
    <n v="3.7"/>
    <n v="7.0000000000000007E-2"/>
    <n v="2154"/>
    <n v="0.53800000000000003"/>
    <n v="13.28045"/>
    <n v="47.317100000000003"/>
    <n v="47.25337857142857"/>
    <n v="64.297550000000001"/>
    <n v="23.652449999999998"/>
    <n v="6.1565000000000012"/>
  </r>
  <r>
    <x v="8"/>
    <n v="25"/>
    <s v="Martes"/>
    <x v="302"/>
    <n v="87.75"/>
    <n v="24.827410593028521"/>
    <n v="0.151"/>
    <n v="74.499750000000006"/>
    <n v="23.239250000000002"/>
    <n v="3.7"/>
    <n v="7.0000000000000007E-2"/>
    <n v="2147"/>
    <n v="0.54200000000000004"/>
    <n v="13.250249999999999"/>
    <n v="47.560500000000005"/>
    <n v="47.322021428571425"/>
    <n v="64.510750000000002"/>
    <n v="23.239250000000002"/>
    <n v="6.142500000000001"/>
  </r>
  <r>
    <x v="8"/>
    <n v="25"/>
    <s v="Miercoles"/>
    <x v="303"/>
    <n v="88.5"/>
    <n v="25.039610683567226"/>
    <n v="0.161"/>
    <n v="74.251499999999993"/>
    <n v="21.876499999999989"/>
    <n v="3.7"/>
    <n v="7.4999999999999997E-2"/>
    <n v="2145"/>
    <n v="0.55000000000000004"/>
    <n v="14.2485"/>
    <n v="48.675000000000004"/>
    <n v="47.570078571428574"/>
    <n v="66.623500000000007"/>
    <n v="21.876499999999989"/>
    <n v="6.6375000000000002"/>
  </r>
  <r>
    <x v="8"/>
    <n v="25"/>
    <s v="Jueves"/>
    <x v="304"/>
    <n v="88.5"/>
    <n v="25.039610683567226"/>
    <n v="0.16"/>
    <n v="74.34"/>
    <n v="22.230500000000003"/>
    <n v="3.7"/>
    <n v="7.4999999999999997E-2"/>
    <n v="2146"/>
    <n v="0.54700000000000004"/>
    <n v="14.16"/>
    <n v="48.409500000000001"/>
    <n v="47.674007142857143"/>
    <n v="66.269499999999994"/>
    <n v="22.230500000000003"/>
    <n v="6.6375000000000002"/>
  </r>
  <r>
    <x v="8"/>
    <n v="25"/>
    <s v="Viernes"/>
    <x v="305"/>
    <n v="88.3"/>
    <n v="24.983023992756905"/>
    <n v="0.156"/>
    <n v="74.525199999999998"/>
    <n v="23.143199999999997"/>
    <n v="3.7"/>
    <n v="7.0000000000000007E-2"/>
    <n v="2151"/>
    <n v="0.54"/>
    <n v="13.774799999999999"/>
    <n v="47.682000000000002"/>
    <n v="47.71460714285714"/>
    <n v="65.156800000000004"/>
    <n v="23.143199999999997"/>
    <n v="6.181"/>
  </r>
  <r>
    <x v="8"/>
    <n v="26"/>
    <s v="Miercoles"/>
    <x v="306"/>
    <n v="88.5"/>
    <n v="25.039610683567226"/>
    <n v="0.155"/>
    <n v="74.782499999999999"/>
    <n v="23.203999999999997"/>
    <n v="3.7"/>
    <n v="7.0000000000000007E-2"/>
    <n v="2158"/>
    <n v="0.54100000000000004"/>
    <n v="13.717499999999999"/>
    <n v="47.878500000000003"/>
    <n v="47.806335714285716"/>
    <n v="65.296000000000006"/>
    <n v="23.203999999999997"/>
    <n v="6.1950000000000003"/>
  </r>
  <r>
    <x v="8"/>
    <n v="26"/>
    <s v="Jueves"/>
    <x v="307"/>
    <n v="87.55"/>
    <n v="24.770823902218201"/>
    <n v="0.14499999999999999"/>
    <n v="74.855249999999998"/>
    <n v="24.140899999999998"/>
    <n v="3.7"/>
    <n v="6.5000000000000002E-2"/>
    <n v="2156"/>
    <n v="0.53700000000000003"/>
    <n v="12.694749999999999"/>
    <n v="47.01435"/>
    <n v="47.790992857142854"/>
    <n v="63.409099999999995"/>
    <n v="24.140899999999998"/>
    <n v="5.6907500000000004"/>
  </r>
  <r>
    <x v="8"/>
    <n v="26"/>
    <s v="Viernes"/>
    <x v="308"/>
    <n v="87.8"/>
    <n v="24.841557265731101"/>
    <n v="0.153"/>
    <n v="74.366600000000005"/>
    <n v="23.781400000000001"/>
    <n v="3.7"/>
    <n v="7.0000000000000007E-2"/>
    <n v="2145"/>
    <n v="0.53400000000000003"/>
    <n v="13.433399999999999"/>
    <n v="46.885200000000005"/>
    <n v="47.729292857142859"/>
    <n v="64.018599999999992"/>
    <n v="23.781400000000001"/>
    <n v="6.1460000000000008"/>
  </r>
  <r>
    <x v="8"/>
    <n v="26"/>
    <s v="Sábado"/>
    <x v="309"/>
    <n v="88.2"/>
    <n v="24.954730647351745"/>
    <n v="0.157"/>
    <n v="74.352599999999995"/>
    <n v="23.553799999999992"/>
    <n v="3.7"/>
    <n v="7.0000000000000007E-2"/>
    <n v="2145"/>
    <n v="0.53400000000000003"/>
    <n v="13.8474"/>
    <n v="47.098800000000004"/>
    <n v="47.663335714285715"/>
    <n v="64.646200000000007"/>
    <n v="23.553799999999992"/>
    <n v="6.1740000000000004"/>
  </r>
  <r>
    <x v="8"/>
    <n v="26"/>
    <s v="Domingo"/>
    <x v="310"/>
    <n v="89.15"/>
    <n v="25.223517428700774"/>
    <n v="0.16300000000000001"/>
    <n v="74.618549999999999"/>
    <n v="23.401599999999991"/>
    <n v="3.7"/>
    <n v="7.4999999999999997E-2"/>
    <n v="2157"/>
    <n v="0.53300000000000003"/>
    <n v="14.531450000000001"/>
    <n v="47.516950000000008"/>
    <n v="47.497900000000001"/>
    <n v="65.748400000000018"/>
    <n v="23.401599999999991"/>
    <n v="6.6862500000000002"/>
  </r>
  <r>
    <x v="9"/>
    <n v="27"/>
    <s v="Lunes "/>
    <x v="311"/>
    <n v="89.05"/>
    <n v="25.19522408329561"/>
    <n v="0.156"/>
    <n v="75.158199999999994"/>
    <n v="23.549299999999992"/>
    <n v="3.7"/>
    <n v="7.0000000000000007E-2"/>
    <n v="2171"/>
    <n v="0.53800000000000003"/>
    <n v="13.8918"/>
    <n v="47.908900000000003"/>
    <n v="47.426385714285722"/>
    <n v="65.500700000000009"/>
    <n v="23.549299999999992"/>
    <n v="6.2335000000000003"/>
  </r>
  <r>
    <x v="9"/>
    <n v="27"/>
    <s v="Martes"/>
    <x v="312"/>
    <n v="88.45"/>
    <n v="25.025464010864646"/>
    <n v="0.155"/>
    <n v="74.740250000000003"/>
    <n v="23.7195"/>
    <n v="3.7"/>
    <n v="7.0000000000000007E-2"/>
    <n v="2158"/>
    <n v="0.53500000000000003"/>
    <n v="13.70975"/>
    <n v="47.320750000000004"/>
    <n v="47.374778571428578"/>
    <n v="64.730500000000006"/>
    <n v="23.7195"/>
    <n v="6.1915000000000004"/>
  </r>
  <r>
    <x v="9"/>
    <n v="27"/>
    <s v="Viernes"/>
    <x v="313"/>
    <n v="88.15"/>
    <n v="24.940583974649165"/>
    <n v="0.156"/>
    <n v="74.398600000000002"/>
    <n v="23.185749999999995"/>
    <n v="3.7"/>
    <n v="7.0000000000000007E-2"/>
    <n v="2146"/>
    <n v="0.53900000000000003"/>
    <n v="13.7514"/>
    <n v="47.512850000000007"/>
    <n v="47.322542857142864"/>
    <n v="64.964250000000007"/>
    <n v="23.185749999999995"/>
    <n v="6.1705000000000014"/>
  </r>
  <r>
    <x v="9"/>
    <n v="27"/>
    <s v="Sábado"/>
    <x v="314"/>
    <n v="87.15"/>
    <n v="24.65765052059756"/>
    <n v="0.14399999999999999"/>
    <n v="74.600400000000008"/>
    <n v="24.100850000000005"/>
    <n v="3.7"/>
    <n v="6.5000000000000002E-2"/>
    <n v="2148"/>
    <n v="0.53700000000000003"/>
    <n v="12.5496"/>
    <n v="46.799550000000004"/>
    <n v="47.291857142857147"/>
    <n v="63.049149999999997"/>
    <n v="24.100850000000005"/>
    <n v="5.6647500000000006"/>
  </r>
  <r>
    <x v="9"/>
    <n v="27"/>
    <s v="Domingo"/>
    <x v="315"/>
    <n v="88.15"/>
    <n v="24.940583974649165"/>
    <n v="0.158"/>
    <n v="74.222300000000004"/>
    <n v="23.097599999999996"/>
    <n v="3.7"/>
    <n v="7.0000000000000007E-2"/>
    <n v="2143"/>
    <n v="0.53800000000000003"/>
    <n v="13.927700000000002"/>
    <n v="47.424700000000009"/>
    <n v="47.368928571428576"/>
    <n v="65.052400000000006"/>
    <n v="23.097599999999996"/>
    <n v="6.1705000000000014"/>
  </r>
  <r>
    <x v="9"/>
    <n v="28"/>
    <s v="Lunes "/>
    <x v="316"/>
    <n v="88.45"/>
    <n v="25.025464010864646"/>
    <n v="0.159"/>
    <n v="74.386449999999996"/>
    <n v="23.365699999999993"/>
    <n v="3.7"/>
    <n v="7.0000000000000007E-2"/>
    <n v="2148"/>
    <n v="0.53500000000000003"/>
    <n v="14.063550000000001"/>
    <n v="47.320750000000004"/>
    <n v="47.400635714285727"/>
    <n v="65.084300000000013"/>
    <n v="23.365699999999993"/>
    <n v="6.1915000000000004"/>
  </r>
  <r>
    <x v="9"/>
    <n v="28"/>
    <s v="Martes"/>
    <x v="317"/>
    <n v="88.5"/>
    <n v="25.039610683567226"/>
    <n v="0.16"/>
    <n v="74.34"/>
    <n v="23.381000000000004"/>
    <n v="3.7"/>
    <n v="7.4999999999999997E-2"/>
    <n v="2147"/>
    <n v="0.53400000000000003"/>
    <n v="14.16"/>
    <n v="47.259"/>
    <n v="47.363785714285719"/>
    <n v="65.119"/>
    <n v="23.381000000000004"/>
    <n v="6.6375000000000002"/>
  </r>
  <r>
    <x v="9"/>
    <n v="28"/>
    <s v="Miercoles"/>
    <x v="318"/>
    <n v="88.6"/>
    <n v="25.067904028972386"/>
    <n v="0.158"/>
    <n v="74.601199999999992"/>
    <n v="23.145799999999991"/>
    <n v="3.7"/>
    <n v="7.4999999999999997E-2"/>
    <n v="2154"/>
    <n v="0.53900000000000003"/>
    <n v="13.998799999999999"/>
    <n v="47.755400000000002"/>
    <n v="47.341857142857144"/>
    <n v="65.4542"/>
    <n v="23.145799999999991"/>
    <n v="6.6449999999999996"/>
  </r>
  <r>
    <x v="9"/>
    <n v="28"/>
    <s v="Domingo"/>
    <x v="319"/>
    <n v="90"/>
    <n v="25.464010864644639"/>
    <n v="0.17199999999999999"/>
    <n v="74.52"/>
    <n v="22.309999999999992"/>
    <n v="3.7"/>
    <n v="0.08"/>
    <n v="2156"/>
    <n v="0.53900000000000003"/>
    <n v="15.479999999999999"/>
    <n v="48.510000000000005"/>
    <n v="47.511750000000006"/>
    <n v="67.690000000000012"/>
    <n v="22.309999999999992"/>
    <n v="7.2"/>
  </r>
  <r>
    <x v="9"/>
    <n v="29"/>
    <s v="Lunes "/>
    <x v="320"/>
    <n v="88.9"/>
    <n v="25.15278406518787"/>
    <n v="0.158"/>
    <n v="74.853800000000007"/>
    <n v="23.592300000000005"/>
    <n v="3.7"/>
    <n v="7.0000000000000007E-2"/>
    <n v="2163"/>
    <n v="0.53500000000000003"/>
    <n v="14.046200000000001"/>
    <n v="47.561500000000002"/>
    <n v="47.51870000000001"/>
    <n v="65.307699999999997"/>
    <n v="23.592300000000005"/>
    <n v="6.2230000000000008"/>
  </r>
  <r>
    <x v="9"/>
    <n v="31"/>
    <s v="Miercoles"/>
    <x v="321"/>
    <n v="89.3"/>
    <n v="25.26595744680851"/>
    <n v="0.16600000000000001"/>
    <n v="74.476199999999992"/>
    <n v="22.822099999999988"/>
    <n v="3.7"/>
    <n v="7.4999999999999997E-2"/>
    <n v="2154"/>
    <n v="0.53700000000000003"/>
    <n v="14.8238"/>
    <n v="47.954100000000004"/>
    <n v="47.683635714285721"/>
    <n v="66.477900000000005"/>
    <n v="22.822099999999988"/>
    <n v="6.6974999999999998"/>
  </r>
  <r>
    <x v="9"/>
    <n v="31"/>
    <s v="Jueves"/>
    <x v="322"/>
    <n v="88.8"/>
    <n v="25.12449071978271"/>
    <n v="0.16700000000000001"/>
    <n v="73.970399999999998"/>
    <n v="23.217599999999997"/>
    <n v="3.6"/>
    <n v="7.4999999999999997E-2"/>
    <n v="2138"/>
    <n v="0.53100000000000003"/>
    <n v="14.829600000000001"/>
    <n v="47.152799999999999"/>
    <n v="47.64479285714286"/>
    <n v="65.582400000000007"/>
    <n v="23.217599999999997"/>
    <n v="6.6599999999999993"/>
  </r>
  <r>
    <x v="9"/>
    <n v="31"/>
    <s v="Viernes"/>
    <x v="323"/>
    <n v="88.7"/>
    <n v="25.096197374377549"/>
    <n v="0.159"/>
    <n v="74.596699999999998"/>
    <n v="23.708299999999998"/>
    <n v="3.7"/>
    <n v="7.0000000000000007E-2"/>
    <n v="2155"/>
    <n v="0.53200000000000003"/>
    <n v="14.103300000000001"/>
    <n v="47.188400000000001"/>
    <n v="47.625885714285722"/>
    <n v="64.991700000000009"/>
    <n v="23.708299999999998"/>
    <n v="6.2090000000000005"/>
  </r>
  <r>
    <x v="9"/>
    <n v="31"/>
    <s v="Sábado"/>
    <x v="324"/>
    <n v="88.55"/>
    <n v="25.053757356269806"/>
    <n v="0.16300000000000001"/>
    <n v="74.116349999999997"/>
    <n v="23.484849999999998"/>
    <n v="3.7"/>
    <n v="7.4999999999999997E-2"/>
    <n v="2142"/>
    <n v="0.53"/>
    <n v="14.43365"/>
    <n v="46.9315"/>
    <n v="47.579100000000004"/>
    <n v="65.065150000000003"/>
    <n v="23.484849999999998"/>
    <n v="6.6412499999999994"/>
  </r>
  <r>
    <x v="9"/>
    <n v="31"/>
    <s v="Domingo"/>
    <x v="325"/>
    <n v="88.15"/>
    <n v="24.940583974649165"/>
    <n v="0.158"/>
    <n v="74.222300000000004"/>
    <n v="23.802800000000001"/>
    <n v="3.7"/>
    <n v="7.0000000000000007E-2"/>
    <n v="2143"/>
    <n v="0.53"/>
    <n v="13.927700000000002"/>
    <n v="46.719500000000004"/>
    <n v="47.431114285714287"/>
    <n v="64.347200000000001"/>
    <n v="23.802800000000001"/>
    <n v="6.1705000000000014"/>
  </r>
  <r>
    <x v="9"/>
    <n v="32"/>
    <s v="Lunes "/>
    <x v="326"/>
    <n v="88.45"/>
    <n v="25.025464010864646"/>
    <n v="0.16700000000000001"/>
    <n v="73.678849999999997"/>
    <n v="22.846549999999993"/>
    <n v="3.6"/>
    <n v="7.4999999999999997E-2"/>
    <n v="2129"/>
    <n v="0.53400000000000003"/>
    <n v="14.77115"/>
    <n v="47.232300000000002"/>
    <n v="47.248585714285717"/>
    <n v="65.603450000000009"/>
    <n v="22.846549999999993"/>
    <n v="6.63375"/>
  </r>
  <r>
    <x v="9"/>
    <n v="32"/>
    <s v="Martes"/>
    <x v="327"/>
    <n v="88.35"/>
    <n v="24.997170665459485"/>
    <n v="0.16500000000000001"/>
    <n v="73.77225"/>
    <n v="23.170049999999996"/>
    <n v="3.6"/>
    <n v="7.4999999999999997E-2"/>
    <n v="2130"/>
    <n v="0.53200000000000003"/>
    <n v="14.57775"/>
    <n v="47.002200000000002"/>
    <n v="47.168685714285722"/>
    <n v="65.179949999999991"/>
    <n v="23.170049999999996"/>
    <n v="6.6262499999999998"/>
  </r>
  <r>
    <x v="9"/>
    <n v="32"/>
    <s v="Miercoles"/>
    <x v="328"/>
    <n v="88.7"/>
    <n v="25.096197374377549"/>
    <n v="0.16800000000000001"/>
    <n v="73.798400000000001"/>
    <n v="23.098699999999994"/>
    <n v="3.6"/>
    <n v="7.4999999999999997E-2"/>
    <n v="2134"/>
    <n v="0.53100000000000003"/>
    <n v="14.901600000000002"/>
    <n v="47.099700000000006"/>
    <n v="47.04662857142857"/>
    <n v="65.601300000000009"/>
    <n v="23.098699999999994"/>
    <n v="6.6524999999999999"/>
  </r>
  <r>
    <x v="9"/>
    <n v="32"/>
    <s v="Jueves"/>
    <x v="329"/>
    <n v="88.6"/>
    <n v="25.067904028972386"/>
    <n v="0.16700000000000001"/>
    <n v="73.803799999999995"/>
    <n v="23.245799999999996"/>
    <n v="3.6"/>
    <n v="7.4999999999999997E-2"/>
    <n v="2133"/>
    <n v="0.53"/>
    <n v="14.796200000000001"/>
    <n v="46.957999999999998"/>
    <n v="47.018800000000006"/>
    <n v="65.354199999999992"/>
    <n v="23.245799999999996"/>
    <n v="6.6449999999999996"/>
  </r>
  <r>
    <x v="9"/>
    <n v="32"/>
    <s v="Viernes"/>
    <x v="330"/>
    <n v="88.55"/>
    <n v="25.053757356269806"/>
    <n v="0.16700000000000001"/>
    <n v="73.762149999999991"/>
    <n v="23.496299999999991"/>
    <n v="3.6"/>
    <n v="7.4999999999999997E-2"/>
    <n v="2132"/>
    <n v="0.52700000000000002"/>
    <n v="14.787850000000001"/>
    <n v="46.665849999999999"/>
    <n v="46.94415"/>
    <n v="65.053700000000006"/>
    <n v="23.496299999999991"/>
    <n v="6.6412499999999994"/>
  </r>
  <r>
    <x v="9"/>
    <n v="32"/>
    <s v="Sábado"/>
    <x v="331"/>
    <n v="87.6"/>
    <n v="24.784970574920777"/>
    <n v="0.16300000000000001"/>
    <n v="73.32119999999999"/>
    <n v="23.993999999999993"/>
    <n v="3.6"/>
    <n v="7.4999999999999997E-2"/>
    <n v="2117"/>
    <n v="0.52200000000000002"/>
    <n v="14.2788"/>
    <n v="45.727199999999996"/>
    <n v="46.772107142857138"/>
    <n v="63.606000000000002"/>
    <n v="23.993999999999993"/>
    <n v="6.5699999999999994"/>
  </r>
  <r>
    <x v="9"/>
    <n v="32"/>
    <s v="Domingo"/>
    <x v="332"/>
    <n v="87.55"/>
    <n v="24.770823902218201"/>
    <n v="0.16"/>
    <n v="73.542000000000002"/>
    <n v="23.803150000000002"/>
    <n v="3.6"/>
    <n v="7.0000000000000007E-2"/>
    <n v="2122"/>
    <n v="0.52700000000000002"/>
    <n v="14.007999999999999"/>
    <n v="46.138849999999998"/>
    <n v="46.689157142857141"/>
    <n v="63.746849999999995"/>
    <n v="23.803150000000002"/>
    <n v="6.1285000000000007"/>
  </r>
  <r>
    <x v="9"/>
    <n v="33"/>
    <s v="Lunes "/>
    <x v="333"/>
    <n v="88.1"/>
    <n v="24.926437301946581"/>
    <n v="0.156"/>
    <n v="74.356399999999994"/>
    <n v="23.610999999999994"/>
    <n v="3.7"/>
    <n v="7.0000000000000007E-2"/>
    <n v="2145"/>
    <n v="0.53400000000000003"/>
    <n v="13.743599999999999"/>
    <n v="47.045400000000001"/>
    <n v="46.662457142857143"/>
    <n v="64.489000000000004"/>
    <n v="23.610999999999994"/>
    <n v="6.1669999999999998"/>
  </r>
  <r>
    <x v="9"/>
    <n v="33"/>
    <s v="Martes"/>
    <x v="334"/>
    <n v="88.35"/>
    <n v="24.997170665459485"/>
    <n v="0.16"/>
    <n v="74.213999999999999"/>
    <n v="23.070049999999998"/>
    <n v="3.7"/>
    <n v="7.0000000000000007E-2"/>
    <n v="2144"/>
    <n v="0.53700000000000003"/>
    <n v="14.135999999999999"/>
    <n v="47.443950000000001"/>
    <n v="46.725564285714277"/>
    <n v="65.279949999999999"/>
    <n v="23.070049999999998"/>
    <n v="6.1844999999999999"/>
  </r>
  <r>
    <x v="9"/>
    <n v="33"/>
    <s v="Miercoles"/>
    <x v="335"/>
    <n v="88.6"/>
    <n v="25.067904028972386"/>
    <n v="0.16900000000000001"/>
    <n v="73.626599999999996"/>
    <n v="22.714199999999998"/>
    <n v="3.6"/>
    <n v="7.4999999999999997E-2"/>
    <n v="2129"/>
    <n v="0.53400000000000003"/>
    <n v="14.9734"/>
    <n v="47.312399999999997"/>
    <n v="46.755949999999999"/>
    <n v="65.885799999999989"/>
    <n v="22.714199999999998"/>
    <n v="6.6449999999999996"/>
  </r>
  <r>
    <x v="9"/>
    <n v="33"/>
    <s v="Jueves"/>
    <x v="336"/>
    <n v="88.3"/>
    <n v="24.983023992756905"/>
    <n v="0.16700000000000001"/>
    <n v="73.553899999999999"/>
    <n v="23.066599999999994"/>
    <n v="3.6"/>
    <n v="7.4999999999999997E-2"/>
    <n v="2125"/>
    <n v="0.53100000000000003"/>
    <n v="14.7461"/>
    <n v="46.887300000000003"/>
    <n v="46.745849999999997"/>
    <n v="65.233400000000003"/>
    <n v="23.066599999999994"/>
    <n v="6.6224999999999996"/>
  </r>
  <r>
    <x v="9"/>
    <n v="34"/>
    <s v="Martes"/>
    <x v="337"/>
    <n v="89"/>
    <n v="25.18107741059303"/>
    <n v="0.16800000000000001"/>
    <n v="74.048000000000002"/>
    <n v="23.189"/>
    <n v="3.6"/>
    <n v="7.4999999999999997E-2"/>
    <n v="2142"/>
    <n v="0.53100000000000003"/>
    <n v="14.952000000000002"/>
    <n v="47.259"/>
    <n v="46.830585714285711"/>
    <n v="65.811000000000007"/>
    <n v="23.189"/>
    <n v="6.6749999999999998"/>
  </r>
  <r>
    <x v="9"/>
    <n v="34"/>
    <s v="Miercoles"/>
    <x v="338"/>
    <n v="88.75"/>
    <n v="25.11034404708013"/>
    <n v="0.16700000000000001"/>
    <n v="73.928749999999994"/>
    <n v="23.113749999999989"/>
    <n v="3.6"/>
    <n v="7.4999999999999997E-2"/>
    <n v="2137"/>
    <n v="0.53200000000000003"/>
    <n v="14.821250000000001"/>
    <n v="47.215000000000003"/>
    <n v="47.043128571428575"/>
    <n v="65.636250000000018"/>
    <n v="23.113749999999989"/>
    <n v="6.65625"/>
  </r>
  <r>
    <x v="9"/>
    <n v="34"/>
    <s v="Jueves"/>
    <x v="339"/>
    <n v="89.1"/>
    <n v="25.20937075599819"/>
    <n v="0.16700000000000001"/>
    <n v="74.220299999999995"/>
    <n v="22.851799999999994"/>
    <n v="3.7"/>
    <n v="7.4999999999999997E-2"/>
    <n v="2147"/>
    <n v="0.53500000000000003"/>
    <n v="14.8797"/>
    <n v="47.668500000000002"/>
    <n v="47.261649999999996"/>
    <n v="66.248199999999997"/>
    <n v="22.851799999999994"/>
    <n v="6.6824999999999992"/>
  </r>
  <r>
    <x v="9"/>
    <n v="34"/>
    <s v="Viernes"/>
    <x v="340"/>
    <n v="88.75"/>
    <n v="25.11034404708013"/>
    <n v="0.161"/>
    <n v="74.461250000000007"/>
    <n v="23.546250000000004"/>
    <n v="3.7"/>
    <n v="7.4999999999999997E-2"/>
    <n v="2152"/>
    <n v="0.53200000000000003"/>
    <n v="14.28875"/>
    <n v="47.215000000000003"/>
    <n v="47.285878571428576"/>
    <n v="65.203749999999999"/>
    <n v="23.546250000000004"/>
    <n v="6.65625"/>
  </r>
  <r>
    <x v="9"/>
    <n v="34"/>
    <s v="Sábado"/>
    <x v="341"/>
    <n v="87.85"/>
    <n v="24.855703938433681"/>
    <n v="0.159"/>
    <n v="73.88185"/>
    <n v="23.809199999999997"/>
    <n v="3.6"/>
    <n v="7.0000000000000007E-2"/>
    <n v="2131"/>
    <n v="0.52900000000000003"/>
    <n v="13.96815"/>
    <n v="46.472650000000002"/>
    <n v="47.147121428571431"/>
    <n v="64.04079999999999"/>
    <n v="23.809199999999997"/>
    <n v="6.1494999999999997"/>
  </r>
  <r>
    <x v="9"/>
    <n v="34"/>
    <s v="Domingo"/>
    <x v="342"/>
    <n v="87.6"/>
    <n v="24.784970574920777"/>
    <n v="0.159"/>
    <n v="73.671599999999998"/>
    <n v="23.555999999999997"/>
    <n v="3.6"/>
    <n v="7.0000000000000007E-2"/>
    <n v="2125"/>
    <n v="0.53100000000000003"/>
    <n v="13.9284"/>
    <n v="46.515599999999999"/>
    <n v="47.033292857142854"/>
    <n v="64.043999999999997"/>
    <n v="23.555999999999997"/>
    <n v="6.1320000000000006"/>
  </r>
  <r>
    <x v="9"/>
    <n v="35"/>
    <s v="Domingo"/>
    <x v="343"/>
    <n v="88.9"/>
    <n v="25.15278406518787"/>
    <n v="0.16700000000000001"/>
    <n v="74.053700000000006"/>
    <n v="23.425600000000003"/>
    <n v="3.6"/>
    <n v="7.4999999999999997E-2"/>
    <n v="2140"/>
    <n v="0.52900000000000003"/>
    <n v="14.846300000000001"/>
    <n v="47.028100000000002"/>
    <n v="47.053407142857147"/>
    <n v="65.474400000000003"/>
    <n v="23.425600000000003"/>
    <n v="6.6675000000000004"/>
  </r>
  <r>
    <x v="9"/>
    <n v="36"/>
    <s v="Lunes "/>
    <x v="344"/>
    <n v="88.8"/>
    <n v="25.12449071978271"/>
    <n v="0.16200000000000001"/>
    <n v="74.414400000000001"/>
    <n v="23.206399999999999"/>
    <n v="3.7"/>
    <n v="7.4999999999999997E-2"/>
    <n v="2150"/>
    <n v="0.53500000000000003"/>
    <n v="14.3856"/>
    <n v="47.508000000000003"/>
    <n v="47.088978571428569"/>
    <n v="65.593599999999995"/>
    <n v="23.206399999999999"/>
    <n v="6.6599999999999993"/>
  </r>
  <r>
    <x v="9"/>
    <n v="36"/>
    <s v="Martes"/>
    <x v="345"/>
    <n v="87.85"/>
    <n v="24.855703938433681"/>
    <n v="0.16800000000000001"/>
    <n v="73.091199999999986"/>
    <n v="22.842849999999984"/>
    <n v="3.6"/>
    <n v="7.4999999999999997E-2"/>
    <n v="2110"/>
    <n v="0.53100000000000003"/>
    <n v="14.758800000000001"/>
    <n v="46.648350000000001"/>
    <n v="47.008028571428568"/>
    <n v="65.00715000000001"/>
    <n v="22.842849999999984"/>
    <n v="6.5887499999999992"/>
  </r>
  <r>
    <x v="9"/>
    <n v="36"/>
    <s v="Miercoles"/>
    <x v="346"/>
    <n v="87.45"/>
    <n v="24.74253055681304"/>
    <n v="0.158"/>
    <n v="73.632900000000006"/>
    <n v="23.334600000000002"/>
    <n v="3.6"/>
    <n v="7.0000000000000007E-2"/>
    <n v="2125"/>
    <n v="0.53400000000000003"/>
    <n v="13.8171"/>
    <n v="46.698300000000003"/>
    <n v="46.869428571428571"/>
    <n v="64.115399999999994"/>
    <n v="23.334600000000002"/>
    <n v="6.1215000000000011"/>
  </r>
  <r>
    <x v="9"/>
    <n v="36"/>
    <s v="Jueves"/>
    <x v="347"/>
    <n v="87.3"/>
    <n v="24.700090538705297"/>
    <n v="0.16200000000000001"/>
    <n v="73.157399999999996"/>
    <n v="23.288399999999996"/>
    <n v="3.6"/>
    <n v="7.4999999999999997E-2"/>
    <n v="2110"/>
    <n v="0.53"/>
    <n v="14.1426"/>
    <n v="46.268999999999998"/>
    <n v="46.734285714285711"/>
    <n v="64.011600000000001"/>
    <n v="23.288399999999996"/>
    <n v="6.5474999999999994"/>
  </r>
  <r>
    <x v="9"/>
    <n v="36"/>
    <s v="Viernes"/>
    <x v="348"/>
    <n v="86.8"/>
    <n v="24.558623811679492"/>
    <n v="0.157"/>
    <n v="73.172399999999996"/>
    <n v="23.134399999999992"/>
    <n v="3.6"/>
    <n v="7.0000000000000007E-2"/>
    <n v="2110"/>
    <n v="0.53500000000000003"/>
    <n v="13.627599999999999"/>
    <n v="46.438000000000002"/>
    <n v="46.72933571428571"/>
    <n v="63.665600000000005"/>
    <n v="23.134399999999992"/>
    <n v="6.0760000000000005"/>
  </r>
  <r>
    <x v="9"/>
    <n v="36"/>
    <s v="Sábado"/>
    <x v="349"/>
    <n v="86.8"/>
    <n v="24.558623811679492"/>
    <n v="0.16300000000000001"/>
    <n v="72.651600000000002"/>
    <n v="22.960799999999999"/>
    <n v="3.6"/>
    <n v="7.4999999999999997E-2"/>
    <n v="2095"/>
    <n v="0.53100000000000003"/>
    <n v="14.148400000000001"/>
    <n v="46.090800000000002"/>
    <n v="46.66865"/>
    <n v="63.839199999999998"/>
    <n v="22.960799999999999"/>
    <n v="6.51"/>
  </r>
  <r>
    <x v="9"/>
    <n v="36"/>
    <s v="Domingo"/>
    <x v="350"/>
    <n v="86.75"/>
    <n v="24.544477138976916"/>
    <n v="0.159"/>
    <n v="72.95675"/>
    <n v="23.465999999999994"/>
    <n v="3.6"/>
    <n v="7.0000000000000007E-2"/>
    <n v="2105"/>
    <n v="0.52900000000000003"/>
    <n v="13.79325"/>
    <n v="45.890750000000004"/>
    <n v="46.506171428571427"/>
    <n v="63.284000000000006"/>
    <n v="23.465999999999994"/>
    <n v="6.0725000000000007"/>
  </r>
  <r>
    <x v="9"/>
    <n v="37"/>
    <s v="Lunes "/>
    <x v="351"/>
    <n v="86.45"/>
    <n v="24.459597102761432"/>
    <n v="0.154"/>
    <n v="73.136700000000005"/>
    <n v="22.940149999999996"/>
    <n v="3.6"/>
    <n v="7.0000000000000007E-2"/>
    <n v="2106"/>
    <n v="0.53900000000000003"/>
    <n v="13.3133"/>
    <n v="46.596550000000008"/>
    <n v="46.375964285714289"/>
    <n v="63.509850000000007"/>
    <n v="22.940149999999996"/>
    <n v="6.0515000000000008"/>
  </r>
  <r>
    <x v="9"/>
    <n v="37"/>
    <s v="Martes"/>
    <x v="352"/>
    <n v="86.55"/>
    <n v="24.487890448166592"/>
    <n v="0.161"/>
    <n v="72.615449999999996"/>
    <n v="22.19189999999999"/>
    <n v="3.6"/>
    <n v="7.0000000000000007E-2"/>
    <n v="2092"/>
    <n v="0.54100000000000004"/>
    <n v="13.93455"/>
    <n v="46.823550000000004"/>
    <n v="46.40099285714286"/>
    <n v="64.358100000000007"/>
    <n v="22.19189999999999"/>
    <n v="6.0585000000000004"/>
  </r>
  <r>
    <x v="9"/>
    <n v="37"/>
    <s v="Miercoles"/>
    <x v="353"/>
    <n v="86.75"/>
    <n v="24.544477138976916"/>
    <n v="0.156"/>
    <n v="73.216999999999999"/>
    <n v="22.598499999999994"/>
    <n v="3.6"/>
    <n v="7.0000000000000007E-2"/>
    <n v="2111"/>
    <n v="0.54200000000000004"/>
    <n v="13.532999999999999"/>
    <n v="47.018500000000003"/>
    <n v="46.446735714285715"/>
    <n v="64.151499999999999"/>
    <n v="22.598499999999994"/>
    <n v="6.0725000000000007"/>
  </r>
  <r>
    <x v="9"/>
    <n v="37"/>
    <s v="Jueves"/>
    <x v="354"/>
    <n v="86.75"/>
    <n v="24.544477138976916"/>
    <n v="0.16400000000000001"/>
    <n v="72.522999999999996"/>
    <n v="21.991249999999994"/>
    <n v="3.6"/>
    <n v="7.4999999999999997E-2"/>
    <n v="2093"/>
    <n v="0.54100000000000004"/>
    <n v="14.227"/>
    <n v="46.931750000000001"/>
    <n v="46.541414285714289"/>
    <n v="64.758750000000006"/>
    <n v="21.991249999999994"/>
    <n v="6.5062499999999996"/>
  </r>
  <r>
    <x v="9"/>
    <n v="37"/>
    <s v="Viernes"/>
    <x v="355"/>
    <n v="86.45"/>
    <n v="24.459597102761432"/>
    <n v="0.155"/>
    <n v="73.050250000000005"/>
    <n v="23.1995"/>
    <n v="3.6"/>
    <n v="7.0000000000000007E-2"/>
    <n v="2104"/>
    <n v="0.53500000000000003"/>
    <n v="13.399750000000001"/>
    <n v="46.250750000000004"/>
    <n v="46.514664285714289"/>
    <n v="63.250500000000002"/>
    <n v="23.1995"/>
    <n v="6.0515000000000008"/>
  </r>
  <r>
    <x v="9"/>
    <n v="37"/>
    <s v="Sábado"/>
    <x v="356"/>
    <n v="85.85"/>
    <n v="24.289837030330467"/>
    <n v="0.152"/>
    <n v="72.800799999999995"/>
    <n v="23.356899999999996"/>
    <n v="3.6"/>
    <n v="7.0000000000000007E-2"/>
    <n v="2094"/>
    <n v="0.53400000000000003"/>
    <n v="13.049199999999999"/>
    <n v="45.843899999999998"/>
    <n v="46.479392857142862"/>
    <n v="62.493099999999998"/>
    <n v="23.356899999999996"/>
    <n v="6.0095000000000001"/>
  </r>
  <r>
    <x v="9"/>
    <n v="37"/>
    <s v="Domingo"/>
    <x v="357"/>
    <n v="86.7"/>
    <n v="24.530330466274336"/>
    <n v="0.161"/>
    <n v="72.741299999999995"/>
    <n v="22.236599999999989"/>
    <n v="3.6"/>
    <n v="7.0000000000000007E-2"/>
    <n v="2098"/>
    <n v="0.54100000000000004"/>
    <n v="13.9587"/>
    <n v="46.904700000000005"/>
    <n v="46.62424285714286"/>
    <n v="64.463400000000007"/>
    <n v="22.236599999999989"/>
    <n v="6.0690000000000008"/>
  </r>
  <r>
    <x v="9"/>
    <n v="38"/>
    <s v="Miercoles"/>
    <x v="358"/>
    <n v="86.25"/>
    <n v="24.403010411951112"/>
    <n v="0.157"/>
    <n v="72.708749999999995"/>
    <n v="22.533749999999991"/>
    <n v="3.6"/>
    <n v="7.0000000000000007E-2"/>
    <n v="2094"/>
    <n v="0.54"/>
    <n v="13.54125"/>
    <n v="46.575000000000003"/>
    <n v="46.621164285714279"/>
    <n v="63.716250000000009"/>
    <n v="22.533749999999991"/>
    <n v="6.0375000000000005"/>
  </r>
  <r>
    <x v="9"/>
    <n v="38"/>
    <s v="Jueves"/>
    <x v="359"/>
    <n v="86.3"/>
    <n v="24.417157084653692"/>
    <n v="0.154"/>
    <n v="73.009799999999998"/>
    <n v="23.584499999999998"/>
    <n v="3.6"/>
    <n v="7.0000000000000007E-2"/>
    <n v="2104"/>
    <n v="0.53100000000000003"/>
    <n v="13.290199999999999"/>
    <n v="45.825299999999999"/>
    <n v="46.478557142857149"/>
    <n v="62.715499999999999"/>
    <n v="23.584499999999998"/>
    <n v="6.0410000000000004"/>
  </r>
  <r>
    <x v="9"/>
    <n v="38"/>
    <s v="Domingo"/>
    <x v="360"/>
    <n v="86.85"/>
    <n v="24.572770484382072"/>
    <n v="0.16300000000000001"/>
    <n v="72.693449999999999"/>
    <n v="21.760199999999998"/>
    <n v="3.6"/>
    <n v="7.4999999999999997E-2"/>
    <n v="2096"/>
    <n v="0.54500000000000004"/>
    <n v="14.156549999999999"/>
    <n v="47.33325"/>
    <n v="46.523521428571435"/>
    <n v="65.089799999999997"/>
    <n v="21.760199999999998"/>
    <n v="6.513749999999999"/>
  </r>
  <r>
    <x v="10"/>
    <n v="39"/>
    <s v="Lunes "/>
    <x v="361"/>
    <n v="86.95"/>
    <n v="24.601063829787236"/>
    <n v="0.158"/>
    <n v="73.2119"/>
    <n v="22.398049999999991"/>
    <n v="3.6"/>
    <n v="7.0000000000000007E-2"/>
    <n v="2111"/>
    <n v="0.54300000000000004"/>
    <n v="13.738100000000001"/>
    <n v="47.213850000000008"/>
    <n v="46.563821428571423"/>
    <n v="64.551950000000005"/>
    <n v="22.398049999999991"/>
    <n v="6.0865000000000009"/>
  </r>
  <r>
    <x v="10"/>
    <n v="39"/>
    <s v="Martes"/>
    <x v="362"/>
    <n v="86.5"/>
    <n v="24.473743775464012"/>
    <n v="0.158"/>
    <n v="72.832999999999998"/>
    <n v="22.782499999999992"/>
    <n v="3.6"/>
    <n v="7.0000000000000007E-2"/>
    <n v="2100"/>
    <n v="0.53700000000000003"/>
    <n v="13.667"/>
    <n v="46.450500000000005"/>
    <n v="46.592357142857153"/>
    <n v="63.717500000000008"/>
    <n v="22.782499999999992"/>
    <n v="6.0550000000000006"/>
  </r>
  <r>
    <x v="10"/>
    <n v="39"/>
    <s v="Miercoles"/>
    <x v="363"/>
    <n v="87.5"/>
    <n v="24.756677229515621"/>
    <n v="0.16400000000000001"/>
    <n v="73.150000000000006"/>
    <n v="22.300000000000004"/>
    <n v="3.6"/>
    <n v="7.4999999999999997E-2"/>
    <n v="2112"/>
    <n v="0.54"/>
    <n v="14.350000000000001"/>
    <n v="47.25"/>
    <n v="46.793228571428571"/>
    <n v="65.199999999999989"/>
    <n v="22.300000000000004"/>
    <n v="6.5625"/>
  </r>
  <r>
    <x v="10"/>
    <n v="39"/>
    <s v="Jueves"/>
    <x v="364"/>
    <n v="87"/>
    <n v="24.615210502489816"/>
    <n v="0.158"/>
    <n v="73.254000000000005"/>
    <n v="23.195999999999998"/>
    <n v="3.6"/>
    <n v="7.0000000000000007E-2"/>
    <n v="2112"/>
    <n v="0.53400000000000003"/>
    <n v="13.746"/>
    <n v="46.458000000000006"/>
    <n v="46.729414285714299"/>
    <n v="63.804000000000002"/>
    <n v="23.195999999999998"/>
    <n v="6.0900000000000007"/>
  </r>
  <r>
    <x v="10"/>
    <n v="39"/>
    <s v="Viernes"/>
    <x v="365"/>
    <n v="86.5"/>
    <n v="24.473743775464012"/>
    <n v="0.154"/>
    <n v="73.179000000000002"/>
    <n v="23.647500000000001"/>
    <n v="3.6"/>
    <n v="7.0000000000000007E-2"/>
    <n v="2111"/>
    <n v="0.53100000000000003"/>
    <n v="13.321"/>
    <n v="45.9315"/>
    <n v="46.637485714285717"/>
    <n v="62.852499999999999"/>
    <n v="23.647500000000001"/>
    <n v="6.0550000000000006"/>
  </r>
  <r>
    <x v="10"/>
    <n v="39"/>
    <s v="Sábado"/>
    <x v="366"/>
    <n v="85.95"/>
    <n v="24.318130375735631"/>
    <n v="0.161"/>
    <n v="72.112049999999996"/>
    <n v="23.474249999999991"/>
    <n v="3.6"/>
    <n v="7.0000000000000007E-2"/>
    <n v="2079"/>
    <n v="0.52400000000000002"/>
    <n v="13.837950000000001"/>
    <n v="45.037800000000004"/>
    <n v="46.524985714285719"/>
    <n v="62.475750000000012"/>
    <n v="23.474249999999991"/>
    <n v="6.0165000000000006"/>
  </r>
  <r>
    <x v="10"/>
    <n v="39"/>
    <s v="Domingo"/>
    <x v="367"/>
    <n v="86.4"/>
    <n v="24.445450430058852"/>
    <n v="0.159"/>
    <n v="72.662400000000005"/>
    <n v="22.924799999999998"/>
    <n v="3.6"/>
    <n v="7.0000000000000007E-2"/>
    <n v="2095"/>
    <n v="0.53400000000000003"/>
    <n v="13.7376"/>
    <n v="46.137600000000006"/>
    <n v="46.354178571428577"/>
    <n v="63.475200000000008"/>
    <n v="22.924799999999998"/>
    <n v="6.0480000000000009"/>
  </r>
  <r>
    <x v="10"/>
    <n v="40"/>
    <s v="Lunes "/>
    <x v="368"/>
    <n v="86.5"/>
    <n v="24.473743775464012"/>
    <n v="0.157"/>
    <n v="72.919499999999999"/>
    <n v="22.868999999999993"/>
    <n v="3.6"/>
    <n v="7.0000000000000007E-2"/>
    <n v="2102"/>
    <n v="0.53700000000000003"/>
    <n v="13.580500000000001"/>
    <n v="46.450500000000005"/>
    <n v="46.245128571428573"/>
    <n v="63.631000000000007"/>
    <n v="22.868999999999993"/>
    <n v="6.0550000000000006"/>
  </r>
  <r>
    <x v="10"/>
    <n v="40"/>
    <s v="Martes"/>
    <x v="369"/>
    <n v="86.15"/>
    <n v="24.374717066545951"/>
    <n v="0.156"/>
    <n v="72.710599999999999"/>
    <n v="22.675749999999994"/>
    <n v="3.6"/>
    <n v="7.0000000000000007E-2"/>
    <n v="2095"/>
    <n v="0.53900000000000003"/>
    <n v="13.439400000000001"/>
    <n v="46.434850000000004"/>
    <n v="46.242892857142856"/>
    <n v="63.474250000000012"/>
    <n v="22.675749999999994"/>
    <n v="6.0305000000000009"/>
  </r>
  <r>
    <x v="10"/>
    <n v="40"/>
    <s v="Miercoles"/>
    <x v="370"/>
    <n v="85.85"/>
    <n v="24.289837030330467"/>
    <n v="0.152"/>
    <n v="72.800799999999995"/>
    <n v="23.185199999999995"/>
    <n v="3.6"/>
    <n v="7.0000000000000007E-2"/>
    <n v="2097"/>
    <n v="0.53600000000000003"/>
    <n v="13.049199999999999"/>
    <n v="46.015599999999999"/>
    <n v="46.066550000000007"/>
    <n v="62.6648"/>
    <n v="23.185199999999995"/>
    <n v="6.0095000000000001"/>
  </r>
  <r>
    <x v="10"/>
    <n v="40"/>
    <s v="Jueves"/>
    <x v="371"/>
    <n v="85.8"/>
    <n v="24.275690357627887"/>
    <n v="0.152"/>
    <n v="72.758399999999995"/>
    <n v="23.426999999999992"/>
    <n v="3.6"/>
    <n v="7.0000000000000007E-2"/>
    <n v="2096"/>
    <n v="0.53300000000000003"/>
    <n v="13.041599999999999"/>
    <n v="45.731400000000001"/>
    <n v="45.962750000000007"/>
    <n v="62.373000000000005"/>
    <n v="23.426999999999992"/>
    <n v="6.0060000000000002"/>
  </r>
  <r>
    <x v="10"/>
    <n v="40"/>
    <s v="Viernes"/>
    <x v="372"/>
    <n v="85.75"/>
    <n v="24.261543684925307"/>
    <n v="0.155"/>
    <n v="72.458749999999995"/>
    <n v="22.725249999999988"/>
    <n v="3.6"/>
    <n v="7.0000000000000007E-2"/>
    <n v="2086"/>
    <n v="0.53800000000000003"/>
    <n v="13.29125"/>
    <n v="46.133500000000005"/>
    <n v="45.991607142857148"/>
    <n v="63.024750000000012"/>
    <n v="22.725249999999988"/>
    <n v="6.0025000000000004"/>
  </r>
  <r>
    <x v="10"/>
    <n v="40"/>
    <s v="Sábado"/>
    <x v="373"/>
    <n v="85.6"/>
    <n v="24.219103666817563"/>
    <n v="0.14899999999999999"/>
    <n v="72.84559999999999"/>
    <n v="23.021599999999992"/>
    <n v="3.6"/>
    <n v="6.5000000000000002E-2"/>
    <n v="2096"/>
    <n v="0.54"/>
    <n v="12.754399999999999"/>
    <n v="46.223999999999997"/>
    <n v="46.161064285714289"/>
    <n v="62.578400000000002"/>
    <n v="23.021599999999992"/>
    <n v="5.5640000000000001"/>
  </r>
  <r>
    <x v="10"/>
    <n v="40"/>
    <s v="Domingo"/>
    <x v="374"/>
    <n v="85.35"/>
    <n v="24.148370303304663"/>
    <n v="0.151"/>
    <n v="72.462149999999994"/>
    <n v="22.773149999999994"/>
    <n v="3.6"/>
    <n v="7.0000000000000007E-2"/>
    <n v="2084"/>
    <n v="0.54"/>
    <n v="12.887849999999998"/>
    <n v="46.088999999999999"/>
    <n v="46.154121428571436"/>
    <n v="62.57685"/>
    <n v="22.773149999999994"/>
    <n v="5.9744999999999999"/>
  </r>
  <r>
    <x v="10"/>
    <n v="41"/>
    <s v="Lunes "/>
    <x v="375"/>
    <n v="85.5"/>
    <n v="24.190810321412407"/>
    <n v="0.151"/>
    <n v="72.589500000000001"/>
    <n v="22.819499999999998"/>
    <n v="3.6"/>
    <n v="7.0000000000000007E-2"/>
    <n v="2089"/>
    <n v="0.54"/>
    <n v="12.910499999999999"/>
    <n v="46.17"/>
    <n v="46.114049999999999"/>
    <n v="62.680500000000002"/>
    <n v="22.819499999999998"/>
    <n v="5.9850000000000003"/>
  </r>
  <r>
    <x v="10"/>
    <n v="41"/>
    <s v="Martes"/>
    <x v="376"/>
    <n v="84.8"/>
    <n v="23.992756903576279"/>
    <n v="0.14899999999999999"/>
    <n v="72.1648"/>
    <n v="22.5184"/>
    <n v="3.6"/>
    <n v="6.5000000000000002E-2"/>
    <n v="2075"/>
    <n v="0.54300000000000004"/>
    <n v="12.635199999999999"/>
    <n v="46.046399999999998"/>
    <n v="46.05855714285714"/>
    <n v="62.281599999999997"/>
    <n v="22.5184"/>
    <n v="5.5119999999999996"/>
  </r>
  <r>
    <x v="10"/>
    <n v="41"/>
    <s v="Miercoles"/>
    <x v="377"/>
    <n v="85.2"/>
    <n v="24.105930285196923"/>
    <n v="0.14599999999999999"/>
    <n v="72.760800000000003"/>
    <n v="22.556399999999996"/>
    <n v="3.6"/>
    <n v="6.5000000000000002E-2"/>
    <n v="2092"/>
    <n v="0.54700000000000004"/>
    <n v="12.4392"/>
    <n v="46.604400000000005"/>
    <n v="46.142671428571425"/>
    <n v="62.643600000000006"/>
    <n v="22.556399999999996"/>
    <n v="5.5380000000000003"/>
  </r>
  <r>
    <x v="10"/>
    <n v="41"/>
    <s v="Jueves"/>
    <x v="378"/>
    <n v="85.55"/>
    <n v="24.204956994114983"/>
    <n v="0.14799999999999999"/>
    <n v="72.888599999999997"/>
    <n v="22.834949999999992"/>
    <n v="3.6"/>
    <n v="6.5000000000000002E-2"/>
    <n v="2096"/>
    <n v="0.54300000000000004"/>
    <n v="12.661399999999999"/>
    <n v="46.453650000000003"/>
    <n v="46.245850000000004"/>
    <n v="62.715050000000005"/>
    <n v="22.834949999999992"/>
    <n v="5.5607499999999996"/>
  </r>
  <r>
    <x v="10"/>
    <n v="41"/>
    <s v="Viernes"/>
    <x v="379"/>
    <n v="84.95"/>
    <n v="24.035196921684022"/>
    <n v="0.14599999999999999"/>
    <n v="72.547300000000007"/>
    <n v="22.904400000000003"/>
    <n v="3.6"/>
    <n v="6.5000000000000002E-2"/>
    <n v="2085"/>
    <n v="0.54200000000000004"/>
    <n v="12.402699999999999"/>
    <n v="46.042900000000003"/>
    <n v="46.232907142857144"/>
    <n v="62.0456"/>
    <n v="22.904400000000003"/>
    <n v="5.5217499999999999"/>
  </r>
  <r>
    <x v="10"/>
    <n v="42"/>
    <s v="Lunes "/>
    <x v="380"/>
    <n v="86.4"/>
    <n v="24.445450430058852"/>
    <n v="0.154"/>
    <n v="73.094400000000007"/>
    <n v="22.492800000000003"/>
    <n v="3.6"/>
    <n v="7.0000000000000007E-2"/>
    <n v="2107"/>
    <n v="0.54400000000000004"/>
    <n v="13.3056"/>
    <n v="47.001600000000003"/>
    <n v="46.343992857142851"/>
    <n v="63.907200000000003"/>
    <n v="22.492800000000003"/>
    <n v="6.0480000000000009"/>
  </r>
  <r>
    <x v="10"/>
    <n v="42"/>
    <s v="Martes"/>
    <x v="381"/>
    <n v="85.75"/>
    <n v="24.261543684925307"/>
    <n v="0.152"/>
    <n v="72.716000000000008"/>
    <n v="22.296500000000002"/>
    <n v="3.6"/>
    <n v="7.0000000000000007E-2"/>
    <n v="2094"/>
    <n v="0.54600000000000004"/>
    <n v="13.033999999999999"/>
    <n v="46.819500000000005"/>
    <n v="46.448350000000005"/>
    <n v="63.453499999999998"/>
    <n v="22.296500000000002"/>
    <n v="6.0025000000000004"/>
  </r>
  <r>
    <x v="10"/>
    <n v="42"/>
    <s v="Miercoles"/>
    <x v="382"/>
    <n v="84.95"/>
    <n v="24.035196921684022"/>
    <n v="0.14799999999999999"/>
    <n v="72.377400000000009"/>
    <n v="22.989350000000002"/>
    <n v="3.6"/>
    <n v="6.5000000000000002E-2"/>
    <n v="2081"/>
    <n v="0.53900000000000003"/>
    <n v="12.5726"/>
    <n v="45.788050000000005"/>
    <n v="46.39378571428572"/>
    <n v="61.960650000000001"/>
    <n v="22.989350000000002"/>
    <n v="5.5217499999999999"/>
  </r>
  <r>
    <x v="10"/>
    <n v="42"/>
    <s v="Jueves"/>
    <x v="383"/>
    <n v="84.75"/>
    <n v="23.978610230873699"/>
    <n v="0.14599999999999999"/>
    <n v="72.376499999999993"/>
    <n v="23.011499999999991"/>
    <n v="3.6"/>
    <n v="6.5000000000000002E-2"/>
    <n v="2079"/>
    <n v="0.54"/>
    <n v="12.3735"/>
    <n v="45.765000000000001"/>
    <n v="46.353585714285714"/>
    <n v="61.738500000000009"/>
    <n v="23.011499999999991"/>
    <n v="5.50875"/>
  </r>
  <r>
    <x v="10"/>
    <n v="42"/>
    <s v="Viernes"/>
    <x v="384"/>
    <n v="85"/>
    <n v="24.049343594386603"/>
    <n v="0.14399999999999999"/>
    <n v="72.760000000000005"/>
    <n v="23.090000000000003"/>
    <n v="3.6"/>
    <n v="6.5000000000000002E-2"/>
    <n v="2091"/>
    <n v="0.54200000000000004"/>
    <n v="12.239999999999998"/>
    <n v="46.07"/>
    <n v="46.277242857142859"/>
    <n v="61.91"/>
    <n v="23.090000000000003"/>
    <n v="5.5250000000000004"/>
  </r>
  <r>
    <x v="10"/>
    <n v="42"/>
    <s v="Sábado"/>
    <x v="385"/>
    <n v="84.55"/>
    <n v="23.922023540063378"/>
    <n v="0.152"/>
    <n v="71.698399999999992"/>
    <n v="23.04869999999999"/>
    <n v="3.5"/>
    <n v="7.0000000000000007E-2"/>
    <n v="2062"/>
    <n v="0.53400000000000003"/>
    <n v="12.851599999999999"/>
    <n v="45.149700000000003"/>
    <n v="46.090964285714286"/>
    <n v="61.501300000000008"/>
    <n v="23.04869999999999"/>
    <n v="5.9185000000000008"/>
  </r>
  <r>
    <x v="10"/>
    <n v="42"/>
    <s v="Domingo"/>
    <x v="386"/>
    <n v="85.2"/>
    <n v="24.105930285196923"/>
    <n v="0.14699999999999999"/>
    <n v="72.675600000000003"/>
    <n v="22.556399999999996"/>
    <n v="3.6"/>
    <n v="6.5000000000000002E-2"/>
    <n v="2090"/>
    <n v="0.54600000000000004"/>
    <n v="12.5244"/>
    <n v="46.519200000000005"/>
    <n v="46.159007142857142"/>
    <n v="62.643600000000006"/>
    <n v="22.556399999999996"/>
    <n v="5.5380000000000003"/>
  </r>
  <r>
    <x v="10"/>
    <n v="43"/>
    <s v="Sábado"/>
    <x v="387"/>
    <n v="87"/>
    <n v="24.615210502489816"/>
    <n v="0.161"/>
    <n v="72.992999999999995"/>
    <n v="21.803999999999988"/>
    <n v="3.6"/>
    <n v="7.0000000000000007E-2"/>
    <n v="2106"/>
    <n v="0.54700000000000004"/>
    <n v="14.007"/>
    <n v="47.589000000000006"/>
    <n v="46.242921428571428"/>
    <n v="65.196000000000012"/>
    <n v="21.803999999999988"/>
    <n v="6.0900000000000007"/>
  </r>
  <r>
    <x v="10"/>
    <n v="43"/>
    <s v="Domingo"/>
    <x v="388"/>
    <n v="86.6"/>
    <n v="24.502037120869172"/>
    <n v="0.157"/>
    <n v="73.003799999999998"/>
    <n v="22.379999999999995"/>
    <n v="3.6"/>
    <n v="7.0000000000000007E-2"/>
    <n v="2105"/>
    <n v="0.54300000000000004"/>
    <n v="13.5962"/>
    <n v="47.023800000000001"/>
    <n v="46.272107142857145"/>
    <n v="64.22"/>
    <n v="22.379999999999995"/>
    <n v="6.0620000000000003"/>
  </r>
  <r>
    <x v="10"/>
    <n v="44"/>
    <s v="Lunes "/>
    <x v="389"/>
    <n v="86.25"/>
    <n v="24.403010411951112"/>
    <n v="0.151"/>
    <n v="73.226249999999993"/>
    <n v="22.70624999999999"/>
    <n v="3.6"/>
    <n v="7.0000000000000007E-2"/>
    <n v="2109"/>
    <n v="0.54400000000000004"/>
    <n v="13.02375"/>
    <n v="46.92"/>
    <n v="46.433814285714291"/>
    <n v="63.54375000000001"/>
    <n v="22.70624999999999"/>
    <n v="6.0375000000000005"/>
  </r>
  <r>
    <x v="10"/>
    <n v="44"/>
    <s v="Martes"/>
    <x v="390"/>
    <n v="85.85"/>
    <n v="24.289837030330467"/>
    <n v="0.14499999999999999"/>
    <n v="73.401749999999993"/>
    <n v="23.185199999999988"/>
    <n v="3.6"/>
    <n v="6.5000000000000002E-2"/>
    <n v="2113"/>
    <n v="0.54300000000000004"/>
    <n v="12.448249999999998"/>
    <n v="46.616550000000004"/>
    <n v="46.555464285714287"/>
    <n v="62.664800000000007"/>
    <n v="23.185199999999988"/>
    <n v="5.5802499999999995"/>
  </r>
  <r>
    <x v="10"/>
    <n v="44"/>
    <s v="Miercoles"/>
    <x v="391"/>
    <n v="85.85"/>
    <n v="24.289837030330467"/>
    <n v="0.14899999999999999"/>
    <n v="73.05834999999999"/>
    <n v="22.58424999999999"/>
    <n v="3.6"/>
    <n v="7.0000000000000007E-2"/>
    <n v="2103"/>
    <n v="0.54600000000000004"/>
    <n v="12.791649999999999"/>
    <n v="46.874099999999999"/>
    <n v="46.67033571428572"/>
    <n v="63.265750000000004"/>
    <n v="22.58424999999999"/>
    <n v="6.0095000000000001"/>
  </r>
  <r>
    <x v="10"/>
    <n v="44"/>
    <s v="Jueves"/>
    <x v="392"/>
    <n v="86.95"/>
    <n v="24.601063829787236"/>
    <n v="0.157"/>
    <n v="73.298850000000002"/>
    <n v="22.311099999999996"/>
    <n v="3.6"/>
    <n v="7.0000000000000007E-2"/>
    <n v="2114"/>
    <n v="0.54500000000000004"/>
    <n v="13.651150000000001"/>
    <n v="47.387750000000004"/>
    <n v="46.990057142857147"/>
    <n v="64.638900000000007"/>
    <n v="22.311099999999996"/>
    <n v="6.0865000000000009"/>
  </r>
  <r>
    <x v="10"/>
    <n v="44"/>
    <s v="Viernes"/>
    <x v="393"/>
    <n v="86.3"/>
    <n v="24.417157084653692"/>
    <n v="0.14699999999999999"/>
    <n v="73.613900000000001"/>
    <n v="22.980399999999996"/>
    <n v="3.6"/>
    <n v="6.5000000000000002E-2"/>
    <n v="2117"/>
    <n v="0.54500000000000004"/>
    <n v="12.6861"/>
    <n v="47.033500000000004"/>
    <n v="47.06352857142857"/>
    <n v="63.319600000000001"/>
    <n v="22.980399999999996"/>
    <n v="5.6094999999999997"/>
  </r>
  <r>
    <x v="10"/>
    <n v="44"/>
    <s v="Sábado"/>
    <x v="394"/>
    <n v="85.95"/>
    <n v="24.318130375735631"/>
    <n v="0.14799999999999999"/>
    <n v="73.229399999999998"/>
    <n v="22.442849999999993"/>
    <n v="3.6"/>
    <n v="6.5000000000000002E-2"/>
    <n v="2107"/>
    <n v="0.54900000000000004"/>
    <n v="12.720599999999999"/>
    <n v="47.186550000000004"/>
    <n v="47.006035714285723"/>
    <n v="63.50715000000001"/>
    <n v="22.442849999999993"/>
    <n v="5.5867500000000003"/>
  </r>
  <r>
    <x v="10"/>
    <n v="44"/>
    <s v="Domingo"/>
    <x v="395"/>
    <n v="86"/>
    <n v="24.332277048438208"/>
    <n v="0.154"/>
    <n v="72.756"/>
    <n v="21.597999999999992"/>
    <n v="3.6"/>
    <n v="7.0000000000000007E-2"/>
    <n v="2096"/>
    <n v="0.55300000000000005"/>
    <n v="13.244"/>
    <n v="47.558000000000007"/>
    <n v="47.082350000000005"/>
    <n v="64.402000000000015"/>
    <n v="21.597999999999992"/>
    <n v="6.0200000000000005"/>
  </r>
  <r>
    <x v="10"/>
    <n v="45"/>
    <s v="Lunes "/>
    <x v="396"/>
    <n v="86.1"/>
    <n v="24.360570393843368"/>
    <n v="0.14599999999999999"/>
    <n v="73.529399999999995"/>
    <n v="22.402199999999993"/>
    <n v="3.6"/>
    <n v="6.5000000000000002E-2"/>
    <n v="2117"/>
    <n v="0.55200000000000005"/>
    <n v="12.570599999999999"/>
    <n v="47.527200000000001"/>
    <n v="47.169092857142857"/>
    <n v="63.697800000000001"/>
    <n v="22.402199999999993"/>
    <n v="5.5964999999999998"/>
  </r>
  <r>
    <x v="10"/>
    <n v="45"/>
    <s v="Martes"/>
    <x v="397"/>
    <n v="85.85"/>
    <n v="24.289837030330467"/>
    <n v="0.152"/>
    <n v="72.800799999999995"/>
    <n v="22.154999999999994"/>
    <n v="3.6"/>
    <n v="7.0000000000000007E-2"/>
    <n v="2096"/>
    <n v="0.54800000000000004"/>
    <n v="13.049199999999999"/>
    <n v="47.0458"/>
    <n v="47.230414285714289"/>
    <n v="63.695"/>
    <n v="22.154999999999994"/>
    <n v="6.0095000000000001"/>
  </r>
  <r>
    <x v="10"/>
    <n v="45"/>
    <s v="Miercoles"/>
    <x v="398"/>
    <n v="85.55"/>
    <n v="24.204956994114983"/>
    <n v="0.14899999999999999"/>
    <n v="72.803049999999999"/>
    <n v="22.578299999999999"/>
    <n v="3.6"/>
    <n v="6.5000000000000002E-2"/>
    <n v="2094"/>
    <n v="0.54500000000000004"/>
    <n v="12.746949999999998"/>
    <n v="46.624749999999999"/>
    <n v="47.194792857142865"/>
    <n v="62.971699999999998"/>
    <n v="22.578299999999999"/>
    <n v="5.5607499999999996"/>
  </r>
  <r>
    <x v="10"/>
    <n v="45"/>
    <s v="Viernes"/>
    <x v="399"/>
    <n v="85.75"/>
    <n v="24.261543684925307"/>
    <n v="0.14899999999999999"/>
    <n v="72.973250000000007"/>
    <n v="22.382249999999999"/>
    <n v="3.6"/>
    <n v="7.0000000000000007E-2"/>
    <n v="2099"/>
    <n v="0.54800000000000004"/>
    <n v="12.77675"/>
    <n v="46.991000000000007"/>
    <n v="47.138114285714281"/>
    <n v="63.367750000000001"/>
    <n v="22.382249999999999"/>
    <n v="6.0025000000000004"/>
  </r>
  <r>
    <x v="10"/>
    <n v="45"/>
    <s v="Sábado"/>
    <x v="400"/>
    <n v="85.5"/>
    <n v="24.190810321412407"/>
    <n v="0.14499999999999999"/>
    <n v="73.102500000000006"/>
    <n v="22.648499999999999"/>
    <n v="3.6"/>
    <n v="6.5000000000000002E-2"/>
    <n v="2103"/>
    <n v="0.54800000000000004"/>
    <n v="12.397499999999999"/>
    <n v="46.854000000000006"/>
    <n v="47.112471428571425"/>
    <n v="62.851500000000001"/>
    <n v="22.648499999999999"/>
    <n v="5.5575000000000001"/>
  </r>
  <r>
    <x v="10"/>
    <n v="45"/>
    <s v="Domingo"/>
    <x v="401"/>
    <n v="85.55"/>
    <n v="24.204956994114983"/>
    <n v="0.14599999999999999"/>
    <n v="73.059699999999992"/>
    <n v="21.979449999999986"/>
    <n v="3.6"/>
    <n v="6.5000000000000002E-2"/>
    <n v="2103"/>
    <n v="0.55500000000000005"/>
    <n v="12.4903"/>
    <n v="47.480250000000005"/>
    <n v="47.154428571428582"/>
    <n v="63.570550000000011"/>
    <n v="21.979449999999986"/>
    <n v="5.5607499999999996"/>
  </r>
  <r>
    <x v="10"/>
    <n v="46"/>
    <s v="Lunes "/>
    <x v="402"/>
    <n v="85.3"/>
    <n v="24.134223630602083"/>
    <n v="0.14499999999999999"/>
    <n v="72.9315"/>
    <n v="22.245899999999999"/>
    <n v="3.6"/>
    <n v="6.5000000000000002E-2"/>
    <n v="2097"/>
    <n v="0.55200000000000005"/>
    <n v="12.368499999999999"/>
    <n v="47.085599999999999"/>
    <n v="47.086942857142859"/>
    <n v="63.054099999999998"/>
    <n v="22.245899999999999"/>
    <n v="5.5445000000000002"/>
  </r>
  <r>
    <x v="10"/>
    <n v="46"/>
    <s v="Martes"/>
    <x v="403"/>
    <n v="85.25"/>
    <n v="24.120076957899503"/>
    <n v="0.14699999999999999"/>
    <n v="72.718249999999998"/>
    <n v="22.742249999999991"/>
    <n v="3.6"/>
    <n v="6.5000000000000002E-2"/>
    <n v="2091"/>
    <n v="0.54400000000000004"/>
    <n v="12.531749999999999"/>
    <n v="46.376000000000005"/>
    <n v="46.922485714285713"/>
    <n v="62.507750000000009"/>
    <n v="22.742249999999991"/>
    <n v="5.5412499999999998"/>
  </r>
  <r>
    <x v="10"/>
    <n v="46"/>
    <s v="Miercoles"/>
    <x v="404"/>
    <n v="85.35"/>
    <n v="24.148370303304663"/>
    <n v="0.14899999999999999"/>
    <n v="72.632849999999991"/>
    <n v="22.60244999999999"/>
    <n v="3.6"/>
    <n v="6.5000000000000002E-2"/>
    <n v="2090"/>
    <n v="0.54400000000000004"/>
    <n v="12.717149999999998"/>
    <n v="46.430399999999999"/>
    <n v="46.834571428571437"/>
    <n v="62.747550000000004"/>
    <n v="22.60244999999999"/>
    <n v="5.5477499999999997"/>
  </r>
  <r>
    <x v="10"/>
    <n v="46"/>
    <s v="Jueves"/>
    <x v="405"/>
    <n v="85.15"/>
    <n v="24.091783612494346"/>
    <n v="0.14299999999999999"/>
    <n v="72.973550000000003"/>
    <n v="23.051949999999998"/>
    <n v="3.6"/>
    <n v="6.5000000000000002E-2"/>
    <n v="2098"/>
    <n v="0.54400000000000004"/>
    <n v="12.176449999999999"/>
    <n v="46.321600000000004"/>
    <n v="46.791264285714291"/>
    <n v="62.098050000000008"/>
    <n v="23.051949999999998"/>
    <n v="5.5347500000000007"/>
  </r>
  <r>
    <x v="10"/>
    <n v="46"/>
    <s v="Viernes"/>
    <x v="406"/>
    <n v="84.75"/>
    <n v="23.978610230873699"/>
    <n v="0.14099999999999999"/>
    <n v="72.800250000000005"/>
    <n v="23.180999999999997"/>
    <n v="3.6"/>
    <n v="6.5000000000000002E-2"/>
    <n v="2092"/>
    <n v="0.54300000000000004"/>
    <n v="11.949749999999998"/>
    <n v="46.019250000000007"/>
    <n v="46.652442857142852"/>
    <n v="61.569000000000003"/>
    <n v="23.180999999999997"/>
    <n v="5.50875"/>
  </r>
  <r>
    <x v="10"/>
    <n v="46"/>
    <s v="Sábado"/>
    <x v="407"/>
    <n v="84.95"/>
    <n v="24.035196921684022"/>
    <n v="0.14000000000000001"/>
    <n v="73.057000000000002"/>
    <n v="23.159249999999993"/>
    <n v="3.6"/>
    <n v="6.5000000000000002E-2"/>
    <n v="2099"/>
    <n v="0.54500000000000004"/>
    <n v="11.893000000000001"/>
    <n v="46.297750000000008"/>
    <n v="46.572978571428571"/>
    <n v="61.79075000000001"/>
    <n v="23.159249999999993"/>
    <n v="5.5217499999999999"/>
  </r>
  <r>
    <x v="10"/>
    <n v="47"/>
    <s v="Viernes"/>
    <x v="408"/>
    <n v="86.35"/>
    <n v="24.431303757356268"/>
    <n v="0.153"/>
    <n v="73.138449999999992"/>
    <n v="22.045949999999991"/>
    <n v="3.6"/>
    <n v="7.0000000000000007E-2"/>
    <n v="2107"/>
    <n v="0.55000000000000004"/>
    <n v="13.211549999999999"/>
    <n v="47.4925"/>
    <n v="46.574728571428572"/>
    <n v="64.304050000000004"/>
    <n v="22.045949999999991"/>
    <n v="6.0445000000000002"/>
  </r>
  <r>
    <x v="10"/>
    <n v="47"/>
    <s v="Sábado"/>
    <x v="409"/>
    <n v="85.65"/>
    <n v="24.233250339520147"/>
    <n v="0.14499999999999999"/>
    <n v="73.23075"/>
    <n v="22.865849999999995"/>
    <n v="3.6"/>
    <n v="6.5000000000000002E-2"/>
    <n v="2105"/>
    <n v="0.54600000000000004"/>
    <n v="12.41925"/>
    <n v="46.764900000000004"/>
    <n v="46.528914285714286"/>
    <n v="62.784150000000011"/>
    <n v="22.865849999999995"/>
    <n v="5.5672500000000005"/>
  </r>
  <r>
    <x v="10"/>
    <n v="47"/>
    <s v="Domingo"/>
    <x v="410"/>
    <n v="85.2"/>
    <n v="24.105930285196923"/>
    <n v="0.14399999999999999"/>
    <n v="72.931200000000004"/>
    <n v="22.897199999999998"/>
    <n v="3.6"/>
    <n v="6.5000000000000002E-2"/>
    <n v="2097"/>
    <n v="0.54500000000000004"/>
    <n v="12.268799999999999"/>
    <n v="46.434000000000005"/>
    <n v="46.537200000000006"/>
    <n v="62.302800000000005"/>
    <n v="22.897199999999998"/>
    <n v="5.5380000000000003"/>
  </r>
  <r>
    <x v="10"/>
    <n v="48"/>
    <s v="Sábado"/>
    <x v="411"/>
    <n v="87.45"/>
    <n v="24.74253055681304"/>
    <n v="0.159"/>
    <n v="73.545450000000002"/>
    <n v="22.372649999999993"/>
    <n v="3.6"/>
    <n v="7.0000000000000007E-2"/>
    <n v="2123"/>
    <n v="0.54400000000000004"/>
    <n v="13.90455"/>
    <n v="47.572800000000008"/>
    <n v="46.700400000000009"/>
    <n v="65.07735000000001"/>
    <n v="22.372649999999993"/>
    <n v="6.1215000000000011"/>
  </r>
  <r>
    <x v="10"/>
    <n v="48"/>
    <s v="Domingo"/>
    <x v="412"/>
    <n v="86.75"/>
    <n v="24.544477138976916"/>
    <n v="0.15"/>
    <n v="73.737499999999997"/>
    <n v="23.032249999999991"/>
    <n v="3.6"/>
    <n v="7.0000000000000007E-2"/>
    <n v="2124"/>
    <n v="0.54300000000000004"/>
    <n v="13.012499999999999"/>
    <n v="47.105250000000005"/>
    <n v="46.812350000000002"/>
    <n v="63.717750000000009"/>
    <n v="23.032249999999991"/>
    <n v="6.0725000000000007"/>
  </r>
  <r>
    <x v="10"/>
    <n v="49"/>
    <s v="Lunes "/>
    <x v="413"/>
    <n v="85.9"/>
    <n v="24.303983703033051"/>
    <n v="0.14299999999999999"/>
    <n v="73.61630000000001"/>
    <n v="23.802100000000003"/>
    <n v="3.6"/>
    <n v="6.5000000000000002E-2"/>
    <n v="2119"/>
    <n v="0.53800000000000003"/>
    <n v="12.2837"/>
    <n v="46.214200000000005"/>
    <n v="46.840200000000003"/>
    <n v="62.097900000000003"/>
    <n v="23.802100000000003"/>
    <n v="5.5835000000000008"/>
  </r>
  <r>
    <x v="10"/>
    <n v="49"/>
    <s v="Martes"/>
    <x v="414"/>
    <n v="85.45"/>
    <n v="24.176663648709827"/>
    <n v="0.14299999999999999"/>
    <n v="73.230649999999997"/>
    <n v="23.316749999999992"/>
    <n v="3.6"/>
    <n v="6.5000000000000002E-2"/>
    <n v="2106"/>
    <n v="0.54200000000000004"/>
    <n v="12.219349999999999"/>
    <n v="46.313900000000004"/>
    <n v="46.842507142857144"/>
    <n v="62.133250000000011"/>
    <n v="23.316749999999992"/>
    <n v="5.5542500000000006"/>
  </r>
  <r>
    <x v="10"/>
    <n v="49"/>
    <s v="Miercoles"/>
    <x v="415"/>
    <n v="85.85"/>
    <n v="24.289837030330467"/>
    <n v="0.15"/>
    <n v="72.972499999999997"/>
    <n v="22.755949999999991"/>
    <n v="3.6"/>
    <n v="7.0000000000000007E-2"/>
    <n v="2100"/>
    <n v="0.54300000000000004"/>
    <n v="12.8775"/>
    <n v="46.616550000000004"/>
    <n v="46.717371428571433"/>
    <n v="63.094050000000003"/>
    <n v="22.755949999999991"/>
    <n v="6.0095000000000001"/>
  </r>
  <r>
    <x v="10"/>
    <n v="50"/>
    <s v="Lunes "/>
    <x v="416"/>
    <n v="86.9"/>
    <n v="24.586917157084656"/>
    <n v="0.159"/>
    <n v="73.082900000000009"/>
    <n v="21.774799999999999"/>
    <n v="3.6"/>
    <n v="7.0000000000000007E-2"/>
    <n v="2108"/>
    <n v="0.54900000000000004"/>
    <n v="13.817100000000002"/>
    <n v="47.708100000000009"/>
    <n v="46.852114285714286"/>
    <n v="65.125200000000007"/>
    <n v="21.774799999999999"/>
    <n v="6.0830000000000011"/>
  </r>
  <r>
    <x v="10"/>
    <n v="50"/>
    <s v="Viernes"/>
    <x v="417"/>
    <n v="86.95"/>
    <n v="24.601063829787236"/>
    <n v="0.154"/>
    <n v="73.559700000000007"/>
    <n v="22.398049999999998"/>
    <n v="3.6"/>
    <n v="7.0000000000000007E-2"/>
    <n v="2120"/>
    <n v="0.54700000000000004"/>
    <n v="13.3903"/>
    <n v="47.561650000000007"/>
    <n v="47.013207142857148"/>
    <n v="64.551950000000005"/>
    <n v="22.398049999999998"/>
    <n v="6.0865000000000009"/>
  </r>
  <r>
    <x v="10"/>
    <n v="50"/>
    <s v="Sábado"/>
    <x v="418"/>
    <n v="85.9"/>
    <n v="24.303983703033051"/>
    <n v="0.14899999999999999"/>
    <n v="73.10090000000001"/>
    <n v="22.857199999999999"/>
    <n v="3.6"/>
    <n v="6.5000000000000002E-2"/>
    <n v="2105"/>
    <n v="0.54300000000000004"/>
    <n v="12.799100000000001"/>
    <n v="46.64370000000001"/>
    <n v="46.880478571428576"/>
    <n v="63.042800000000007"/>
    <n v="22.857199999999999"/>
    <n v="5.5835000000000008"/>
  </r>
  <r>
    <x v="10"/>
    <n v="50"/>
    <s v="Domingo"/>
    <x v="419"/>
    <n v="85.6"/>
    <n v="24.219103666817563"/>
    <n v="0.14799999999999999"/>
    <n v="72.93119999999999"/>
    <n v="23.021599999999985"/>
    <n v="3.6"/>
    <n v="6.5000000000000002E-2"/>
    <n v="2098"/>
    <n v="0.54100000000000004"/>
    <n v="12.668799999999999"/>
    <n v="46.309600000000003"/>
    <n v="46.76681428571429"/>
    <n v="62.578400000000009"/>
    <n v="23.021599999999985"/>
    <n v="5.5640000000000001"/>
  </r>
  <r>
    <x v="11"/>
    <n v="51"/>
    <s v="Lunes "/>
    <x v="420"/>
    <n v="85.8"/>
    <n v="24.275690357627887"/>
    <n v="0.14899999999999999"/>
    <n v="73.015799999999999"/>
    <n v="22.826399999999992"/>
    <n v="3.6"/>
    <n v="6.5000000000000002E-2"/>
    <n v="2102"/>
    <n v="0.54300000000000004"/>
    <n v="12.784199999999998"/>
    <n v="46.589400000000005"/>
    <n v="46.820414285714286"/>
    <n v="62.973600000000005"/>
    <n v="22.826399999999992"/>
    <n v="5.577"/>
  </r>
  <r>
    <x v="11"/>
    <n v="51"/>
    <s v="Martes"/>
    <x v="421"/>
    <n v="85.75"/>
    <n v="24.261543684925307"/>
    <n v="0.14899999999999999"/>
    <n v="72.973250000000007"/>
    <n v="22.639500000000005"/>
    <n v="3.6"/>
    <n v="7.0000000000000007E-2"/>
    <n v="2099"/>
    <n v="0.54500000000000004"/>
    <n v="12.77675"/>
    <n v="46.733750000000001"/>
    <n v="46.880392857142859"/>
    <n v="63.110499999999995"/>
    <n v="22.639500000000005"/>
    <n v="6.0025000000000004"/>
  </r>
  <r>
    <x v="11"/>
    <n v="51"/>
    <s v="Miercoles"/>
    <x v="422"/>
    <n v="85.8"/>
    <n v="24.275690357627887"/>
    <n v="0.14499999999999999"/>
    <n v="73.358999999999995"/>
    <n v="22.99799999999999"/>
    <n v="3.6"/>
    <n v="7.0000000000000007E-2"/>
    <n v="2111"/>
    <n v="0.54500000000000004"/>
    <n v="12.440999999999999"/>
    <n v="46.761000000000003"/>
    <n v="46.901028571428576"/>
    <n v="62.802000000000007"/>
    <n v="22.99799999999999"/>
    <n v="6.0060000000000002"/>
  </r>
  <r>
    <x v="11"/>
    <n v="51"/>
    <s v="Jueves"/>
    <x v="423"/>
    <n v="86.85"/>
    <n v="24.572770484382072"/>
    <n v="0.158"/>
    <n v="73.12769999999999"/>
    <n v="21.76019999999999"/>
    <n v="3.6"/>
    <n v="7.0000000000000007E-2"/>
    <n v="2109"/>
    <n v="0.55000000000000004"/>
    <n v="13.722299999999999"/>
    <n v="47.767499999999998"/>
    <n v="46.909514285714287"/>
    <n v="65.089799999999997"/>
    <n v="21.76019999999999"/>
    <n v="6.0795000000000003"/>
  </r>
  <r>
    <x v="11"/>
    <n v="51"/>
    <s v="Viernes"/>
    <x v="424"/>
    <n v="85.55"/>
    <n v="24.204956994114983"/>
    <n v="0.152"/>
    <n v="72.546400000000006"/>
    <n v="22.2361"/>
    <n v="3.6"/>
    <n v="7.0000000000000007E-2"/>
    <n v="2087"/>
    <n v="0.54600000000000004"/>
    <n v="13.003599999999999"/>
    <n v="46.710300000000004"/>
    <n v="46.787892857142865"/>
    <n v="63.313899999999997"/>
    <n v="22.2361"/>
    <n v="5.9885000000000002"/>
  </r>
  <r>
    <x v="11"/>
    <n v="51"/>
    <s v="Sabado"/>
    <x v="425"/>
    <n v="86.45"/>
    <n v="24.459597102761432"/>
    <n v="0.156"/>
    <n v="72.963800000000006"/>
    <n v="22.594349999999999"/>
    <n v="3.6"/>
    <n v="7.0000000000000007E-2"/>
    <n v="2095"/>
    <n v="0.54100000000000004"/>
    <n v="13.4862"/>
    <n v="46.769450000000006"/>
    <n v="46.805857142857143"/>
    <n v="63.855650000000004"/>
    <n v="22.594349999999999"/>
    <n v="6.0515000000000008"/>
  </r>
  <r>
    <x v="11"/>
    <n v="51"/>
    <s v="Domingo"/>
    <x v="426"/>
    <n v="86.1"/>
    <n v="24.360570393843368"/>
    <n v="0.151"/>
    <n v="73.0989"/>
    <n v="22.316099999999999"/>
    <n v="3.6"/>
    <n v="7.0000000000000007E-2"/>
    <n v="2104"/>
    <n v="0.54800000000000004"/>
    <n v="13.001099999999999"/>
    <n v="47.1828"/>
    <n v="46.930600000000005"/>
    <n v="63.783899999999996"/>
    <n v="22.316099999999999"/>
    <n v="6.0270000000000001"/>
  </r>
  <r>
    <x v="11"/>
    <n v="52"/>
    <s v="Lunes "/>
    <x v="427"/>
    <n v="85.9"/>
    <n v="24.303983703033051"/>
    <n v="0.14699999999999999"/>
    <n v="73.2727"/>
    <n v="22.427699999999994"/>
    <n v="3.6"/>
    <n v="6.5000000000000002E-2"/>
    <n v="2109"/>
    <n v="0.55000000000000004"/>
    <n v="12.6273"/>
    <n v="47.245000000000005"/>
    <n v="47.024257142857145"/>
    <n v="63.472300000000011"/>
    <n v="22.427699999999994"/>
    <n v="5.5835000000000008"/>
  </r>
  <r>
    <x v="11"/>
    <n v="52"/>
    <s v="Martes"/>
    <x v="428"/>
    <n v="85.35"/>
    <n v="24.148370303304663"/>
    <n v="0.14699999999999999"/>
    <n v="72.803550000000001"/>
    <n v="22.687800000000003"/>
    <n v="3.6"/>
    <n v="6.5000000000000002E-2"/>
    <n v="2093"/>
    <n v="0.54500000000000004"/>
    <n v="12.546449999999998"/>
    <n v="46.515749999999997"/>
    <n v="46.993114285714292"/>
    <n v="62.662199999999991"/>
    <n v="22.687800000000003"/>
    <n v="5.5477499999999997"/>
  </r>
  <r>
    <x v="11"/>
    <n v="52"/>
    <s v="Miercoles"/>
    <x v="429"/>
    <n v="85.75"/>
    <n v="24.261543684925307"/>
    <n v="0.14399999999999999"/>
    <n v="73.402000000000001"/>
    <n v="22.639499999999998"/>
    <n v="3.6"/>
    <n v="6.5000000000000002E-2"/>
    <n v="2112"/>
    <n v="0.55000000000000004"/>
    <n v="12.347999999999999"/>
    <n v="47.162500000000001"/>
    <n v="47.050471428571427"/>
    <n v="63.110500000000002"/>
    <n v="22.639499999999998"/>
    <n v="5.5737500000000004"/>
  </r>
  <r>
    <x v="11"/>
    <n v="1"/>
    <s v="Martes"/>
    <x v="430"/>
    <n v="87.8"/>
    <n v="24.841557265731101"/>
    <n v="0.159"/>
    <n v="73.839799999999997"/>
    <n v="22.213199999999993"/>
    <n v="3.6"/>
    <n v="7.0000000000000007E-2"/>
    <n v="2130"/>
    <n v="0.54700000000000004"/>
    <n v="13.9602"/>
    <n v="48.026600000000002"/>
    <n v="47.087485714285712"/>
    <n v="65.586800000000011"/>
    <n v="22.213199999999993"/>
    <n v="6.1460000000000008"/>
  </r>
  <r>
    <x v="11"/>
    <n v="1"/>
    <s v="Miercoles"/>
    <x v="431"/>
    <n v="86.7"/>
    <n v="24.530330466274336"/>
    <n v="0.157"/>
    <n v="73.088099999999997"/>
    <n v="22.58339999999999"/>
    <n v="3.6"/>
    <n v="7.0000000000000007E-2"/>
    <n v="2107"/>
    <n v="0.54100000000000004"/>
    <n v="13.6119"/>
    <n v="46.904700000000005"/>
    <n v="47.115257142857146"/>
    <n v="64.116600000000005"/>
    <n v="22.58339999999999"/>
    <n v="6.0690000000000008"/>
  </r>
  <r>
    <x v="11"/>
    <n v="1"/>
    <s v="Jueves"/>
    <x v="432"/>
    <n v="86.45"/>
    <n v="24.459597102761432"/>
    <n v="0.151"/>
    <n v="73.396050000000002"/>
    <n v="22.853699999999996"/>
    <n v="3.6"/>
    <n v="7.0000000000000007E-2"/>
    <n v="2115"/>
    <n v="0.54300000000000004"/>
    <n v="13.05395"/>
    <n v="46.942350000000005"/>
    <n v="47.139957142857142"/>
    <n v="63.596300000000006"/>
    <n v="22.853699999999996"/>
    <n v="6.0515000000000008"/>
  </r>
  <r>
    <x v="11"/>
    <n v="1"/>
    <s v="Viernes"/>
    <x v="433"/>
    <n v="86.2"/>
    <n v="24.388863739248531"/>
    <n v="0.14699999999999999"/>
    <n v="73.528599999999997"/>
    <n v="23.208199999999991"/>
    <n v="3.6"/>
    <n v="6.5000000000000002E-2"/>
    <n v="2116"/>
    <n v="0.54200000000000004"/>
    <n v="12.6714"/>
    <n v="46.720400000000005"/>
    <n v="47.073900000000002"/>
    <n v="62.991800000000012"/>
    <n v="23.208199999999991"/>
    <n v="5.6030000000000006"/>
  </r>
  <r>
    <x v="11"/>
    <n v="1"/>
    <s v="Sabado"/>
    <x v="434"/>
    <n v="85.8"/>
    <n v="24.275690357627887"/>
    <n v="0.14799999999999999"/>
    <n v="73.101599999999991"/>
    <n v="22.99799999999999"/>
    <n v="3.6"/>
    <n v="6.5000000000000002E-2"/>
    <n v="2103"/>
    <n v="0.54200000000000004"/>
    <n v="12.698399999999999"/>
    <n v="46.503599999999999"/>
    <n v="46.967985714285717"/>
    <n v="62.802000000000007"/>
    <n v="22.99799999999999"/>
    <n v="5.577"/>
  </r>
  <r>
    <x v="11"/>
    <n v="1"/>
    <s v="Domingo"/>
    <x v="435"/>
    <n v="86.4"/>
    <n v="24.445450430058852"/>
    <n v="0.15"/>
    <n v="73.44"/>
    <n v="22.492799999999988"/>
    <n v="3.6"/>
    <n v="7.0000000000000007E-2"/>
    <n v="2115"/>
    <n v="0.54800000000000004"/>
    <n v="12.96"/>
    <n v="47.347200000000008"/>
    <n v="47.086764285714288"/>
    <n v="63.907200000000017"/>
    <n v="22.492799999999988"/>
    <n v="6.0480000000000009"/>
  </r>
  <r>
    <x v="11"/>
    <n v="2"/>
    <s v="Martes"/>
    <x v="436"/>
    <n v="86.55"/>
    <n v="24.487890448166592"/>
    <n v="0.14899999999999999"/>
    <n v="73.654049999999998"/>
    <n v="22.538099999999993"/>
    <n v="3.6"/>
    <n v="7.0000000000000007E-2"/>
    <n v="2122"/>
    <n v="0.54900000000000004"/>
    <n v="12.895949999999999"/>
    <n v="47.515950000000004"/>
    <n v="47.137257142857152"/>
    <n v="64.011899999999997"/>
    <n v="22.538099999999993"/>
    <n v="6.0585000000000004"/>
  </r>
  <r>
    <x v="11"/>
    <n v="2"/>
    <s v="Miercoles"/>
    <x v="437"/>
    <n v="86.45"/>
    <n v="24.459597102761432"/>
    <n v="0.14899999999999999"/>
    <n v="73.568950000000001"/>
    <n v="22.853699999999996"/>
    <n v="3.6"/>
    <n v="7.0000000000000007E-2"/>
    <n v="2119"/>
    <n v="0.54500000000000004"/>
    <n v="12.88105"/>
    <n v="47.115250000000003"/>
    <n v="47.007064285714293"/>
    <n v="63.596300000000006"/>
    <n v="22.853699999999996"/>
    <n v="6.0515000000000008"/>
  </r>
  <r>
    <x v="11"/>
    <n v="2"/>
    <s v="Jueves"/>
    <x v="438"/>
    <n v="85.9"/>
    <n v="24.303983703033051"/>
    <n v="0.14499999999999999"/>
    <n v="73.444500000000005"/>
    <n v="23.286699999999996"/>
    <n v="3.6"/>
    <n v="6.5000000000000002E-2"/>
    <n v="2113"/>
    <n v="0.54200000000000004"/>
    <n v="12.455500000000001"/>
    <n v="46.557800000000007"/>
    <n v="46.957507142857146"/>
    <n v="62.61330000000001"/>
    <n v="23.286699999999996"/>
    <n v="5.5835000000000008"/>
  </r>
  <r>
    <x v="11"/>
    <n v="2"/>
    <s v="Viernes"/>
    <x v="439"/>
    <n v="86.3"/>
    <n v="24.417157084653692"/>
    <n v="0.14799999999999999"/>
    <n v="73.527599999999993"/>
    <n v="22.807799999999986"/>
    <n v="3.6"/>
    <n v="6.5000000000000002E-2"/>
    <n v="2118"/>
    <n v="0.54600000000000004"/>
    <n v="12.772399999999999"/>
    <n v="47.119800000000005"/>
    <n v="46.982857142857142"/>
    <n v="63.492200000000011"/>
    <n v="22.807799999999986"/>
    <n v="5.6094999999999997"/>
  </r>
  <r>
    <x v="11"/>
    <n v="2"/>
    <s v="Sabado"/>
    <x v="440"/>
    <n v="85.9"/>
    <n v="24.303983703033051"/>
    <n v="0.14799999999999999"/>
    <n v="73.186800000000005"/>
    <n v="22.771299999999997"/>
    <n v="3.6"/>
    <n v="6.5000000000000002E-2"/>
    <n v="2104"/>
    <n v="0.54500000000000004"/>
    <n v="12.713200000000001"/>
    <n v="46.815500000000007"/>
    <n v="46.996442857142867"/>
    <n v="63.128700000000009"/>
    <n v="22.771299999999997"/>
    <n v="5.5835000000000008"/>
  </r>
  <r>
    <x v="11"/>
    <n v="2"/>
    <s v="Domingo"/>
    <x v="441"/>
    <n v="86.1"/>
    <n v="24.360570393843368"/>
    <n v="0.14599999999999999"/>
    <n v="73.529399999999995"/>
    <n v="23.090999999999994"/>
    <n v="3.6"/>
    <n v="6.5000000000000002E-2"/>
    <n v="2117"/>
    <n v="0.54400000000000004"/>
    <n v="12.570599999999999"/>
    <n v="46.8384"/>
    <n v="47.044271428571435"/>
    <n v="63.009"/>
    <n v="23.090999999999994"/>
    <n v="5.5964999999999998"/>
  </r>
  <r>
    <x v="11"/>
    <n v="3"/>
    <s v="Lunes "/>
    <x v="442"/>
    <n v="86.2"/>
    <n v="24.388863739248531"/>
    <n v="0.14499999999999999"/>
    <n v="73.701000000000008"/>
    <n v="22.949600000000004"/>
    <n v="3.6"/>
    <n v="6.5000000000000002E-2"/>
    <n v="2120"/>
    <n v="0.54700000000000004"/>
    <n v="12.498999999999999"/>
    <n v="47.151400000000002"/>
    <n v="47.016300000000008"/>
    <n v="63.250399999999999"/>
    <n v="22.949600000000004"/>
    <n v="5.6030000000000006"/>
  </r>
  <r>
    <x v="11"/>
    <n v="3"/>
    <s v="Martes"/>
    <x v="443"/>
    <n v="86.15"/>
    <n v="24.374717066545951"/>
    <n v="0.14699999999999999"/>
    <n v="73.485950000000003"/>
    <n v="22.761899999999997"/>
    <n v="3.6"/>
    <n v="6.5000000000000002E-2"/>
    <n v="2114"/>
    <n v="0.54700000000000004"/>
    <n v="12.66405"/>
    <n v="47.124050000000004"/>
    <n v="46.96031428571429"/>
    <n v="63.388100000000009"/>
    <n v="22.761899999999997"/>
    <n v="5.5997500000000002"/>
  </r>
  <r>
    <x v="11"/>
    <n v="3"/>
    <s v="Miercoles"/>
    <x v="444"/>
    <n v="85.65"/>
    <n v="24.233250339520147"/>
    <n v="0.14299999999999999"/>
    <n v="73.402050000000003"/>
    <n v="23.208449999999992"/>
    <n v="3.6"/>
    <n v="6.5000000000000002E-2"/>
    <n v="2110"/>
    <n v="0.54400000000000004"/>
    <n v="12.247949999999999"/>
    <n v="46.593600000000009"/>
    <n v="46.88579285714286"/>
    <n v="62.441550000000014"/>
    <n v="23.208449999999992"/>
    <n v="5.5672500000000005"/>
  </r>
  <r>
    <x v="11"/>
    <n v="3"/>
    <s v="Jueves"/>
    <x v="445"/>
    <n v="85.35"/>
    <n v="24.148370303304663"/>
    <n v="0.14599999999999999"/>
    <n v="72.888899999999992"/>
    <n v="22.687799999999989"/>
    <n v="3.6"/>
    <n v="6.5000000000000002E-2"/>
    <n v="2096"/>
    <n v="0.54600000000000004"/>
    <n v="12.461099999999998"/>
    <n v="46.601100000000002"/>
    <n v="46.891978571428581"/>
    <n v="62.662200000000006"/>
    <n v="22.687799999999989"/>
    <n v="5.5477499999999997"/>
  </r>
  <r>
    <x v="11"/>
    <n v="3"/>
    <s v="Viernes"/>
    <x v="446"/>
    <n v="85.1"/>
    <n v="24.077636939791763"/>
    <n v="0.13900000000000001"/>
    <n v="73.27109999999999"/>
    <n v="23.291599999999988"/>
    <n v="3.6"/>
    <n v="6.5000000000000002E-2"/>
    <n v="2104"/>
    <n v="0.54500000000000004"/>
    <n v="11.828900000000001"/>
    <n v="46.3795"/>
    <n v="46.78622142857143"/>
    <n v="61.808400000000006"/>
    <n v="23.291599999999988"/>
    <n v="5.5314999999999994"/>
  </r>
  <r>
    <x v="11"/>
    <n v="3"/>
    <s v="Sabado"/>
    <x v="447"/>
    <n v="85.4"/>
    <n v="24.162516976007247"/>
    <n v="0.156"/>
    <n v="72.077600000000004"/>
    <n v="22.276199999999996"/>
    <n v="3.6"/>
    <n v="7.0000000000000007E-2"/>
    <n v="2074"/>
    <n v="0.54100000000000004"/>
    <n v="13.3224"/>
    <n v="46.201400000000007"/>
    <n v="46.69849285714286"/>
    <n v="63.12380000000001"/>
    <n v="22.276199999999996"/>
    <n v="5.9780000000000006"/>
  </r>
  <r>
    <x v="11"/>
    <n v="3"/>
    <s v="Domingo"/>
    <x v="448"/>
    <n v="86.2"/>
    <n v="24.388863739248531"/>
    <n v="0.157"/>
    <n v="72.666600000000003"/>
    <n v="21.570399999999992"/>
    <n v="3.6"/>
    <n v="7.0000000000000007E-2"/>
    <n v="2093"/>
    <n v="0.55100000000000005"/>
    <n v="13.5334"/>
    <n v="47.496200000000009"/>
    <n v="46.792464285714289"/>
    <n v="64.629600000000011"/>
    <n v="21.570399999999992"/>
    <n v="6.0340000000000007"/>
  </r>
  <r>
    <x v="11"/>
    <n v="4"/>
    <s v="Lunes "/>
    <x v="449"/>
    <n v="85.35"/>
    <n v="24.148370303304663"/>
    <n v="0.14899999999999999"/>
    <n v="72.632849999999991"/>
    <n v="22.431749999999987"/>
    <n v="3.6"/>
    <n v="6.5000000000000002E-2"/>
    <n v="2090"/>
    <n v="0.54600000000000004"/>
    <n v="12.717149999999998"/>
    <n v="46.601100000000002"/>
    <n v="46.713850000000015"/>
    <n v="62.918250000000008"/>
    <n v="22.431749999999987"/>
    <n v="5.5477499999999997"/>
  </r>
  <r>
    <x v="11"/>
    <n v="4"/>
    <s v="Martes"/>
    <x v="450"/>
    <n v="85.05"/>
    <n v="24.063490267089183"/>
    <n v="0.14599999999999999"/>
    <n v="72.6327"/>
    <n v="22.765499999999996"/>
    <n v="3.6"/>
    <n v="6.5000000000000002E-2"/>
    <n v="2087"/>
    <n v="0.54400000000000004"/>
    <n v="12.417299999999999"/>
    <n v="46.267200000000003"/>
    <n v="46.591442857142866"/>
    <n v="62.284500000000001"/>
    <n v="22.765499999999996"/>
    <n v="5.5282499999999999"/>
  </r>
  <r>
    <x v="11"/>
    <n v="4"/>
    <s v="Miercoles"/>
    <x v="451"/>
    <n v="85.1"/>
    <n v="24.077636939791763"/>
    <n v="0.14499999999999999"/>
    <n v="72.760499999999993"/>
    <n v="22.866099999999989"/>
    <n v="3.6"/>
    <n v="6.5000000000000002E-2"/>
    <n v="2092"/>
    <n v="0.54400000000000004"/>
    <n v="12.339499999999997"/>
    <n v="46.294400000000003"/>
    <n v="46.548700000000004"/>
    <n v="62.233900000000006"/>
    <n v="22.866099999999989"/>
    <n v="5.5314999999999994"/>
  </r>
  <r>
    <x v="11"/>
    <n v="4"/>
    <s v="Jueves"/>
    <x v="452"/>
    <n v="84.85"/>
    <n v="24.006903576278859"/>
    <n v="0.14199999999999999"/>
    <n v="72.801299999999998"/>
    <n v="22.958049999999993"/>
    <n v="3.6"/>
    <n v="6.5000000000000002E-2"/>
    <n v="2092"/>
    <n v="0.54500000000000004"/>
    <n v="12.048699999999998"/>
    <n v="46.243250000000003"/>
    <n v="46.497578571428576"/>
    <n v="61.891950000000001"/>
    <n v="22.958049999999993"/>
    <n v="5.51525"/>
  </r>
  <r>
    <x v="11"/>
    <n v="4"/>
    <s v="Viernes"/>
    <x v="453"/>
    <n v="84.75"/>
    <n v="23.978610230873699"/>
    <n v="0.14199999999999999"/>
    <n v="72.715500000000006"/>
    <n v="23.011499999999998"/>
    <n v="3.6"/>
    <n v="6.5000000000000002E-2"/>
    <n v="2091"/>
    <n v="0.54400000000000004"/>
    <n v="12.0345"/>
    <n v="46.104000000000006"/>
    <n v="46.458221428571434"/>
    <n v="61.738500000000002"/>
    <n v="23.011499999999998"/>
    <n v="5.50875"/>
  </r>
  <r>
    <x v="11"/>
    <n v="4"/>
    <s v="Sabado"/>
    <x v="454"/>
    <n v="84.45"/>
    <n v="23.893730194658218"/>
    <n v="0.14299999999999999"/>
    <n v="72.373649999999998"/>
    <n v="22.74839999999999"/>
    <n v="3.6"/>
    <n v="6.5000000000000002E-2"/>
    <n v="2080"/>
    <n v="0.54500000000000004"/>
    <n v="12.07635"/>
    <n v="46.025250000000007"/>
    <n v="46.433057142857145"/>
    <n v="61.701600000000013"/>
    <n v="22.74839999999999"/>
    <n v="5.4892500000000002"/>
  </r>
  <r>
    <x v="11"/>
    <n v="4"/>
    <s v="Domingo"/>
    <x v="455"/>
    <n v="84.3"/>
    <n v="23.851290176550474"/>
    <n v="0.14000000000000001"/>
    <n v="72.49799999999999"/>
    <n v="22.954499999999989"/>
    <n v="3.6"/>
    <n v="6.5000000000000002E-2"/>
    <n v="2082"/>
    <n v="0.54500000000000004"/>
    <n v="11.802000000000001"/>
    <n v="45.9435"/>
    <n v="46.211242857142857"/>
    <n v="61.345500000000008"/>
    <n v="22.954499999999989"/>
    <n v="5.4794999999999998"/>
  </r>
  <r>
    <x v="11"/>
    <n v="5"/>
    <s v="Lunes "/>
    <x v="456"/>
    <n v="85.15"/>
    <n v="24.091783612494346"/>
    <n v="0.14699999999999999"/>
    <n v="72.632950000000008"/>
    <n v="22.200449999999996"/>
    <n v="3.6"/>
    <n v="6.5000000000000002E-2"/>
    <n v="2089"/>
    <n v="0.55000000000000004"/>
    <n v="12.517049999999999"/>
    <n v="46.83250000000001"/>
    <n v="46.244300000000003"/>
    <n v="62.949550000000009"/>
    <n v="22.200449999999996"/>
    <n v="5.5347500000000007"/>
  </r>
  <r>
    <x v="11"/>
    <n v="5"/>
    <s v="Martes"/>
    <x v="457"/>
    <n v="85.1"/>
    <n v="24.077636939791763"/>
    <n v="0.14499999999999999"/>
    <n v="72.760499999999993"/>
    <n v="22.440599999999989"/>
    <n v="3.6"/>
    <n v="6.5000000000000002E-2"/>
    <n v="2091"/>
    <n v="0.54900000000000004"/>
    <n v="12.339499999999997"/>
    <n v="46.719900000000003"/>
    <n v="46.308971428571432"/>
    <n v="62.659400000000005"/>
    <n v="22.440599999999989"/>
    <n v="5.5314999999999994"/>
  </r>
  <r>
    <x v="11"/>
    <n v="5"/>
    <s v="Miercoles"/>
    <x v="458"/>
    <n v="85.1"/>
    <n v="24.077636939791763"/>
    <n v="0.14899999999999999"/>
    <n v="72.420099999999991"/>
    <n v="22.100199999999987"/>
    <n v="3.6"/>
    <n v="6.5000000000000002E-2"/>
    <n v="2084"/>
    <n v="0.54900000000000004"/>
    <n v="12.679899999999998"/>
    <n v="46.719900000000003"/>
    <n v="46.369757142857146"/>
    <n v="62.999800000000008"/>
    <n v="22.100199999999987"/>
    <n v="5.5314999999999994"/>
  </r>
  <r>
    <x v="11"/>
    <n v="5"/>
    <s v="Jueves"/>
    <x v="459"/>
    <n v="84.55"/>
    <n v="23.922023540063378"/>
    <n v="0.14499999999999999"/>
    <n v="72.29025"/>
    <n v="23.033249999999995"/>
    <n v="3.6"/>
    <n v="6.5000000000000002E-2"/>
    <n v="2076"/>
    <n v="0.54"/>
    <n v="12.259749999999999"/>
    <n v="45.657000000000004"/>
    <n v="46.286007142857144"/>
    <n v="61.516750000000002"/>
    <n v="23.033249999999995"/>
    <n v="5.4957500000000001"/>
  </r>
  <r>
    <x v="11"/>
    <n v="5"/>
    <s v="Viernes"/>
    <x v="460"/>
    <n v="84.4"/>
    <n v="23.879583521955638"/>
    <n v="0.13800000000000001"/>
    <n v="72.752800000000008"/>
    <n v="23.576799999999999"/>
    <n v="3.6"/>
    <n v="6.5000000000000002E-2"/>
    <n v="2089"/>
    <n v="0.54"/>
    <n v="11.647200000000002"/>
    <n v="45.576000000000008"/>
    <n v="46.210578571428577"/>
    <n v="60.823200000000007"/>
    <n v="23.576799999999999"/>
    <n v="5.4860000000000007"/>
  </r>
  <r>
    <x v="11"/>
    <n v="5"/>
    <s v="Sabado"/>
    <x v="461"/>
    <n v="84.8"/>
    <n v="23.992756903576279"/>
    <n v="0.14299999999999999"/>
    <n v="72.673599999999993"/>
    <n v="23.196799999999989"/>
    <n v="3.6"/>
    <n v="6.5000000000000002E-2"/>
    <n v="2088"/>
    <n v="0.54100000000000004"/>
    <n v="12.126399999999999"/>
    <n v="45.876800000000003"/>
    <n v="46.189371428571427"/>
    <n v="61.603200000000008"/>
    <n v="23.196799999999989"/>
    <n v="5.5119999999999996"/>
  </r>
  <r>
    <x v="11"/>
    <n v="5"/>
    <s v="Domingo"/>
    <x v="462"/>
    <n v="84.7"/>
    <n v="23.964463558171122"/>
    <n v="0.14699999999999999"/>
    <n v="72.249099999999999"/>
    <n v="22.487599999999993"/>
    <n v="3.6"/>
    <n v="6.5000000000000002E-2"/>
    <n v="2077"/>
    <n v="0.54500000000000004"/>
    <n v="12.450899999999999"/>
    <n v="46.161500000000004"/>
    <n v="46.220514285714287"/>
    <n v="62.212400000000009"/>
    <n v="22.487599999999993"/>
    <n v="5.5055000000000005"/>
  </r>
  <r>
    <x v="11"/>
    <n v="6"/>
    <s v="Lunes "/>
    <x v="463"/>
    <n v="84.65"/>
    <n v="23.950316885468542"/>
    <n v="0.14399999999999999"/>
    <n v="72.460400000000007"/>
    <n v="22.641500000000001"/>
    <n v="3.6"/>
    <n v="6.5000000000000002E-2"/>
    <n v="2084"/>
    <n v="0.54600000000000004"/>
    <n v="12.1896"/>
    <n v="46.218900000000005"/>
    <n v="46.132857142857141"/>
    <n v="62.008500000000005"/>
    <n v="22.641500000000001"/>
    <n v="5.502250000000001"/>
  </r>
  <r>
    <x v="11"/>
    <n v="6"/>
    <s v="Sabado"/>
    <x v="464"/>
    <n v="84.5"/>
    <n v="23.907876867360798"/>
    <n v="0.14199999999999999"/>
    <n v="72.501000000000005"/>
    <n v="22.256999999999998"/>
    <n v="3.6"/>
    <n v="6.5000000000000002E-2"/>
    <n v="2082"/>
    <n v="0.55200000000000005"/>
    <n v="11.998999999999999"/>
    <n v="46.644000000000005"/>
    <n v="46.122014285714286"/>
    <n v="62.243000000000002"/>
    <n v="22.256999999999998"/>
    <n v="5.4925000000000006"/>
  </r>
  <r>
    <x v="11"/>
    <n v="6"/>
    <s v="Domingo"/>
    <x v="465"/>
    <n v="84.9"/>
    <n v="24.021050248981442"/>
    <n v="0.14499999999999999"/>
    <n v="72.589500000000001"/>
    <n v="22.294499999999992"/>
    <n v="3.6"/>
    <n v="6.5000000000000002E-2"/>
    <n v="2087"/>
    <n v="0.55000000000000004"/>
    <n v="12.310499999999999"/>
    <n v="46.695000000000007"/>
    <n v="46.118457142857146"/>
    <n v="62.605500000000013"/>
    <n v="22.294499999999992"/>
    <n v="5.5185000000000004"/>
  </r>
  <r>
    <x v="11"/>
    <n v="7"/>
    <s v="Lunes "/>
    <x v="466"/>
    <n v="85.15"/>
    <n v="24.091783612494346"/>
    <n v="0.14599999999999999"/>
    <n v="72.718100000000007"/>
    <n v="22.285599999999995"/>
    <n v="3.6"/>
    <n v="6.5000000000000002E-2"/>
    <n v="2091"/>
    <n v="0.55000000000000004"/>
    <n v="12.431900000000001"/>
    <n v="46.83250000000001"/>
    <n v="46.286385714285721"/>
    <n v="62.86440000000001"/>
    <n v="22.285599999999995"/>
    <n v="5.5347500000000007"/>
  </r>
  <r>
    <x v="11"/>
    <n v="7"/>
    <s v="Martes"/>
    <x v="467"/>
    <n v="85.35"/>
    <n v="24.148370303304663"/>
    <n v="0.14599999999999999"/>
    <n v="72.888899999999992"/>
    <n v="22.431749999999994"/>
    <n v="3.6"/>
    <n v="6.5000000000000002E-2"/>
    <n v="2097"/>
    <n v="0.54900000000000004"/>
    <n v="12.461099999999998"/>
    <n v="46.857149999999997"/>
    <n v="46.46940714285715"/>
    <n v="62.91825"/>
    <n v="22.431749999999994"/>
    <n v="5.5477499999999997"/>
  </r>
  <r>
    <x v="11"/>
    <n v="7"/>
    <s v="Miercoles"/>
    <x v="468"/>
    <n v="84.25"/>
    <n v="23.837143503847898"/>
    <n v="0.14099999999999999"/>
    <n v="72.370750000000001"/>
    <n v="22.770249999999997"/>
    <n v="3.6"/>
    <n v="6.5000000000000002E-2"/>
    <n v="2080"/>
    <n v="0.54600000000000004"/>
    <n v="11.879249999999999"/>
    <n v="46.000500000000002"/>
    <n v="46.487078571428576"/>
    <n v="61.479750000000003"/>
    <n v="22.770249999999997"/>
    <n v="5.4762500000000003"/>
  </r>
  <r>
    <x v="11"/>
    <n v="7"/>
    <s v="Jueves"/>
    <x v="469"/>
    <n v="85"/>
    <n v="24.049343594386603"/>
    <n v="0.14899999999999999"/>
    <n v="72.335000000000008"/>
    <n v="22.410000000000004"/>
    <n v="3.6"/>
    <n v="6.5000000000000002E-2"/>
    <n v="2081"/>
    <n v="0.54500000000000004"/>
    <n v="12.664999999999999"/>
    <n v="46.325000000000003"/>
    <n v="46.51043571428572"/>
    <n v="62.589999999999996"/>
    <n v="22.410000000000004"/>
    <n v="5.5250000000000004"/>
  </r>
  <r>
    <x v="11"/>
    <n v="7"/>
    <s v="Viernes"/>
    <x v="470"/>
    <n v="84.7"/>
    <n v="23.964463558171122"/>
    <n v="0.14799999999999999"/>
    <n v="72.164400000000001"/>
    <n v="22.487599999999993"/>
    <n v="3.6"/>
    <n v="6.5000000000000002E-2"/>
    <n v="2076"/>
    <n v="0.54400000000000004"/>
    <n v="12.535600000000001"/>
    <n v="46.076800000000006"/>
    <n v="46.490135714285714"/>
    <n v="62.212400000000009"/>
    <n v="22.487599999999993"/>
    <n v="5.5055000000000005"/>
  </r>
  <r>
    <x v="11"/>
    <n v="7"/>
    <s v="Sabado"/>
    <x v="471"/>
    <n v="84.45"/>
    <n v="23.893730194658218"/>
    <n v="0.14099999999999999"/>
    <n v="72.542550000000006"/>
    <n v="22.832850000000001"/>
    <n v="3.6"/>
    <n v="6.5000000000000002E-2"/>
    <n v="2084"/>
    <n v="0.54600000000000004"/>
    <n v="11.907449999999999"/>
    <n v="46.109700000000004"/>
    <n v="46.413807142857145"/>
    <n v="61.617150000000002"/>
    <n v="22.832850000000001"/>
    <n v="5.4892500000000002"/>
  </r>
  <r>
    <x v="11"/>
    <n v="7"/>
    <s v="Domingo"/>
    <x v="472"/>
    <n v="83.7"/>
    <n v="23.681530104119513"/>
    <n v="0.13800000000000001"/>
    <n v="72.1494"/>
    <n v="22.598099999999995"/>
    <n v="3.6"/>
    <n v="6.5000000000000002E-2"/>
    <n v="2071"/>
    <n v="0.54900000000000004"/>
    <n v="11.550600000000001"/>
    <n v="45.951300000000003"/>
    <n v="46.307564285714285"/>
    <n v="61.101900000000008"/>
    <n v="22.598099999999995"/>
    <n v="5.4405000000000001"/>
  </r>
  <r>
    <x v="11"/>
    <n v="8"/>
    <s v="Lunes "/>
    <x v="473"/>
    <n v="84.35"/>
    <n v="23.865436849253054"/>
    <n v="0.14599999999999999"/>
    <n v="72.034899999999993"/>
    <n v="22.042399999999994"/>
    <n v="3.6"/>
    <n v="6.5000000000000002E-2"/>
    <n v="2070"/>
    <n v="0.55000000000000004"/>
    <n v="12.315099999999999"/>
    <n v="46.392499999999998"/>
    <n v="46.244707142857145"/>
    <n v="62.307600000000001"/>
    <n v="22.042399999999994"/>
    <n v="5.4827500000000002"/>
  </r>
  <r>
    <x v="11"/>
    <n v="8"/>
    <s v="Martes"/>
    <x v="474"/>
    <n v="83.25"/>
    <n v="23.554210049796289"/>
    <n v="0.13800000000000001"/>
    <n v="71.761499999999998"/>
    <n v="22.706999999999994"/>
    <n v="3.6"/>
    <n v="6.5000000000000002E-2"/>
    <n v="2057"/>
    <n v="0.54600000000000004"/>
    <n v="11.4885"/>
    <n v="45.454500000000003"/>
    <n v="46.044328571428579"/>
    <n v="60.543000000000006"/>
    <n v="22.706999999999994"/>
    <n v="5.4112499999999999"/>
  </r>
  <r>
    <x v="11"/>
    <n v="8"/>
    <s v="Miercoles"/>
    <x v="475"/>
    <n v="82.6"/>
    <n v="23.370303304662745"/>
    <n v="0.14199999999999999"/>
    <n v="70.870800000000003"/>
    <n v="22.849400000000003"/>
    <n v="3.5"/>
    <n v="6.5000000000000002E-2"/>
    <n v="2032"/>
    <n v="0.53900000000000003"/>
    <n v="11.729199999999999"/>
    <n v="44.5214"/>
    <n v="45.833028571428564"/>
    <n v="59.750599999999991"/>
    <n v="22.849400000000003"/>
    <n v="5.3689999999999998"/>
  </r>
  <r>
    <x v="11"/>
    <n v="9"/>
    <s v="Jueves"/>
    <x v="476"/>
    <n v="82.35"/>
    <n v="23.299569941149841"/>
    <n v="0.151"/>
    <n v="69.915149999999997"/>
    <n v="20.628549999999997"/>
    <n v="3.5"/>
    <n v="6.5000000000000002E-2"/>
    <n v="2006"/>
    <n v="0.55600000000000005"/>
    <n v="12.434849999999999"/>
    <n v="45.7866"/>
    <n v="45.756114285714297"/>
    <n v="61.721449999999997"/>
    <n v="20.628549999999997"/>
    <n v="5.3527499999999995"/>
  </r>
  <r>
    <x v="11"/>
    <n v="9"/>
    <s v="Viernes"/>
    <x v="477"/>
    <n v="83.4"/>
    <n v="23.596650067904033"/>
    <n v="0.153"/>
    <n v="70.639800000000008"/>
    <n v="20.769399999999997"/>
    <n v="3.5"/>
    <n v="6.5000000000000002E-2"/>
    <n v="2030"/>
    <n v="0.55600000000000005"/>
    <n v="12.760200000000001"/>
    <n v="46.370400000000011"/>
    <n v="45.798057142857147"/>
    <n v="62.630600000000008"/>
    <n v="20.769399999999997"/>
    <n v="5.4210000000000003"/>
  </r>
  <r>
    <x v="11"/>
    <n v="9"/>
    <s v="Sabado"/>
    <x v="478"/>
    <n v="82.7"/>
    <n v="23.398596650067905"/>
    <n v="0.154"/>
    <n v="69.964200000000005"/>
    <n v="20.648400000000002"/>
    <n v="3.5"/>
    <n v="6.5000000000000002E-2"/>
    <n v="2009"/>
    <n v="0.55400000000000005"/>
    <n v="12.735800000000001"/>
    <n v="45.815800000000003"/>
    <n v="45.756071428571431"/>
    <n v="62.051600000000001"/>
    <n v="20.648400000000002"/>
    <n v="5.3755000000000006"/>
  </r>
  <r>
    <x v="11"/>
    <n v="9"/>
    <s v="Domingo"/>
    <x v="479"/>
    <n v="81.45"/>
    <n v="23.044929832503396"/>
    <n v="0.14099999999999999"/>
    <n v="69.965550000000007"/>
    <n v="21.912400000000005"/>
    <n v="3.5"/>
    <n v="6.5000000000000002E-2"/>
    <n v="2004"/>
    <n v="0.54700000000000004"/>
    <n v="11.484449999999999"/>
    <n v="44.553150000000002"/>
    <n v="45.556335714285716"/>
    <n v="59.537599999999998"/>
    <n v="21.912400000000005"/>
    <n v="5.2942500000000008"/>
  </r>
  <r>
    <x v="11"/>
    <n v="10"/>
    <s v="Lunes "/>
    <x v="480"/>
    <n v="81.849999999999994"/>
    <n v="23.158103214124036"/>
    <n v="0.14399999999999999"/>
    <n v="70.063599999999994"/>
    <n v="21.38239999999999"/>
    <n v="3.5"/>
    <n v="6.5000000000000002E-2"/>
    <n v="2009"/>
    <n v="0.55200000000000005"/>
    <n v="11.786399999999999"/>
    <n v="45.181200000000004"/>
    <n v="45.383292857142855"/>
    <n v="60.467600000000004"/>
    <n v="21.38239999999999"/>
    <n v="5.3202499999999997"/>
  </r>
  <r>
    <x v="11"/>
    <n v="10"/>
    <s v="Martes"/>
    <x v="481"/>
    <n v="81.599999999999994"/>
    <n v="23.087369850611136"/>
    <n v="0.14399999999999999"/>
    <n v="69.849599999999995"/>
    <n v="21.551199999999994"/>
    <n v="3.5"/>
    <n v="6.5000000000000002E-2"/>
    <n v="2003"/>
    <n v="0.54900000000000004"/>
    <n v="11.750399999999999"/>
    <n v="44.798400000000001"/>
    <n v="45.289564285714285"/>
    <n v="60.0488"/>
    <n v="21.551199999999994"/>
    <n v="5.3039999999999994"/>
  </r>
  <r>
    <x v="11"/>
    <n v="10"/>
    <s v="Viernes"/>
    <x v="482"/>
    <n v="83.8"/>
    <n v="23.709823449524674"/>
    <n v="0.161"/>
    <n v="70.308199999999999"/>
    <n v="20.466799999999999"/>
    <n v="3.5"/>
    <n v="7.0000000000000007E-2"/>
    <n v="2022"/>
    <n v="0.55300000000000005"/>
    <n v="13.4918"/>
    <n v="46.3414"/>
    <n v="45.54956428571429"/>
    <n v="63.333199999999998"/>
    <n v="20.466799999999999"/>
    <n v="5.8660000000000005"/>
  </r>
  <r>
    <x v="11"/>
    <n v="10"/>
    <s v="Sabado"/>
    <x v="483"/>
    <n v="83.25"/>
    <n v="23.554210049796289"/>
    <n v="0.153"/>
    <n v="70.512749999999997"/>
    <n v="21.558249999999994"/>
    <n v="3.5"/>
    <n v="6.5000000000000002E-2"/>
    <n v="2025"/>
    <n v="0.54600000000000004"/>
    <n v="12.73725"/>
    <n v="45.454500000000003"/>
    <n v="45.502121428571435"/>
    <n v="61.691750000000006"/>
    <n v="21.558249999999994"/>
    <n v="5.4112499999999999"/>
  </r>
  <r>
    <x v="11"/>
    <n v="10"/>
    <s v="Domingo"/>
    <x v="484"/>
    <n v="82.15"/>
    <n v="23.242983250339524"/>
    <n v="0.14699999999999999"/>
    <n v="70.073950000000011"/>
    <n v="21.720050000000008"/>
    <n v="3.5"/>
    <n v="6.5000000000000002E-2"/>
    <n v="2010"/>
    <n v="0.54600000000000004"/>
    <n v="12.07605"/>
    <n v="44.853900000000003"/>
    <n v="45.285478571428584"/>
    <n v="60.429949999999998"/>
    <n v="21.720050000000008"/>
    <n v="5.3397500000000004"/>
  </r>
  <r>
    <x v="12"/>
    <n v="11"/>
    <s v="Lunes "/>
    <x v="485"/>
    <n v="82.65"/>
    <n v="23.384449977365328"/>
    <n v="0.152"/>
    <n v="70.08720000000001"/>
    <n v="21.212350000000001"/>
    <n v="3.5"/>
    <n v="6.5000000000000002E-2"/>
    <n v="2014"/>
    <n v="0.54900000000000004"/>
    <n v="12.562800000000001"/>
    <n v="45.374850000000009"/>
    <n v="45.222485714285718"/>
    <n v="61.437650000000005"/>
    <n v="21.212350000000001"/>
    <n v="5.3722500000000002"/>
  </r>
  <r>
    <x v="12"/>
    <n v="11"/>
    <s v="Martes"/>
    <x v="486"/>
    <n v="82.85"/>
    <n v="23.441036668175645"/>
    <n v="0.14899999999999999"/>
    <n v="70.505349999999993"/>
    <n v="21.43784999999999"/>
    <n v="3.5"/>
    <n v="6.5000000000000002E-2"/>
    <n v="2024"/>
    <n v="0.55000000000000004"/>
    <n v="12.344649999999998"/>
    <n v="45.567500000000003"/>
    <n v="45.36739285714286"/>
    <n v="61.412150000000004"/>
    <n v="21.43784999999999"/>
    <n v="5.3852500000000001"/>
  </r>
  <r>
    <x v="12"/>
    <n v="11"/>
    <s v="Jueves"/>
    <x v="487"/>
    <n v="83.8"/>
    <n v="23.709823449524674"/>
    <n v="0.155"/>
    <n v="70.810999999999993"/>
    <n v="20.885799999999989"/>
    <n v="3.5"/>
    <n v="7.0000000000000007E-2"/>
    <n v="2035"/>
    <n v="0.55400000000000005"/>
    <n v="12.988999999999999"/>
    <n v="46.425200000000004"/>
    <n v="45.545107142857148"/>
    <n v="62.914200000000008"/>
    <n v="20.885799999999989"/>
    <n v="5.8660000000000005"/>
  </r>
  <r>
    <x v="12"/>
    <n v="11"/>
    <s v="Viernes"/>
    <x v="488"/>
    <n v="83.35"/>
    <n v="23.582503395201449"/>
    <n v="0.152"/>
    <n v="70.680799999999991"/>
    <n v="21.254949999999987"/>
    <n v="3.5"/>
    <n v="6.5000000000000002E-2"/>
    <n v="2030"/>
    <n v="0.55100000000000005"/>
    <n v="12.669199999999998"/>
    <n v="45.925850000000004"/>
    <n v="45.706171428571437"/>
    <n v="62.095050000000008"/>
    <n v="21.254949999999987"/>
    <n v="5.4177499999999998"/>
  </r>
  <r>
    <x v="12"/>
    <n v="11"/>
    <s v="Sabado"/>
    <x v="489"/>
    <n v="83.95"/>
    <n v="23.752263467632414"/>
    <n v="0.155"/>
    <n v="70.937750000000008"/>
    <n v="21.433150000000005"/>
    <n v="3.5"/>
    <n v="7.0000000000000007E-2"/>
    <n v="2039"/>
    <n v="0.54800000000000004"/>
    <n v="13.01225"/>
    <n v="46.004600000000003"/>
    <n v="45.658057142857146"/>
    <n v="62.516849999999998"/>
    <n v="21.433150000000005"/>
    <n v="5.8765000000000009"/>
  </r>
  <r>
    <x v="12"/>
    <n v="11"/>
    <s v="Domingo"/>
    <x v="490"/>
    <n v="83.2"/>
    <n v="23.540063377093709"/>
    <n v="0.14399999999999999"/>
    <n v="71.219200000000001"/>
    <n v="22.125599999999999"/>
    <n v="3.5"/>
    <n v="6.5000000000000002E-2"/>
    <n v="2044"/>
    <n v="0.54800000000000004"/>
    <n v="11.9808"/>
    <n v="45.593600000000002"/>
    <n v="45.677928571428573"/>
    <n v="61.074400000000004"/>
    <n v="22.125599999999999"/>
    <n v="5.4080000000000004"/>
  </r>
  <r>
    <x v="12"/>
    <n v="12"/>
    <s v="Lunes "/>
    <x v="491"/>
    <n v="82.85"/>
    <n v="23.441036668175645"/>
    <n v="0.14799999999999999"/>
    <n v="70.588200000000001"/>
    <n v="21.686399999999999"/>
    <n v="3.5"/>
    <n v="6.5000000000000002E-2"/>
    <n v="2027"/>
    <n v="0.54800000000000004"/>
    <n v="12.261799999999999"/>
    <n v="45.401800000000001"/>
    <n v="45.756199999999993"/>
    <n v="61.163599999999995"/>
    <n v="21.686399999999999"/>
    <n v="5.3852500000000001"/>
  </r>
  <r>
    <x v="12"/>
    <n v="12"/>
    <s v="Martes"/>
    <x v="492"/>
    <n v="82.55"/>
    <n v="23.356156631960165"/>
    <n v="0.14499999999999999"/>
    <n v="70.580249999999992"/>
    <n v="21.677749999999989"/>
    <n v="3.5"/>
    <n v="6.5000000000000002E-2"/>
    <n v="2024"/>
    <n v="0.55000000000000004"/>
    <n v="11.969749999999999"/>
    <n v="45.402500000000003"/>
    <n v="45.760150000000003"/>
    <n v="60.872250000000008"/>
    <n v="21.677749999999989"/>
    <n v="5.3657500000000002"/>
  </r>
  <r>
    <x v="12"/>
    <n v="12"/>
    <s v="Miercoles"/>
    <x v="493"/>
    <n v="83.35"/>
    <n v="23.582503395201449"/>
    <n v="0.151"/>
    <n v="70.764150000000001"/>
    <n v="21.42165"/>
    <n v="3.5"/>
    <n v="6.5000000000000002E-2"/>
    <n v="2032"/>
    <n v="0.55000000000000004"/>
    <n v="12.585849999999999"/>
    <n v="45.842500000000001"/>
    <n v="45.799435714285714"/>
    <n v="61.928349999999995"/>
    <n v="21.42165"/>
    <n v="5.4177499999999998"/>
  </r>
  <r>
    <x v="12"/>
    <n v="12"/>
    <s v="Sabado"/>
    <x v="494"/>
    <n v="82.95"/>
    <n v="23.469330013580809"/>
    <n v="0.14000000000000001"/>
    <n v="71.337000000000003"/>
    <n v="22.0486"/>
    <n v="3.5"/>
    <n v="6.5000000000000002E-2"/>
    <n v="2046"/>
    <n v="0.55200000000000005"/>
    <n v="11.613000000000001"/>
    <n v="45.788400000000003"/>
    <n v="45.708464285714292"/>
    <n v="60.901400000000002"/>
    <n v="22.0486"/>
    <n v="5.39175"/>
  </r>
  <r>
    <x v="12"/>
    <n v="12"/>
    <s v="Domingo"/>
    <x v="495"/>
    <n v="82.6"/>
    <n v="23.370303304662745"/>
    <n v="0.13900000000000001"/>
    <n v="71.118599999999986"/>
    <n v="22.105999999999987"/>
    <n v="3.5"/>
    <n v="6.5000000000000002E-2"/>
    <n v="2040"/>
    <n v="0.55100000000000005"/>
    <n v="11.481400000000001"/>
    <n v="45.512599999999999"/>
    <n v="45.649428571428579"/>
    <n v="60.494000000000007"/>
    <n v="22.105999999999987"/>
    <n v="5.3689999999999998"/>
  </r>
  <r>
    <x v="12"/>
    <n v="13"/>
    <s v="Lunes "/>
    <x v="496"/>
    <n v="82.75"/>
    <n v="23.412743322770485"/>
    <n v="0.14099999999999999"/>
    <n v="71.082250000000002"/>
    <n v="21.738749999999996"/>
    <n v="3.5"/>
    <n v="6.5000000000000002E-2"/>
    <n v="2039"/>
    <n v="0.55400000000000005"/>
    <n v="11.667749999999998"/>
    <n v="45.843500000000006"/>
    <n v="45.62641428571429"/>
    <n v="61.011250000000004"/>
    <n v="21.738749999999996"/>
    <n v="5.3787500000000001"/>
  </r>
  <r>
    <x v="12"/>
    <n v="13"/>
    <s v="Martes"/>
    <x v="497"/>
    <n v="82.7"/>
    <n v="23.398596650067905"/>
    <n v="0.14099999999999999"/>
    <n v="71.039299999999997"/>
    <n v="22.136999999999993"/>
    <n v="3.5"/>
    <n v="6.5000000000000002E-2"/>
    <n v="2038"/>
    <n v="0.54900000000000004"/>
    <n v="11.660699999999999"/>
    <n v="45.402300000000004"/>
    <n v="45.599085714285714"/>
    <n v="60.563000000000009"/>
    <n v="22.136999999999993"/>
    <n v="5.3755000000000006"/>
  </r>
  <r>
    <x v="12"/>
    <n v="13"/>
    <s v="Miercoles"/>
    <x v="498"/>
    <n v="82.25"/>
    <n v="23.271276595744684"/>
    <n v="0.13600000000000001"/>
    <n v="71.063999999999993"/>
    <n v="22.408749999999991"/>
    <n v="3.5"/>
    <n v="0.06"/>
    <n v="2036"/>
    <n v="0.54900000000000004"/>
    <n v="11.186"/>
    <n v="45.155250000000002"/>
    <n v="45.563864285714295"/>
    <n v="59.841250000000009"/>
    <n v="22.408749999999991"/>
    <n v="4.9349999999999996"/>
  </r>
  <r>
    <x v="12"/>
    <n v="13"/>
    <s v="Jueves"/>
    <x v="499"/>
    <n v="83.3"/>
    <n v="23.568356722498869"/>
    <n v="0.14599999999999999"/>
    <n v="71.138199999999998"/>
    <n v="21.656599999999997"/>
    <n v="3.5"/>
    <n v="6.5000000000000002E-2"/>
    <n v="2043"/>
    <n v="0.55200000000000005"/>
    <n v="12.161799999999999"/>
    <n v="45.9816"/>
    <n v="45.646592857142863"/>
    <n v="61.6434"/>
    <n v="21.656599999999997"/>
    <n v="5.4145000000000003"/>
  </r>
  <r>
    <x v="12"/>
    <n v="13"/>
    <s v="Viernes"/>
    <x v="500"/>
    <n v="83.5"/>
    <n v="23.62494341330919"/>
    <n v="0.14499999999999999"/>
    <n v="71.392499999999998"/>
    <n v="21.633499999999991"/>
    <n v="3.5"/>
    <n v="6.5000000000000002E-2"/>
    <n v="2050"/>
    <n v="0.55400000000000005"/>
    <n v="12.1075"/>
    <n v="46.259000000000007"/>
    <n v="45.706092857142856"/>
    <n v="61.866500000000009"/>
    <n v="21.633499999999991"/>
    <n v="5.4275000000000002"/>
  </r>
  <r>
    <x v="12"/>
    <n v="13"/>
    <s v="Sabado"/>
    <x v="501"/>
    <n v="82.8"/>
    <n v="23.426889995473065"/>
    <n v="0.13700000000000001"/>
    <n v="71.456400000000002"/>
    <n v="22.416400000000003"/>
    <n v="3.5"/>
    <n v="0.06"/>
    <n v="2047"/>
    <n v="0.55000000000000004"/>
    <n v="11.3436"/>
    <n v="45.54"/>
    <n v="45.670607142857143"/>
    <n v="60.383599999999994"/>
    <n v="22.416400000000003"/>
    <n v="4.968"/>
  </r>
  <r>
    <x v="12"/>
    <n v="13"/>
    <s v="Domingo"/>
    <x v="502"/>
    <n v="82.7"/>
    <n v="23.398596650067905"/>
    <n v="0.13400000000000001"/>
    <n v="71.618200000000002"/>
    <n v="22.467799999999997"/>
    <n v="3.5"/>
    <n v="0.06"/>
    <n v="2049"/>
    <n v="0.55200000000000005"/>
    <n v="11.081800000000001"/>
    <n v="45.650400000000005"/>
    <n v="45.690292857142865"/>
    <n v="60.232200000000006"/>
    <n v="22.467799999999997"/>
    <n v="4.9619999999999997"/>
  </r>
  <r>
    <x v="12"/>
    <n v="14"/>
    <s v="Lunes "/>
    <x v="503"/>
    <n v="82.35"/>
    <n v="23.299569941149841"/>
    <n v="0.13100000000000001"/>
    <n v="71.562150000000003"/>
    <n v="22.110849999999999"/>
    <n v="3.5"/>
    <n v="0.06"/>
    <n v="2051"/>
    <n v="0.55800000000000005"/>
    <n v="10.787849999999999"/>
    <n v="45.951300000000003"/>
    <n v="45.705692857142864"/>
    <n v="60.239149999999995"/>
    <n v="22.110849999999999"/>
    <n v="4.9409999999999998"/>
  </r>
  <r>
    <x v="12"/>
    <n v="14"/>
    <s v="Martes"/>
    <x v="504"/>
    <n v="82.85"/>
    <n v="23.441036668175645"/>
    <n v="0.13600000000000001"/>
    <n v="71.582399999999993"/>
    <n v="22.349199999999989"/>
    <n v="3.5"/>
    <n v="0.06"/>
    <n v="2053"/>
    <n v="0.55200000000000005"/>
    <n v="11.2676"/>
    <n v="45.733200000000004"/>
    <n v="45.752964285714292"/>
    <n v="60.500800000000005"/>
    <n v="22.349199999999989"/>
    <n v="4.9709999999999992"/>
  </r>
  <r>
    <x v="12"/>
    <n v="14"/>
    <s v="Miercoles"/>
    <x v="505"/>
    <n v="82.65"/>
    <n v="23.384449977365328"/>
    <n v="0.13900000000000001"/>
    <n v="71.161650000000009"/>
    <n v="22.038850000000004"/>
    <n v="3.5"/>
    <n v="6.5000000000000002E-2"/>
    <n v="2042"/>
    <n v="0.55200000000000005"/>
    <n v="11.488350000000002"/>
    <n v="45.622800000000005"/>
    <n v="45.819757142857142"/>
    <n v="60.611150000000002"/>
    <n v="22.038850000000004"/>
    <n v="5.3722500000000002"/>
  </r>
  <r>
    <x v="12"/>
    <n v="14"/>
    <s v="Jueves"/>
    <x v="506"/>
    <n v="82.9"/>
    <n v="23.455183340878229"/>
    <n v="0.13700000000000001"/>
    <n v="71.542699999999996"/>
    <n v="22.198999999999991"/>
    <n v="3.5"/>
    <n v="0.06"/>
    <n v="2051"/>
    <n v="0.55300000000000005"/>
    <n v="11.357300000000002"/>
    <n v="45.843700000000005"/>
    <n v="45.800057142857149"/>
    <n v="60.701000000000015"/>
    <n v="22.198999999999991"/>
    <n v="4.9740000000000002"/>
  </r>
  <r>
    <x v="12"/>
    <n v="14"/>
    <s v="Viernes"/>
    <x v="507"/>
    <n v="82.85"/>
    <n v="23.441036668175645"/>
    <n v="0.13900000000000001"/>
    <n v="71.333849999999998"/>
    <n v="21.934950000000001"/>
    <n v="3.5"/>
    <n v="6.5000000000000002E-2"/>
    <n v="2045"/>
    <n v="0.55400000000000005"/>
    <n v="11.51615"/>
    <n v="45.898899999999998"/>
    <n v="45.748614285714289"/>
    <n v="60.915049999999994"/>
    <n v="21.934950000000001"/>
    <n v="5.3852500000000001"/>
  </r>
  <r>
    <x v="12"/>
    <n v="14"/>
    <s v="Sabado"/>
    <x v="508"/>
    <n v="83.55"/>
    <n v="23.63909008601177"/>
    <n v="0.13900000000000001"/>
    <n v="71.936549999999997"/>
    <n v="22.233399999999996"/>
    <n v="3.5"/>
    <n v="6.5000000000000002E-2"/>
    <n v="2064"/>
    <n v="0.55300000000000005"/>
    <n v="11.61345"/>
    <n v="46.203150000000001"/>
    <n v="45.843350000000001"/>
    <n v="61.316600000000001"/>
    <n v="22.233399999999996"/>
    <n v="5.4307499999999997"/>
  </r>
  <r>
    <x v="12"/>
    <n v="14"/>
    <s v="Domingo"/>
    <x v="509"/>
    <n v="83.45"/>
    <n v="23.610796740606613"/>
    <n v="0.14299999999999999"/>
    <n v="71.516649999999998"/>
    <n v="21.701899999999995"/>
    <n v="3.5"/>
    <n v="6.5000000000000002E-2"/>
    <n v="2052"/>
    <n v="0.55500000000000005"/>
    <n v="11.933349999999999"/>
    <n v="46.314750000000004"/>
    <n v="45.938257142857147"/>
    <n v="61.748100000000008"/>
    <n v="21.701899999999995"/>
    <n v="5.4242500000000007"/>
  </r>
  <r>
    <x v="12"/>
    <n v="15"/>
    <s v="Lunes "/>
    <x v="510"/>
    <n v="83.45"/>
    <n v="23.610796740606613"/>
    <n v="0.14199999999999999"/>
    <n v="71.600099999999998"/>
    <n v="21.868799999999993"/>
    <n v="3.5"/>
    <n v="6.5000000000000002E-2"/>
    <n v="2056"/>
    <n v="0.55400000000000005"/>
    <n v="11.8499"/>
    <n v="46.231300000000005"/>
    <n v="45.978257142857146"/>
    <n v="61.58120000000001"/>
    <n v="21.868799999999993"/>
    <n v="5.4242500000000007"/>
  </r>
  <r>
    <x v="12"/>
    <n v="15"/>
    <s v="Martes"/>
    <x v="511"/>
    <n v="82.9"/>
    <n v="23.455183340878229"/>
    <n v="0.13200000000000001"/>
    <n v="71.9572"/>
    <n v="22.779299999999992"/>
    <n v="3.5"/>
    <n v="0.06"/>
    <n v="2062"/>
    <n v="0.55100000000000005"/>
    <n v="10.942800000000002"/>
    <n v="45.677900000000008"/>
    <n v="45.970357142857146"/>
    <n v="60.120700000000014"/>
    <n v="22.779299999999992"/>
    <n v="4.9740000000000002"/>
  </r>
  <r>
    <x v="12"/>
    <n v="15"/>
    <s v="Viernes"/>
    <x v="512"/>
    <n v="84.65"/>
    <n v="23.950316885468542"/>
    <n v="0.153"/>
    <n v="71.698550000000012"/>
    <n v="20.794550000000001"/>
    <n v="3.5"/>
    <n v="7.0000000000000007E-2"/>
    <n v="2062"/>
    <n v="0.56000000000000005"/>
    <n v="12.951450000000001"/>
    <n v="47.404000000000011"/>
    <n v="46.224814285714288"/>
    <n v="63.855450000000005"/>
    <n v="20.794550000000001"/>
    <n v="5.9255000000000013"/>
  </r>
  <r>
    <x v="12"/>
    <n v="15"/>
    <s v="Sabado"/>
    <x v="513"/>
    <n v="83.7"/>
    <n v="23.681530104119513"/>
    <n v="0.14499999999999999"/>
    <n v="71.563500000000005"/>
    <n v="21.6937"/>
    <n v="3.5"/>
    <n v="6.5000000000000002E-2"/>
    <n v="2054"/>
    <n v="0.55400000000000005"/>
    <n v="12.1365"/>
    <n v="46.369800000000005"/>
    <n v="46.299971428571432"/>
    <n v="62.006300000000003"/>
    <n v="21.6937"/>
    <n v="5.4405000000000001"/>
  </r>
  <r>
    <x v="12"/>
    <n v="15"/>
    <s v="Domingo"/>
    <x v="514"/>
    <n v="85.05"/>
    <n v="24.063490267089183"/>
    <n v="0.156"/>
    <n v="71.782200000000003"/>
    <n v="22.185099999999998"/>
    <n v="3.5"/>
    <n v="7.0000000000000007E-2"/>
    <n v="2066"/>
    <n v="0.54200000000000004"/>
    <n v="13.267799999999999"/>
    <n v="46.097100000000005"/>
    <n v="46.328285714285713"/>
    <n v="62.864899999999999"/>
    <n v="22.185099999999998"/>
    <n v="5.9535"/>
  </r>
  <r>
    <x v="12"/>
    <n v="16"/>
    <s v="Lunes "/>
    <x v="515"/>
    <n v="84.95"/>
    <n v="24.035196921684022"/>
    <n v="0.152"/>
    <n v="72.037599999999998"/>
    <n v="22.649549999999991"/>
    <n v="3.6"/>
    <n v="7.0000000000000007E-2"/>
    <n v="2072"/>
    <n v="0.53900000000000003"/>
    <n v="12.9124"/>
    <n v="45.788050000000005"/>
    <n v="46.268985714285712"/>
    <n v="62.300450000000012"/>
    <n v="22.649549999999991"/>
    <n v="5.9465000000000003"/>
  </r>
  <r>
    <x v="12"/>
    <n v="16"/>
    <s v="Martes"/>
    <x v="516"/>
    <n v="83.95"/>
    <n v="23.752263467632414"/>
    <n v="0.14399999999999999"/>
    <n v="71.861199999999997"/>
    <n v="23.531899999999993"/>
    <n v="3.5"/>
    <n v="6.5000000000000002E-2"/>
    <n v="2063"/>
    <n v="0.53400000000000003"/>
    <n v="12.088799999999999"/>
    <n v="44.829300000000003"/>
    <n v="46.05677857142858"/>
    <n v="60.41810000000001"/>
    <n v="23.531899999999993"/>
    <n v="5.4567500000000004"/>
  </r>
  <r>
    <x v="12"/>
    <n v="16"/>
    <s v="Miercoles"/>
    <x v="517"/>
    <n v="83.75"/>
    <n v="23.695676776822094"/>
    <n v="0.14599999999999999"/>
    <n v="71.522500000000008"/>
    <n v="23.048750000000005"/>
    <n v="3.5"/>
    <n v="6.5000000000000002E-2"/>
    <n v="2052"/>
    <n v="0.53700000000000003"/>
    <n v="12.227499999999999"/>
    <n v="44.973750000000003"/>
    <n v="45.877128571428571"/>
    <n v="60.701249999999995"/>
    <n v="23.048750000000005"/>
    <n v="5.4437500000000005"/>
  </r>
  <r>
    <x v="12"/>
    <n v="16"/>
    <s v="Jueves"/>
    <x v="518"/>
    <n v="83.85"/>
    <n v="23.723970122227254"/>
    <n v="0.14399999999999999"/>
    <n v="71.775599999999997"/>
    <n v="22.577349999999996"/>
    <n v="3.5"/>
    <n v="6.5000000000000002E-2"/>
    <n v="2060"/>
    <n v="0.54500000000000004"/>
    <n v="12.074399999999999"/>
    <n v="45.698250000000002"/>
    <n v="45.880035714285718"/>
    <n v="61.272649999999999"/>
    <n v="22.577349999999996"/>
    <n v="5.4502499999999996"/>
  </r>
  <r>
    <x v="12"/>
    <n v="16"/>
    <s v="Viernes"/>
    <x v="519"/>
    <n v="84.15"/>
    <n v="23.808850158442738"/>
    <n v="0.14699999999999999"/>
    <n v="71.779949999999999"/>
    <n v="22.502349999999993"/>
    <n v="3.5"/>
    <n v="7.0000000000000007E-2"/>
    <n v="2060"/>
    <n v="0.54400000000000004"/>
    <n v="12.370050000000001"/>
    <n v="45.777600000000007"/>
    <n v="45.647692857142864"/>
    <n v="61.647650000000013"/>
    <n v="22.502349999999993"/>
    <n v="5.8905000000000012"/>
  </r>
  <r>
    <x v="12"/>
    <n v="16"/>
    <s v="Sabado"/>
    <x v="520"/>
    <n v="83.75"/>
    <n v="23.695676776822094"/>
    <n v="0.14299999999999999"/>
    <n v="71.773750000000007"/>
    <n v="22.630000000000003"/>
    <n v="3.5"/>
    <n v="6.5000000000000002E-2"/>
    <n v="2060"/>
    <n v="0.54500000000000004"/>
    <n v="11.976249999999999"/>
    <n v="45.643750000000004"/>
    <n v="45.543971428571425"/>
    <n v="61.12"/>
    <n v="22.630000000000003"/>
    <n v="5.4437500000000005"/>
  </r>
  <r>
    <x v="12"/>
    <n v="16"/>
    <s v="Domingo"/>
    <x v="521"/>
    <n v="83.65"/>
    <n v="23.667383431416933"/>
    <n v="0.14399999999999999"/>
    <n v="71.604399999999998"/>
    <n v="22.347849999999994"/>
    <n v="3.5"/>
    <n v="6.5000000000000002E-2"/>
    <n v="2053"/>
    <n v="0.54700000000000004"/>
    <n v="12.0456"/>
    <n v="45.756550000000004"/>
    <n v="45.495321428571437"/>
    <n v="61.302150000000012"/>
    <n v="22.347849999999994"/>
    <n v="5.4372500000000006"/>
  </r>
  <r>
    <x v="12"/>
    <n v="17"/>
    <s v="Lunes "/>
    <x v="522"/>
    <n v="83.55"/>
    <n v="23.63909008601177"/>
    <n v="0.14399999999999999"/>
    <n v="71.518799999999999"/>
    <n v="21.899199999999993"/>
    <n v="3.5"/>
    <n v="6.5000000000000002E-2"/>
    <n v="2052"/>
    <n v="0.55200000000000005"/>
    <n v="12.031199999999998"/>
    <n v="46.119600000000005"/>
    <n v="45.542685714285717"/>
    <n v="61.650800000000004"/>
    <n v="21.899199999999993"/>
    <n v="5.4307499999999997"/>
  </r>
  <r>
    <x v="12"/>
    <n v="17"/>
    <s v="Jueves"/>
    <x v="523"/>
    <n v="84.14"/>
    <n v="23.80602082390222"/>
    <n v="0.152"/>
    <n v="71.350719999999995"/>
    <n v="21.826139999999988"/>
    <n v="3.5"/>
    <n v="7.0000000000000007E-2"/>
    <n v="2050"/>
    <n v="0.54700000000000004"/>
    <n v="12.78928"/>
    <n v="46.024580000000007"/>
    <n v="45.713440000000006"/>
    <n v="62.313860000000012"/>
    <n v="21.826139999999988"/>
    <n v="5.889800000000001"/>
  </r>
  <r>
    <x v="12"/>
    <n v="17"/>
    <s v="Viernes"/>
    <x v="524"/>
    <n v="83.95"/>
    <n v="23.752263467632414"/>
    <n v="0.15"/>
    <n v="71.357500000000002"/>
    <n v="22.104749999999996"/>
    <n v="3.5"/>
    <n v="7.0000000000000007E-2"/>
    <n v="2050"/>
    <n v="0.54500000000000004"/>
    <n v="12.592499999999999"/>
    <n v="45.752750000000006"/>
    <n v="45.824725714285719"/>
    <n v="61.845250000000007"/>
    <n v="22.104749999999996"/>
    <n v="5.8765000000000009"/>
  </r>
  <r>
    <x v="12"/>
    <n v="18"/>
    <s v="Lunes "/>
    <x v="525"/>
    <n v="85.15"/>
    <n v="24.091783612494346"/>
    <n v="0.157"/>
    <n v="71.781450000000007"/>
    <n v="21.7044"/>
    <n v="3.5"/>
    <n v="7.0000000000000007E-2"/>
    <n v="2066"/>
    <n v="0.54700000000000004"/>
    <n v="13.368550000000001"/>
    <n v="46.577050000000007"/>
    <n v="45.950268571428573"/>
    <n v="63.445600000000006"/>
    <n v="21.7044"/>
    <n v="5.9605000000000006"/>
  </r>
  <r>
    <x v="12"/>
    <n v="19"/>
    <s v="Domingo"/>
    <x v="526"/>
    <n v="83.65"/>
    <n v="23.667383431416933"/>
    <n v="0.14699999999999999"/>
    <n v="71.353450000000009"/>
    <n v="22.096900000000005"/>
    <n v="3.5"/>
    <n v="6.5000000000000002E-2"/>
    <n v="2049"/>
    <n v="0.54700000000000004"/>
    <n v="12.29655"/>
    <n v="45.756550000000004"/>
    <n v="45.94726142857143"/>
    <n v="61.553100000000001"/>
    <n v="22.096900000000005"/>
    <n v="5.4372500000000006"/>
  </r>
  <r>
    <x v="12"/>
    <n v="20"/>
    <s v="Lunes "/>
    <x v="527"/>
    <n v="83.9"/>
    <n v="23.738116794929837"/>
    <n v="0.14799999999999999"/>
    <n v="71.482800000000012"/>
    <n v="22.257300000000008"/>
    <n v="3.5"/>
    <n v="7.0000000000000007E-2"/>
    <n v="2052"/>
    <n v="0.54500000000000004"/>
    <n v="12.417199999999999"/>
    <n v="45.725500000000004"/>
    <n v="45.958939999999998"/>
    <n v="61.642699999999998"/>
    <n v="22.257300000000008"/>
    <n v="5.8730000000000011"/>
  </r>
  <r>
    <x v="12"/>
    <n v="20"/>
    <s v="Martes"/>
    <x v="528"/>
    <n v="83.8"/>
    <n v="23.709823449524674"/>
    <n v="0.14899999999999999"/>
    <n v="71.313800000000001"/>
    <n v="21.975200000000001"/>
    <n v="3.5"/>
    <n v="7.0000000000000007E-2"/>
    <n v="2047"/>
    <n v="0.54700000000000004"/>
    <n v="12.486199999999998"/>
    <n v="45.8386"/>
    <n v="45.970661428571425"/>
    <n v="61.824799999999996"/>
    <n v="21.975200000000001"/>
    <n v="5.8660000000000005"/>
  </r>
  <r>
    <x v="12"/>
    <n v="20"/>
    <s v="Miercoles"/>
    <x v="529"/>
    <n v="84.3"/>
    <n v="23.851290176550474"/>
    <n v="0.155"/>
    <n v="71.233499999999992"/>
    <n v="21.36849999999999"/>
    <n v="3.5"/>
    <n v="7.0000000000000007E-2"/>
    <n v="2048"/>
    <n v="0.55000000000000004"/>
    <n v="13.0665"/>
    <n v="46.365000000000002"/>
    <n v="46.005718571428581"/>
    <n v="62.931500000000007"/>
    <n v="21.36849999999999"/>
    <n v="5.9010000000000007"/>
  </r>
  <r>
    <x v="12"/>
    <n v="20"/>
    <s v="Jueves"/>
    <x v="530"/>
    <n v="84.6"/>
    <n v="23.936170212765958"/>
    <n v="0.154"/>
    <n v="71.571599999999989"/>
    <n v="21.456999999999987"/>
    <n v="3.5"/>
    <n v="7.0000000000000007E-2"/>
    <n v="2058"/>
    <n v="0.55100000000000005"/>
    <n v="13.0284"/>
    <n v="46.614600000000003"/>
    <n v="46.090007142857147"/>
    <n v="63.143000000000008"/>
    <n v="21.456999999999987"/>
    <n v="5.9220000000000006"/>
  </r>
  <r>
    <x v="12"/>
    <n v="20"/>
    <s v="Viernes"/>
    <x v="531"/>
    <n v="84.2"/>
    <n v="23.822996831145318"/>
    <n v="0.14899999999999999"/>
    <n v="71.654200000000003"/>
    <n v="22.517800000000001"/>
    <n v="3.5"/>
    <n v="7.0000000000000007E-2"/>
    <n v="2058"/>
    <n v="0.54200000000000004"/>
    <n v="12.5458"/>
    <n v="45.636400000000002"/>
    <n v="46.07338571428572"/>
    <n v="61.682200000000002"/>
    <n v="22.517800000000001"/>
    <n v="5.894000000000001"/>
  </r>
  <r>
    <x v="12"/>
    <n v="20"/>
    <s v="Sabado"/>
    <x v="532"/>
    <n v="83.85"/>
    <n v="23.723970122227254"/>
    <n v="0.151"/>
    <n v="71.188649999999996"/>
    <n v="22.325799999999994"/>
    <n v="3.5"/>
    <n v="7.0000000000000007E-2"/>
    <n v="2045"/>
    <n v="0.54100000000000004"/>
    <n v="12.661349999999999"/>
    <n v="45.362850000000002"/>
    <n v="45.899928571428568"/>
    <n v="61.5242"/>
    <n v="22.325799999999994"/>
    <n v="5.8695000000000004"/>
  </r>
  <r>
    <x v="12"/>
    <n v="21"/>
    <s v="Miercoles"/>
    <x v="533"/>
    <n v="84.8"/>
    <n v="23.992756903576279"/>
    <n v="0.152"/>
    <n v="71.910399999999996"/>
    <n v="22.009599999999992"/>
    <n v="3.6"/>
    <n v="7.0000000000000007E-2"/>
    <n v="2068"/>
    <n v="0.54600000000000004"/>
    <n v="12.8896"/>
    <n v="46.300800000000002"/>
    <n v="45.977678571428569"/>
    <n v="62.790400000000005"/>
    <n v="22.009599999999992"/>
    <n v="5.9359999999999999"/>
  </r>
  <r>
    <x v="12"/>
    <n v="21"/>
    <s v="Jueves"/>
    <x v="534"/>
    <n v="84.4"/>
    <n v="23.879583521955638"/>
    <n v="0.152"/>
    <n v="71.571200000000005"/>
    <n v="23.001599999999996"/>
    <n v="3.5"/>
    <n v="7.0000000000000007E-2"/>
    <n v="2059"/>
    <n v="0.53400000000000003"/>
    <n v="12.828800000000001"/>
    <n v="45.069600000000008"/>
    <n v="45.883978571428578"/>
    <n v="61.398400000000009"/>
    <n v="23.001599999999996"/>
    <n v="5.9080000000000013"/>
  </r>
  <r>
    <x v="12"/>
    <n v="21"/>
    <s v="Viernes"/>
    <x v="535"/>
    <n v="83.85"/>
    <n v="23.723970122227254"/>
    <n v="0.14399999999999999"/>
    <n v="71.775599999999997"/>
    <n v="23.164299999999997"/>
    <n v="3.5"/>
    <n v="6.5000000000000002E-2"/>
    <n v="2059"/>
    <n v="0.53800000000000003"/>
    <n v="12.074399999999999"/>
    <n v="45.1113"/>
    <n v="45.780078571428575"/>
    <n v="60.685699999999997"/>
    <n v="23.164299999999997"/>
    <n v="5.4502499999999996"/>
  </r>
  <r>
    <x v="12"/>
    <n v="21"/>
    <s v="Sabado"/>
    <x v="536"/>
    <n v="84"/>
    <n v="23.766410140334994"/>
    <n v="0.15"/>
    <n v="71.400000000000006"/>
    <n v="22.792000000000002"/>
    <n v="3.5"/>
    <n v="7.0000000000000007E-2"/>
    <n v="2051"/>
    <n v="0.53700000000000003"/>
    <n v="12.6"/>
    <n v="45.108000000000004"/>
    <n v="45.600507142857147"/>
    <n v="61.207999999999998"/>
    <n v="22.792000000000002"/>
    <n v="5.8800000000000008"/>
  </r>
  <r>
    <x v="12"/>
    <n v="21"/>
    <s v="Domingo"/>
    <x v="537"/>
    <n v="84"/>
    <n v="23.766410140334994"/>
    <n v="0.14899999999999999"/>
    <n v="71.483999999999995"/>
    <n v="22.371999999999993"/>
    <n v="3.5"/>
    <n v="7.0000000000000007E-2"/>
    <n v="2051"/>
    <n v="0.54300000000000004"/>
    <n v="12.516"/>
    <n v="45.612000000000002"/>
    <n v="45.457278571428574"/>
    <n v="61.628000000000007"/>
    <n v="22.371999999999993"/>
    <n v="5.8800000000000008"/>
  </r>
  <r>
    <x v="12"/>
    <n v="22"/>
    <s v="Lunes "/>
    <x v="538"/>
    <n v="83.55"/>
    <n v="23.63909008601177"/>
    <n v="0.14399999999999999"/>
    <n v="71.518799999999999"/>
    <n v="22.651149999999994"/>
    <n v="3.5"/>
    <n v="6.5000000000000002E-2"/>
    <n v="2053"/>
    <n v="0.54300000000000004"/>
    <n v="12.031199999999998"/>
    <n v="45.367650000000005"/>
    <n v="45.418885714285715"/>
    <n v="60.898850000000003"/>
    <n v="22.651149999999994"/>
    <n v="5.4307499999999997"/>
  </r>
  <r>
    <x v="12"/>
    <n v="22"/>
    <s v="Domingo"/>
    <x v="539"/>
    <n v="84.05"/>
    <n v="23.780556813037574"/>
    <n v="0.14299999999999999"/>
    <n v="72.030850000000001"/>
    <n v="22.707650000000001"/>
    <n v="3.6"/>
    <n v="6.5000000000000002E-2"/>
    <n v="2067"/>
    <n v="0.54400000000000004"/>
    <n v="12.019149999999998"/>
    <n v="45.723199999999999"/>
    <n v="45.470364285714297"/>
    <n v="61.342349999999996"/>
    <n v="22.707650000000001"/>
    <n v="5.4632500000000004"/>
  </r>
  <r>
    <x v="13"/>
    <n v="23"/>
    <s v="Lunes "/>
    <x v="540"/>
    <n v="83.95"/>
    <n v="23.752263467632414"/>
    <n v="0.14199999999999999"/>
    <n v="72.0291"/>
    <n v="22.592399999999991"/>
    <n v="3.6"/>
    <n v="6.5000000000000002E-2"/>
    <n v="2068"/>
    <n v="0.54600000000000004"/>
    <n v="11.9209"/>
    <n v="45.836700000000008"/>
    <n v="45.404064285714291"/>
    <n v="61.357600000000012"/>
    <n v="22.592399999999991"/>
    <n v="5.4567500000000004"/>
  </r>
  <r>
    <x v="13"/>
    <n v="23"/>
    <s v="Martes"/>
    <x v="541"/>
    <n v="83.55"/>
    <n v="23.63909008601177"/>
    <n v="0.14299999999999999"/>
    <n v="71.602350000000001"/>
    <n v="22.651150000000001"/>
    <n v="3.5"/>
    <n v="6.5000000000000002E-2"/>
    <n v="2054"/>
    <n v="0.54400000000000004"/>
    <n v="11.947649999999999"/>
    <n v="45.4512"/>
    <n v="45.458578571428575"/>
    <n v="60.898849999999996"/>
    <n v="22.651150000000001"/>
    <n v="5.4307499999999997"/>
  </r>
  <r>
    <x v="13"/>
    <n v="23"/>
    <s v="Miercoles"/>
    <x v="542"/>
    <n v="83.65"/>
    <n v="23.667383431416933"/>
    <n v="0.14499999999999999"/>
    <n v="71.520750000000007"/>
    <n v="22.515149999999998"/>
    <n v="3.5"/>
    <n v="6.5000000000000002E-2"/>
    <n v="2053"/>
    <n v="0.54400000000000004"/>
    <n v="12.129250000000001"/>
    <n v="45.505600000000008"/>
    <n v="45.514907142857147"/>
    <n v="61.134850000000007"/>
    <n v="22.515149999999998"/>
    <n v="5.4372500000000006"/>
  </r>
  <r>
    <x v="13"/>
    <n v="23"/>
    <s v="Jueves"/>
    <x v="543"/>
    <n v="83.85"/>
    <n v="23.723970122227254"/>
    <n v="0.14399999999999999"/>
    <n v="71.775599999999997"/>
    <n v="22.409649999999999"/>
    <n v="3.5"/>
    <n v="6.5000000000000002E-2"/>
    <n v="2058"/>
    <n v="0.54700000000000004"/>
    <n v="12.074399999999999"/>
    <n v="45.865949999999998"/>
    <n v="45.623185714285718"/>
    <n v="61.440349999999995"/>
    <n v="22.409649999999999"/>
    <n v="5.4502499999999996"/>
  </r>
  <r>
    <x v="13"/>
    <n v="23"/>
    <s v="Viernes"/>
    <x v="544"/>
    <n v="83.95"/>
    <n v="23.752263467632414"/>
    <n v="0.14599999999999999"/>
    <n v="71.693300000000008"/>
    <n v="22.104750000000003"/>
    <n v="3.5"/>
    <n v="6.5000000000000002E-2"/>
    <n v="2059"/>
    <n v="0.54900000000000004"/>
    <n v="12.2567"/>
    <n v="46.088550000000005"/>
    <n v="45.69126428571429"/>
    <n v="61.84525"/>
    <n v="22.104750000000003"/>
    <n v="5.4567500000000004"/>
  </r>
  <r>
    <x v="13"/>
    <n v="23"/>
    <s v="Sabado"/>
    <x v="545"/>
    <n v="83.75"/>
    <n v="23.695676776822094"/>
    <n v="0.152"/>
    <n v="71.02"/>
    <n v="22.294999999999995"/>
    <n v="3.5"/>
    <n v="7.0000000000000007E-2"/>
    <n v="2039"/>
    <n v="0.54"/>
    <n v="12.73"/>
    <n v="45.225000000000001"/>
    <n v="45.670885714285717"/>
    <n v="61.455000000000005"/>
    <n v="22.294999999999995"/>
    <n v="5.8625000000000007"/>
  </r>
  <r>
    <x v="13"/>
    <n v="23"/>
    <s v="Domingo"/>
    <x v="546"/>
    <n v="84.55"/>
    <n v="23.922023540063378"/>
    <n v="0.14899999999999999"/>
    <n v="71.95205"/>
    <n v="21.695899999999995"/>
    <n v="3.5"/>
    <n v="7.0000000000000007E-2"/>
    <n v="2065"/>
    <n v="0.55300000000000005"/>
    <n v="12.597949999999999"/>
    <n v="46.756150000000005"/>
    <n v="45.818449999999999"/>
    <n v="62.854100000000003"/>
    <n v="21.695899999999995"/>
    <n v="5.9185000000000008"/>
  </r>
  <r>
    <x v="13"/>
    <n v="24"/>
    <s v="Viernes"/>
    <x v="547"/>
    <n v="84.85"/>
    <n v="24.006903576278859"/>
    <n v="0.15"/>
    <n v="72.122500000000002"/>
    <n v="23.042900000000003"/>
    <n v="3.6"/>
    <n v="7.0000000000000007E-2"/>
    <n v="2074"/>
    <n v="0.53600000000000003"/>
    <n v="12.727499999999999"/>
    <n v="45.479599999999998"/>
    <n v="45.767435714285718"/>
    <n v="61.807099999999991"/>
    <n v="23.042900000000003"/>
    <n v="5.9394999999999998"/>
  </r>
  <r>
    <x v="13"/>
    <n v="24"/>
    <s v="Sabado"/>
    <x v="548"/>
    <n v="84.9"/>
    <n v="24.021050248981442"/>
    <n v="0.14899999999999999"/>
    <n v="72.249900000000011"/>
    <n v="23.228400000000001"/>
    <n v="3.6"/>
    <n v="7.0000000000000007E-2"/>
    <n v="2077"/>
    <n v="0.53500000000000003"/>
    <n v="12.6501"/>
    <n v="45.421500000000009"/>
    <n v="45.763192857142862"/>
    <n v="61.671600000000005"/>
    <n v="23.228400000000001"/>
    <n v="5.9430000000000014"/>
  </r>
  <r>
    <x v="13"/>
    <n v="24"/>
    <s v="Domingo"/>
    <x v="549"/>
    <n v="84.45"/>
    <n v="23.893730194658218"/>
    <n v="0.14799999999999999"/>
    <n v="71.951400000000007"/>
    <n v="22.832850000000001"/>
    <n v="3.6"/>
    <n v="7.0000000000000007E-2"/>
    <n v="2067"/>
    <n v="0.53900000000000003"/>
    <n v="12.4986"/>
    <n v="45.518550000000005"/>
    <n v="45.765042857142866"/>
    <n v="61.617150000000002"/>
    <n v="22.832850000000001"/>
    <n v="5.9115000000000011"/>
  </r>
  <r>
    <x v="13"/>
    <n v="25"/>
    <s v="Lunes "/>
    <x v="550"/>
    <n v="84.65"/>
    <n v="23.950316885468542"/>
    <n v="0.14799999999999999"/>
    <n v="72.121800000000007"/>
    <n v="22.641500000000001"/>
    <n v="3.6"/>
    <n v="7.0000000000000007E-2"/>
    <n v="2071"/>
    <n v="0.54200000000000004"/>
    <n v="12.5282"/>
    <n v="45.880300000000005"/>
    <n v="45.76709285714287"/>
    <n v="62.008500000000005"/>
    <n v="22.641500000000001"/>
    <n v="5.9255000000000013"/>
  </r>
  <r>
    <x v="13"/>
    <n v="25"/>
    <s v="Martes"/>
    <x v="551"/>
    <n v="84.2"/>
    <n v="23.822996831145318"/>
    <n v="0.14399999999999999"/>
    <n v="72.075200000000009"/>
    <n v="22.670400000000001"/>
    <n v="3.6"/>
    <n v="6.5000000000000002E-2"/>
    <n v="2070"/>
    <n v="0.54400000000000004"/>
    <n v="12.124799999999999"/>
    <n v="45.804800000000007"/>
    <n v="45.726557142857146"/>
    <n v="61.529600000000002"/>
    <n v="22.670400000000001"/>
    <n v="5.4730000000000008"/>
  </r>
  <r>
    <x v="13"/>
    <n v="25"/>
    <s v="Miercoles"/>
    <x v="552"/>
    <n v="83.95"/>
    <n v="23.752263467632414"/>
    <n v="0.14599999999999999"/>
    <n v="71.693300000000008"/>
    <n v="22.692400000000006"/>
    <n v="3.5"/>
    <n v="6.5000000000000002E-2"/>
    <n v="2059"/>
    <n v="0.54200000000000004"/>
    <n v="12.2567"/>
    <n v="45.500900000000001"/>
    <n v="45.765971428571433"/>
    <n v="61.257599999999996"/>
    <n v="22.692400000000006"/>
    <n v="5.4567500000000004"/>
  </r>
  <r>
    <x v="13"/>
    <n v="25"/>
    <s v="Jueves"/>
    <x v="553"/>
    <n v="84.45"/>
    <n v="23.893730194658218"/>
    <n v="0.153"/>
    <n v="71.529150000000001"/>
    <n v="22.088349999999998"/>
    <n v="3.5"/>
    <n v="7.0000000000000007E-2"/>
    <n v="2055"/>
    <n v="0.54400000000000004"/>
    <n v="12.92085"/>
    <n v="45.940800000000003"/>
    <n v="45.649492857142867"/>
    <n v="62.361650000000004"/>
    <n v="22.088349999999998"/>
    <n v="5.9115000000000011"/>
  </r>
  <r>
    <x v="13"/>
    <n v="25"/>
    <s v="Viernes"/>
    <x v="554"/>
    <n v="84.65"/>
    <n v="23.950316885468542"/>
    <n v="0.14799999999999999"/>
    <n v="72.121800000000007"/>
    <n v="22.302900000000001"/>
    <n v="3.6"/>
    <n v="7.0000000000000007E-2"/>
    <n v="2071"/>
    <n v="0.54600000000000004"/>
    <n v="12.5282"/>
    <n v="46.218900000000005"/>
    <n v="45.755107142857149"/>
    <n v="62.347100000000005"/>
    <n v="22.302900000000001"/>
    <n v="5.9255000000000013"/>
  </r>
  <r>
    <x v="13"/>
    <n v="25"/>
    <s v="Sabado"/>
    <x v="555"/>
    <n v="84.6"/>
    <n v="23.936170212765958"/>
    <n v="0.14499999999999999"/>
    <n v="72.332999999999998"/>
    <n v="22.118399999999994"/>
    <n v="3.6"/>
    <n v="6.5000000000000002E-2"/>
    <n v="2079"/>
    <n v="0.55100000000000005"/>
    <n v="12.266999999999998"/>
    <n v="46.614600000000003"/>
    <n v="45.925550000000001"/>
    <n v="62.4816"/>
    <n v="22.118399999999994"/>
    <n v="5.4989999999999997"/>
  </r>
  <r>
    <x v="13"/>
    <n v="25"/>
    <s v="Domingo"/>
    <x v="556"/>
    <n v="83.9"/>
    <n v="23.738116794929837"/>
    <n v="0.13700000000000001"/>
    <n v="72.40570000000001"/>
    <n v="22.660699999999999"/>
    <n v="3.6"/>
    <n v="6.5000000000000002E-2"/>
    <n v="2079"/>
    <n v="0.55000000000000004"/>
    <n v="11.494300000000001"/>
    <n v="46.14500000000001"/>
    <n v="46.015042857142866"/>
    <n v="61.239300000000007"/>
    <n v="22.660699999999999"/>
    <n v="5.4535000000000009"/>
  </r>
  <r>
    <x v="13"/>
    <n v="26"/>
    <s v="Lunes "/>
    <x v="557"/>
    <n v="84.4"/>
    <n v="23.879583521955638"/>
    <n v="0.14499999999999999"/>
    <n v="72.162000000000006"/>
    <n v="21.973199999999999"/>
    <n v="3.6"/>
    <n v="6.5000000000000002E-2"/>
    <n v="2073"/>
    <n v="0.55200000000000005"/>
    <n v="12.238"/>
    <n v="46.588800000000006"/>
    <n v="46.116257142857144"/>
    <n v="62.426800000000007"/>
    <n v="21.973199999999999"/>
    <n v="5.4860000000000007"/>
  </r>
  <r>
    <x v="13"/>
    <n v="26"/>
    <s v="Martes"/>
    <x v="558"/>
    <n v="84.05"/>
    <n v="23.780556813037574"/>
    <n v="0.14000000000000001"/>
    <n v="72.283000000000001"/>
    <n v="22.623599999999996"/>
    <n v="3.6"/>
    <n v="6.5000000000000002E-2"/>
    <n v="2073"/>
    <n v="0.54800000000000004"/>
    <n v="11.767000000000001"/>
    <n v="46.059400000000004"/>
    <n v="46.152628571428572"/>
    <n v="61.426400000000001"/>
    <n v="22.623599999999996"/>
    <n v="5.4632500000000004"/>
  </r>
  <r>
    <x v="13"/>
    <n v="26"/>
    <s v="Miercoles"/>
    <x v="559"/>
    <n v="83.25"/>
    <n v="23.554210049796289"/>
    <n v="0.13600000000000001"/>
    <n v="71.927999999999997"/>
    <n v="22.873499999999993"/>
    <n v="3.6"/>
    <n v="6.5000000000000002E-2"/>
    <n v="2062"/>
    <n v="0.54600000000000004"/>
    <n v="11.322000000000001"/>
    <n v="45.454500000000003"/>
    <n v="46.146000000000001"/>
    <n v="60.376500000000007"/>
    <n v="22.873499999999993"/>
    <n v="5.4112499999999999"/>
  </r>
  <r>
    <x v="13"/>
    <n v="26"/>
    <s v="Jueves"/>
    <x v="560"/>
    <n v="84.2"/>
    <n v="23.822996831145318"/>
    <n v="0.14399999999999999"/>
    <n v="72.075200000000009"/>
    <n v="22.249400000000001"/>
    <n v="3.6"/>
    <n v="6.5000000000000002E-2"/>
    <n v="2068"/>
    <n v="0.54900000000000004"/>
    <n v="12.124799999999999"/>
    <n v="46.225800000000007"/>
    <n v="46.186714285714295"/>
    <n v="61.950600000000001"/>
    <n v="22.249400000000001"/>
    <n v="5.4730000000000008"/>
  </r>
  <r>
    <x v="13"/>
    <n v="26"/>
    <s v="Viernes"/>
    <x v="561"/>
    <n v="82.95"/>
    <n v="23.469330013580809"/>
    <n v="0.127"/>
    <n v="72.415350000000004"/>
    <n v="23.275799999999997"/>
    <n v="3.6"/>
    <n v="0.06"/>
    <n v="2075"/>
    <n v="0.54900000000000004"/>
    <n v="10.534650000000001"/>
    <n v="45.539550000000006"/>
    <n v="46.089664285714299"/>
    <n v="59.674200000000006"/>
    <n v="23.275799999999997"/>
    <n v="4.9770000000000003"/>
  </r>
  <r>
    <x v="13"/>
    <n v="26"/>
    <s v="Sabado"/>
    <x v="562"/>
    <n v="83.2"/>
    <n v="23.540063377093709"/>
    <n v="0.13500000000000001"/>
    <n v="71.968000000000004"/>
    <n v="23.273599999999995"/>
    <n v="3.6"/>
    <n v="6.5000000000000002E-2"/>
    <n v="2062"/>
    <n v="0.54200000000000004"/>
    <n v="11.232000000000001"/>
    <n v="45.094400000000007"/>
    <n v="45.872492857142859"/>
    <n v="59.926400000000008"/>
    <n v="23.273599999999995"/>
    <n v="5.4080000000000004"/>
  </r>
  <r>
    <x v="13"/>
    <n v="26"/>
    <s v="Domingo"/>
    <x v="563"/>
    <n v="83.65"/>
    <n v="23.667383431416933"/>
    <n v="0.13800000000000001"/>
    <n v="72.106300000000005"/>
    <n v="22.582449999999994"/>
    <n v="3.6"/>
    <n v="6.5000000000000002E-2"/>
    <n v="2069"/>
    <n v="0.54900000000000004"/>
    <n v="11.543700000000001"/>
    <n v="45.923850000000009"/>
    <n v="45.840900000000012"/>
    <n v="61.067550000000011"/>
    <n v="22.582449999999994"/>
    <n v="5.4372500000000006"/>
  </r>
  <r>
    <x v="13"/>
    <n v="27"/>
    <s v="Lunes "/>
    <x v="564"/>
    <n v="83.9"/>
    <n v="23.738116794929837"/>
    <n v="0.14499999999999999"/>
    <n v="71.734500000000011"/>
    <n v="22.089500000000001"/>
    <n v="3.5"/>
    <n v="6.5000000000000002E-2"/>
    <n v="2059"/>
    <n v="0.55000000000000004"/>
    <n v="12.1655"/>
    <n v="46.14500000000001"/>
    <n v="45.777500000000018"/>
    <n v="61.810500000000005"/>
    <n v="22.089500000000001"/>
    <n v="5.4535000000000009"/>
  </r>
  <r>
    <x v="13"/>
    <n v="27"/>
    <s v="Martes"/>
    <x v="565"/>
    <n v="83.65"/>
    <n v="23.667383431416933"/>
    <n v="0.13800000000000001"/>
    <n v="72.106300000000005"/>
    <n v="21.996899999999997"/>
    <n v="3.6"/>
    <n v="6.5000000000000002E-2"/>
    <n v="2069"/>
    <n v="0.55600000000000005"/>
    <n v="11.543700000000001"/>
    <n v="46.509400000000007"/>
    <n v="45.84178571428572"/>
    <n v="61.653100000000009"/>
    <n v="21.996899999999997"/>
    <n v="5.4372500000000006"/>
  </r>
  <r>
    <x v="13"/>
    <n v="27"/>
    <s v="Miercoles"/>
    <x v="566"/>
    <n v="83.1"/>
    <n v="23.511770031688545"/>
    <n v="0.13700000000000001"/>
    <n v="71.715299999999999"/>
    <n v="22.593399999999995"/>
    <n v="3.5"/>
    <n v="6.5000000000000002E-2"/>
    <n v="2056"/>
    <n v="0.54900000000000004"/>
    <n v="11.3847"/>
    <n v="45.621900000000004"/>
    <n v="45.865700000000004"/>
    <n v="60.506599999999999"/>
    <n v="22.593399999999995"/>
    <n v="5.4014999999999995"/>
  </r>
  <r>
    <x v="13"/>
    <n v="27"/>
    <s v="Jueves"/>
    <x v="567"/>
    <n v="82.45"/>
    <n v="23.327863286555004"/>
    <n v="0.13100000000000001"/>
    <n v="71.649050000000003"/>
    <n v="22.966449999999995"/>
    <n v="3.5"/>
    <n v="0.06"/>
    <n v="2051"/>
    <n v="0.54800000000000004"/>
    <n v="10.80095"/>
    <n v="45.182600000000008"/>
    <n v="45.716671428571431"/>
    <n v="59.483550000000008"/>
    <n v="22.966449999999995"/>
    <n v="4.9470000000000001"/>
  </r>
  <r>
    <x v="13"/>
    <n v="27"/>
    <s v="Viernes"/>
    <x v="568"/>
    <n v="82.9"/>
    <n v="23.455183340878229"/>
    <n v="0.129"/>
    <n v="72.2059"/>
    <n v="22.762199999999993"/>
    <n v="3.6"/>
    <n v="0.06"/>
    <n v="2068"/>
    <n v="0.55300000000000005"/>
    <n v="10.694100000000001"/>
    <n v="45.843700000000005"/>
    <n v="45.760121428571438"/>
    <n v="60.137800000000013"/>
    <n v="22.762199999999993"/>
    <n v="4.9740000000000002"/>
  </r>
  <r>
    <x v="13"/>
    <n v="27"/>
    <s v="Sabado"/>
    <x v="569"/>
    <n v="82.8"/>
    <n v="23.426889995473065"/>
    <n v="0.13200000000000001"/>
    <n v="71.870399999999989"/>
    <n v="22.167999999999985"/>
    <n v="3.5"/>
    <n v="0.06"/>
    <n v="2058"/>
    <n v="0.55800000000000005"/>
    <n v="10.929600000000001"/>
    <n v="46.202400000000004"/>
    <n v="45.918407142857156"/>
    <n v="60.632000000000012"/>
    <n v="22.167999999999985"/>
    <n v="4.968"/>
  </r>
  <r>
    <x v="13"/>
    <n v="27"/>
    <s v="Domingo"/>
    <x v="570"/>
    <n v="83.2"/>
    <n v="23.540063377093709"/>
    <n v="0.13500000000000001"/>
    <n v="71.968000000000004"/>
    <n v="21.775999999999996"/>
    <n v="3.6"/>
    <n v="6.5000000000000002E-2"/>
    <n v="2063"/>
    <n v="0.56000000000000005"/>
    <n v="11.232000000000001"/>
    <n v="46.592000000000006"/>
    <n v="46.013857142857148"/>
    <n v="61.424000000000007"/>
    <n v="21.775999999999996"/>
    <n v="5.4080000000000004"/>
  </r>
  <r>
    <x v="13"/>
    <n v="28"/>
    <s v="Lunes "/>
    <x v="571"/>
    <n v="82.55"/>
    <n v="23.356156631960165"/>
    <n v="0.13800000000000001"/>
    <n v="71.15809999999999"/>
    <n v="22.007949999999987"/>
    <n v="3.5"/>
    <n v="6.5000000000000002E-2"/>
    <n v="2038"/>
    <n v="0.55300000000000005"/>
    <n v="11.3919"/>
    <n v="45.650150000000004"/>
    <n v="45.943164285714296"/>
    <n v="60.54205000000001"/>
    <n v="22.007949999999987"/>
    <n v="5.3657500000000002"/>
  </r>
  <r>
    <x v="13"/>
    <n v="28"/>
    <s v="Martes"/>
    <x v="572"/>
    <n v="82.45"/>
    <n v="23.327863286555004"/>
    <n v="0.13300000000000001"/>
    <n v="71.48415"/>
    <n v="22.389299999999992"/>
    <n v="3.5"/>
    <n v="0.06"/>
    <n v="2044"/>
    <n v="0.55300000000000005"/>
    <n v="10.965850000000001"/>
    <n v="45.594850000000008"/>
    <n v="45.8125142857143"/>
    <n v="60.060700000000011"/>
    <n v="22.389299999999992"/>
    <n v="4.9470000000000001"/>
  </r>
  <r>
    <x v="13"/>
    <n v="28"/>
    <s v="Miercoles"/>
    <x v="573"/>
    <n v="83.55"/>
    <n v="23.63909008601177"/>
    <n v="0.14899999999999999"/>
    <n v="71.101050000000001"/>
    <n v="20.980149999999995"/>
    <n v="3.5"/>
    <n v="7.0000000000000007E-2"/>
    <n v="2041"/>
    <n v="0.55800000000000005"/>
    <n v="12.448949999999998"/>
    <n v="46.620900000000006"/>
    <n v="45.955228571428577"/>
    <n v="62.569850000000002"/>
    <n v="20.980149999999995"/>
    <n v="5.8485000000000005"/>
  </r>
  <r>
    <x v="13"/>
    <n v="28"/>
    <s v="Jueves"/>
    <x v="574"/>
    <n v="83.95"/>
    <n v="23.752263467632414"/>
    <n v="0.14399999999999999"/>
    <n v="71.861199999999997"/>
    <n v="21.601049999999994"/>
    <n v="3.5"/>
    <n v="6.5000000000000002E-2"/>
    <n v="2062"/>
    <n v="0.55700000000000005"/>
    <n v="12.088799999999999"/>
    <n v="46.760150000000003"/>
    <n v="46.180592857142862"/>
    <n v="62.348950000000009"/>
    <n v="21.601049999999994"/>
    <n v="5.4567500000000004"/>
  </r>
  <r>
    <x v="13"/>
    <n v="28"/>
    <s v="Viernes"/>
    <x v="575"/>
    <n v="83.35"/>
    <n v="23.582503395201449"/>
    <n v="0.14499999999999999"/>
    <n v="71.26424999999999"/>
    <n v="21.421649999999985"/>
    <n v="3.5"/>
    <n v="6.5000000000000002E-2"/>
    <n v="2044"/>
    <n v="0.55600000000000005"/>
    <n v="12.085749999999999"/>
    <n v="46.342600000000004"/>
    <n v="46.251864285714291"/>
    <n v="61.928350000000009"/>
    <n v="21.421649999999985"/>
    <n v="5.4177499999999998"/>
  </r>
  <r>
    <x v="13"/>
    <n v="28"/>
    <s v="Sabado"/>
    <x v="576"/>
    <n v="83.2"/>
    <n v="23.540063377093709"/>
    <n v="0.13600000000000001"/>
    <n v="71.884799999999998"/>
    <n v="22.042399999999994"/>
    <n v="3.5"/>
    <n v="6.5000000000000002E-2"/>
    <n v="2061"/>
    <n v="0.55700000000000005"/>
    <n v="11.315200000000001"/>
    <n v="46.342400000000005"/>
    <n v="46.271864285714287"/>
    <n v="61.157600000000009"/>
    <n v="22.042399999999994"/>
    <n v="5.4080000000000004"/>
  </r>
  <r>
    <x v="13"/>
    <n v="28"/>
    <s v="Domingo"/>
    <x v="577"/>
    <n v="83.8"/>
    <n v="23.709823449524674"/>
    <n v="0.14199999999999999"/>
    <n v="71.900400000000005"/>
    <n v="21.372399999999999"/>
    <n v="3.6"/>
    <n v="6.5000000000000002E-2"/>
    <n v="2063"/>
    <n v="0.56000000000000005"/>
    <n v="11.899599999999998"/>
    <n v="46.928000000000004"/>
    <n v="46.319864285714289"/>
    <n v="62.427599999999998"/>
    <n v="21.372399999999999"/>
    <n v="5.4470000000000001"/>
  </r>
  <r>
    <x v="13"/>
    <n v="29"/>
    <s v="Lunes "/>
    <x v="578"/>
    <n v="82.95"/>
    <n v="23.469330013580809"/>
    <n v="0.13400000000000001"/>
    <n v="71.834699999999998"/>
    <n v="22.048599999999993"/>
    <n v="3.5"/>
    <n v="6.5000000000000002E-2"/>
    <n v="2057"/>
    <n v="0.55800000000000005"/>
    <n v="11.115300000000001"/>
    <n v="46.286100000000005"/>
    <n v="46.410714285714285"/>
    <n v="60.90140000000001"/>
    <n v="22.048599999999993"/>
    <n v="5.39175"/>
  </r>
  <r>
    <x v="13"/>
    <n v="29"/>
    <s v="Miercoles"/>
    <x v="579"/>
    <n v="83.3"/>
    <n v="23.568356722498869"/>
    <n v="0.13400000000000001"/>
    <n v="72.137799999999999"/>
    <n v="22.472899999999996"/>
    <n v="3.6"/>
    <n v="6.5000000000000002E-2"/>
    <n v="2068"/>
    <n v="0.55300000000000005"/>
    <n v="11.1622"/>
    <n v="46.064900000000002"/>
    <n v="46.477864285714297"/>
    <n v="60.827100000000002"/>
    <n v="22.472899999999996"/>
    <n v="5.4145000000000003"/>
  </r>
  <r>
    <x v="13"/>
    <n v="29"/>
    <s v="Jueves"/>
    <x v="580"/>
    <n v="83.5"/>
    <n v="23.62494341330919"/>
    <n v="0.14399999999999999"/>
    <n v="71.475999999999999"/>
    <n v="21.633499999999998"/>
    <n v="3.5"/>
    <n v="6.5000000000000002E-2"/>
    <n v="2051"/>
    <n v="0.55500000000000005"/>
    <n v="12.023999999999999"/>
    <n v="46.342500000000001"/>
    <n v="46.438092857142856"/>
    <n v="61.866500000000002"/>
    <n v="21.633499999999998"/>
    <n v="5.4275000000000002"/>
  </r>
  <r>
    <x v="13"/>
    <n v="29"/>
    <s v="Viernes"/>
    <x v="581"/>
    <n v="84.15"/>
    <n v="23.808850158442738"/>
    <n v="0.13900000000000001"/>
    <n v="72.453150000000008"/>
    <n v="22.065750000000001"/>
    <n v="3.6"/>
    <n v="6.5000000000000002E-2"/>
    <n v="2079"/>
    <n v="0.55600000000000005"/>
    <n v="11.696850000000001"/>
    <n v="46.787400000000005"/>
    <n v="46.441985714285714"/>
    <n v="62.084250000000004"/>
    <n v="22.065750000000001"/>
    <n v="5.4697500000000003"/>
  </r>
  <r>
    <x v="13"/>
    <n v="29"/>
    <s v="Sabado"/>
    <x v="582"/>
    <n v="83.3"/>
    <n v="23.568356722498869"/>
    <n v="0.13500000000000001"/>
    <n v="72.05449999999999"/>
    <n v="22.056399999999989"/>
    <n v="3.6"/>
    <n v="6.5000000000000002E-2"/>
    <n v="2066"/>
    <n v="0.55700000000000005"/>
    <n v="11.2455"/>
    <n v="46.398099999999999"/>
    <n v="46.449914285714286"/>
    <n v="61.243600000000008"/>
    <n v="22.056399999999989"/>
    <n v="5.4145000000000003"/>
  </r>
  <r>
    <x v="13"/>
    <n v="29"/>
    <s v="Domingo"/>
    <x v="583"/>
    <n v="83.7"/>
    <n v="23.681530104119513"/>
    <n v="0.13600000000000001"/>
    <n v="72.316800000000001"/>
    <n v="22.430699999999995"/>
    <n v="3.6"/>
    <n v="6.5000000000000002E-2"/>
    <n v="2073"/>
    <n v="0.55300000000000005"/>
    <n v="11.3832"/>
    <n v="46.286100000000005"/>
    <n v="46.441871428571439"/>
    <n v="61.269300000000008"/>
    <n v="22.430699999999995"/>
    <n v="5.4405000000000001"/>
  </r>
  <r>
    <x v="13"/>
    <n v="30"/>
    <s v="Jueves"/>
    <x v="584"/>
    <n v="84.5"/>
    <n v="23.907876867360798"/>
    <n v="0.14899999999999999"/>
    <n v="71.909500000000008"/>
    <n v="21.005000000000003"/>
    <n v="3.5"/>
    <n v="7.0000000000000007E-2"/>
    <n v="2065"/>
    <n v="0.56100000000000005"/>
    <n v="12.590499999999999"/>
    <n v="47.404500000000006"/>
    <n v="46.50994285714286"/>
    <n v="63.494999999999997"/>
    <n v="21.005000000000003"/>
    <n v="5.9150000000000009"/>
  </r>
  <r>
    <x v="13"/>
    <n v="30"/>
    <s v="Viernes"/>
    <x v="585"/>
    <n v="84.1"/>
    <n v="23.794703485740154"/>
    <n v="0.14399999999999999"/>
    <n v="71.989599999999996"/>
    <n v="22.302799999999991"/>
    <n v="3.6"/>
    <n v="6.5000000000000002E-2"/>
    <n v="2067"/>
    <n v="0.54800000000000004"/>
    <n v="12.110399999999998"/>
    <n v="46.086800000000004"/>
    <n v="46.481471428571425"/>
    <n v="61.797200000000004"/>
    <n v="22.302799999999991"/>
    <n v="5.4664999999999999"/>
  </r>
  <r>
    <x v="13"/>
    <n v="30"/>
    <s v="Sabado"/>
    <x v="586"/>
    <n v="84.15"/>
    <n v="23.808850158442738"/>
    <n v="0.14499999999999999"/>
    <n v="71.948250000000002"/>
    <n v="22.149899999999995"/>
    <n v="3.6"/>
    <n v="6.5000000000000002E-2"/>
    <n v="2066"/>
    <n v="0.54900000000000004"/>
    <n v="12.201750000000001"/>
    <n v="46.198350000000005"/>
    <n v="46.500535714285718"/>
    <n v="62.00010000000001"/>
    <n v="22.149899999999995"/>
    <n v="5.4697500000000003"/>
  </r>
  <r>
    <x v="13"/>
    <n v="31"/>
    <s v="Sabado"/>
    <x v="587"/>
    <n v="84.4"/>
    <n v="23.879583521955638"/>
    <n v="0.14799999999999999"/>
    <n v="71.908799999999999"/>
    <n v="21.466799999999992"/>
    <n v="3.6"/>
    <n v="7.0000000000000007E-2"/>
    <n v="2066"/>
    <n v="0.55500000000000005"/>
    <n v="12.491200000000001"/>
    <n v="46.842000000000006"/>
    <n v="46.571892857142863"/>
    <n v="62.933200000000014"/>
    <n v="21.466799999999992"/>
    <n v="5.9080000000000013"/>
  </r>
  <r>
    <x v="13"/>
    <n v="31"/>
    <s v="Domingo"/>
    <x v="588"/>
    <n v="83.7"/>
    <n v="23.681530104119513"/>
    <n v="0.14099999999999999"/>
    <n v="71.898300000000006"/>
    <n v="22.363300000000002"/>
    <n v="3.5"/>
    <n v="6.5000000000000002E-2"/>
    <n v="2062"/>
    <n v="0.55000000000000004"/>
    <n v="11.801699999999999"/>
    <n v="46.035000000000004"/>
    <n v="46.464407142857155"/>
    <n v="61.3367"/>
    <n v="22.363300000000002"/>
    <n v="5.4405000000000001"/>
  </r>
  <r>
    <x v="13"/>
    <n v="32"/>
    <s v="Lunes "/>
    <x v="589"/>
    <n v="83.3"/>
    <n v="23.568356722498869"/>
    <n v="0.128"/>
    <n v="72.637599999999992"/>
    <n v="23.222599999999986"/>
    <n v="3.6"/>
    <n v="0.06"/>
    <n v="2080"/>
    <n v="0.55000000000000004"/>
    <n v="10.6624"/>
    <n v="45.815000000000005"/>
    <n v="46.381107142857154"/>
    <n v="60.077400000000011"/>
    <n v="23.222599999999986"/>
    <n v="4.9979999999999993"/>
  </r>
  <r>
    <x v="13"/>
    <n v="33"/>
    <s v="Lunes "/>
    <x v="590"/>
    <n v="84.4"/>
    <n v="23.879583521955638"/>
    <n v="0.152"/>
    <n v="71.571200000000005"/>
    <n v="21.144799999999996"/>
    <n v="3.5"/>
    <n v="7.0000000000000007E-2"/>
    <n v="2057"/>
    <n v="0.55600000000000005"/>
    <n v="12.828800000000001"/>
    <n v="46.926400000000008"/>
    <n v="46.472578571428578"/>
    <n v="63.255200000000009"/>
    <n v="21.144799999999996"/>
    <n v="5.9080000000000013"/>
  </r>
  <r>
    <x v="13"/>
    <n v="33"/>
    <s v="Martes"/>
    <x v="591"/>
    <n v="84.45"/>
    <n v="23.893730194658218"/>
    <n v="0.14199999999999999"/>
    <n v="72.458100000000002"/>
    <n v="22.495049999999992"/>
    <n v="3.6"/>
    <n v="6.5000000000000002E-2"/>
    <n v="2081"/>
    <n v="0.54900000000000004"/>
    <n v="11.991899999999999"/>
    <n v="46.363050000000008"/>
    <n v="46.323800000000006"/>
    <n v="61.954950000000011"/>
    <n v="22.495049999999992"/>
    <n v="5.4892500000000002"/>
  </r>
  <r>
    <x v="13"/>
    <n v="33"/>
    <s v="Miercoles"/>
    <x v="592"/>
    <n v="84.35"/>
    <n v="23.865436849253054"/>
    <n v="0.14099999999999999"/>
    <n v="72.456649999999996"/>
    <n v="23.138949999999994"/>
    <n v="3.6"/>
    <n v="6.5000000000000002E-2"/>
    <n v="2080"/>
    <n v="0.54200000000000004"/>
    <n v="11.893349999999998"/>
    <n v="45.717700000000001"/>
    <n v="46.271071428571425"/>
    <n v="61.21105"/>
    <n v="23.138949999999994"/>
    <n v="5.4827500000000002"/>
  </r>
  <r>
    <x v="13"/>
    <n v="33"/>
    <s v="Domingo"/>
    <x v="593"/>
    <n v="84.8"/>
    <n v="23.992756903576279"/>
    <n v="0.14599999999999999"/>
    <n v="72.419200000000004"/>
    <n v="22.348799999999997"/>
    <n v="3.6"/>
    <n v="7.0000000000000007E-2"/>
    <n v="2081"/>
    <n v="0.54800000000000004"/>
    <n v="12.380799999999999"/>
    <n v="46.470400000000005"/>
    <n v="46.309935714285714"/>
    <n v="62.4512"/>
    <n v="22.348799999999997"/>
    <n v="5.9359999999999999"/>
  </r>
  <r>
    <x v="13"/>
    <n v="34"/>
    <s v="Lunes "/>
    <x v="594"/>
    <n v="84.1"/>
    <n v="23.794703485740154"/>
    <n v="0.14099999999999999"/>
    <n v="72.241900000000001"/>
    <n v="23.396099999999997"/>
    <n v="3.6"/>
    <n v="6.5000000000000002E-2"/>
    <n v="2074"/>
    <n v="0.53800000000000003"/>
    <n v="11.858099999999999"/>
    <n v="45.245800000000003"/>
    <n v="46.081907142857141"/>
    <n v="60.703899999999997"/>
    <n v="23.396099999999997"/>
    <n v="5.4664999999999999"/>
  </r>
  <r>
    <x v="13"/>
    <n v="34"/>
    <s v="Martes"/>
    <x v="595"/>
    <n v="83.9"/>
    <n v="23.738116794929837"/>
    <n v="0.14299999999999999"/>
    <n v="71.902300000000011"/>
    <n v="23.415800000000004"/>
    <n v="3.6"/>
    <n v="6.5000000000000002E-2"/>
    <n v="2065"/>
    <n v="0.53500000000000003"/>
    <n v="11.9977"/>
    <n v="44.886500000000005"/>
    <n v="45.917835714285722"/>
    <n v="60.484200000000001"/>
    <n v="23.415800000000004"/>
    <n v="5.4535000000000009"/>
  </r>
  <r>
    <x v="13"/>
    <n v="34"/>
    <s v="Miercoles"/>
    <x v="596"/>
    <n v="84.05"/>
    <n v="23.780556813037574"/>
    <n v="0.14499999999999999"/>
    <n v="71.862750000000005"/>
    <n v="22.723600000000005"/>
    <n v="3.5"/>
    <n v="6.5000000000000002E-2"/>
    <n v="2063"/>
    <n v="0.54300000000000004"/>
    <n v="12.187249999999999"/>
    <n v="45.639150000000001"/>
    <n v="45.892714285714291"/>
    <n v="61.326399999999992"/>
    <n v="22.723600000000005"/>
    <n v="5.4632500000000004"/>
  </r>
  <r>
    <x v="13"/>
    <n v="34"/>
    <s v="Jueves"/>
    <x v="597"/>
    <n v="84.6"/>
    <n v="23.936170212765958"/>
    <n v="0.152"/>
    <n v="71.740799999999993"/>
    <n v="21.795399999999994"/>
    <n v="3.5"/>
    <n v="7.0000000000000007E-2"/>
    <n v="2062"/>
    <n v="0.54900000000000004"/>
    <n v="12.8592"/>
    <n v="46.445399999999999"/>
    <n v="45.824000000000005"/>
    <n v="62.804600000000001"/>
    <n v="21.795399999999994"/>
    <n v="5.9220000000000006"/>
  </r>
  <r>
    <x v="13"/>
    <n v="34"/>
    <s v="Viernes"/>
    <x v="598"/>
    <n v="84.25"/>
    <n v="23.837143503847898"/>
    <n v="0.14799999999999999"/>
    <n v="71.781000000000006"/>
    <n v="22.364750000000001"/>
    <n v="3.5"/>
    <n v="7.0000000000000007E-2"/>
    <n v="2062"/>
    <n v="0.54500000000000004"/>
    <n v="12.468999999999999"/>
    <n v="45.916250000000005"/>
    <n v="45.760171428571425"/>
    <n v="61.885249999999999"/>
    <n v="22.364750000000001"/>
    <n v="5.8975000000000009"/>
  </r>
  <r>
    <x v="14"/>
    <n v="35"/>
    <s v="Lunes "/>
    <x v="599"/>
    <n v="85.2"/>
    <n v="24.105930285196923"/>
    <n v="0.153"/>
    <n v="72.164400000000001"/>
    <n v="21.363599999999991"/>
    <n v="3.6"/>
    <n v="7.0000000000000007E-2"/>
    <n v="2076"/>
    <n v="0.55400000000000005"/>
    <n v="13.035600000000001"/>
    <n v="47.200800000000008"/>
    <n v="45.972042857142867"/>
    <n v="63.836400000000012"/>
    <n v="21.363599999999991"/>
    <n v="5.9640000000000004"/>
  </r>
  <r>
    <x v="14"/>
    <n v="35"/>
    <s v="Martes"/>
    <x v="600"/>
    <n v="83.6"/>
    <n v="23.65323675871435"/>
    <n v="0.13500000000000001"/>
    <n v="72.313999999999993"/>
    <n v="23.235599999999991"/>
    <n v="3.6"/>
    <n v="6.5000000000000002E-2"/>
    <n v="2074"/>
    <n v="0.54400000000000004"/>
    <n v="11.286"/>
    <n v="45.478400000000001"/>
    <n v="45.830328571428581"/>
    <n v="60.364400000000003"/>
    <n v="23.235599999999991"/>
    <n v="5.4340000000000002"/>
  </r>
  <r>
    <x v="14"/>
    <n v="35"/>
    <s v="Miercoles"/>
    <x v="601"/>
    <n v="83.35"/>
    <n v="23.582503395201449"/>
    <n v="0.13800000000000001"/>
    <n v="71.847699999999989"/>
    <n v="23.17199999999999"/>
    <n v="3.5"/>
    <n v="6.5000000000000002E-2"/>
    <n v="2061"/>
    <n v="0.54200000000000004"/>
    <n v="11.5023"/>
    <n v="45.175699999999999"/>
    <n v="45.820314285714296"/>
    <n v="60.178000000000004"/>
    <n v="23.17199999999999"/>
    <n v="5.4177499999999998"/>
  </r>
  <r>
    <x v="14"/>
    <n v="35"/>
    <s v="Jueves"/>
    <x v="602"/>
    <n v="83.85"/>
    <n v="23.723970122227254"/>
    <n v="0.14199999999999999"/>
    <n v="71.943299999999994"/>
    <n v="22.645049999999991"/>
    <n v="3.6"/>
    <n v="6.5000000000000002E-2"/>
    <n v="2065"/>
    <n v="0.54500000000000004"/>
    <n v="11.906699999999999"/>
    <n v="45.698250000000002"/>
    <n v="45.936278571428566"/>
    <n v="61.204950000000004"/>
    <n v="22.645049999999991"/>
    <n v="5.4502499999999996"/>
  </r>
  <r>
    <x v="14"/>
    <n v="35"/>
    <s v="Viernes"/>
    <x v="603"/>
    <n v="83.8"/>
    <n v="23.709823449524674"/>
    <n v="0.14199999999999999"/>
    <n v="71.900400000000005"/>
    <n v="22.378"/>
    <n v="3.6"/>
    <n v="6.5000000000000002E-2"/>
    <n v="2064"/>
    <n v="0.54800000000000004"/>
    <n v="11.899599999999998"/>
    <n v="45.922400000000003"/>
    <n v="45.97674285714286"/>
    <n v="61.421999999999997"/>
    <n v="22.378"/>
    <n v="5.4470000000000001"/>
  </r>
  <r>
    <x v="14"/>
    <n v="35"/>
    <s v="Sabado"/>
    <x v="604"/>
    <n v="84"/>
    <n v="23.766410140334994"/>
    <n v="0.15"/>
    <n v="71.400000000000006"/>
    <n v="22.036000000000001"/>
    <n v="3.5"/>
    <n v="7.0000000000000007E-2"/>
    <n v="2050"/>
    <n v="0.54600000000000004"/>
    <n v="12.6"/>
    <n v="45.864000000000004"/>
    <n v="45.893685714285716"/>
    <n v="61.963999999999999"/>
    <n v="22.036000000000001"/>
    <n v="5.8800000000000008"/>
  </r>
  <r>
    <x v="14"/>
    <n v="35"/>
    <s v="Domingo"/>
    <x v="605"/>
    <n v="84.2"/>
    <n v="23.822996831145318"/>
    <n v="0.151"/>
    <n v="71.485799999999998"/>
    <n v="22.096799999999995"/>
    <n v="3.5"/>
    <n v="7.0000000000000007E-2"/>
    <n v="2054"/>
    <n v="0.54500000000000004"/>
    <n v="12.7142"/>
    <n v="45.889000000000003"/>
    <n v="45.889792857142865"/>
    <n v="62.103200000000008"/>
    <n v="22.096799999999995"/>
    <n v="5.894000000000001"/>
  </r>
  <r>
    <x v="14"/>
    <n v="36"/>
    <s v="Lunes "/>
    <x v="606"/>
    <n v="84.5"/>
    <n v="23.907876867360798"/>
    <n v="0.15"/>
    <n v="71.825000000000003"/>
    <n v="21.765499999999996"/>
    <n v="3.5"/>
    <n v="7.0000000000000007E-2"/>
    <n v="2064"/>
    <n v="0.55100000000000005"/>
    <n v="12.674999999999999"/>
    <n v="46.559500000000007"/>
    <n v="45.798178571428579"/>
    <n v="62.734500000000004"/>
    <n v="21.765499999999996"/>
    <n v="5.9150000000000009"/>
  </r>
  <r>
    <x v="14"/>
    <n v="36"/>
    <s v="Martes"/>
    <x v="607"/>
    <n v="83.3"/>
    <n v="23.568356722498869"/>
    <n v="0.13400000000000001"/>
    <n v="72.137799999999999"/>
    <n v="22.639499999999998"/>
    <n v="3.6"/>
    <n v="6.5000000000000002E-2"/>
    <n v="2067"/>
    <n v="0.55100000000000005"/>
    <n v="11.1622"/>
    <n v="45.898299999999999"/>
    <n v="45.858164285714288"/>
    <n v="60.660499999999999"/>
    <n v="22.639499999999998"/>
    <n v="5.4145000000000003"/>
  </r>
  <r>
    <x v="14"/>
    <n v="36"/>
    <s v="Miercoles"/>
    <x v="608"/>
    <n v="83"/>
    <n v="23.483476686283389"/>
    <n v="0.13400000000000001"/>
    <n v="71.878"/>
    <n v="22.811"/>
    <n v="3.5"/>
    <n v="6.5000000000000002E-2"/>
    <n v="2060"/>
    <n v="0.54900000000000004"/>
    <n v="11.122"/>
    <n v="45.567"/>
    <n v="45.914064285714289"/>
    <n v="60.189"/>
    <n v="22.811"/>
    <n v="5.3950000000000005"/>
  </r>
  <r>
    <x v="14"/>
    <n v="36"/>
    <s v="Jueves"/>
    <x v="609"/>
    <n v="83.35"/>
    <n v="23.582503395201449"/>
    <n v="0.14000000000000001"/>
    <n v="71.680999999999997"/>
    <n v="22.338499999999996"/>
    <n v="3.5"/>
    <n v="6.5000000000000002E-2"/>
    <n v="2055"/>
    <n v="0.55000000000000004"/>
    <n v="11.669"/>
    <n v="45.842500000000001"/>
    <n v="45.934671428571441"/>
    <n v="61.011499999999998"/>
    <n v="22.338499999999996"/>
    <n v="5.4177499999999998"/>
  </r>
  <r>
    <x v="14"/>
    <n v="36"/>
    <s v="Viernes"/>
    <x v="610"/>
    <n v="83.2"/>
    <n v="23.540063377093709"/>
    <n v="0.13400000000000001"/>
    <n v="72.051199999999994"/>
    <n v="22.940799999999989"/>
    <n v="3.6"/>
    <n v="6.5000000000000002E-2"/>
    <n v="2065"/>
    <n v="0.54700000000000004"/>
    <n v="11.148800000000001"/>
    <n v="45.510400000000004"/>
    <n v="45.875814285714291"/>
    <n v="60.259200000000014"/>
    <n v="22.940799999999989"/>
    <n v="5.4080000000000004"/>
  </r>
  <r>
    <x v="14"/>
    <n v="36"/>
    <s v="Sabado"/>
    <x v="611"/>
    <n v="83.25"/>
    <n v="23.554210049796289"/>
    <n v="0.13900000000000001"/>
    <n v="71.678249999999991"/>
    <n v="22.806999999999988"/>
    <n v="3.5"/>
    <n v="6.5000000000000002E-2"/>
    <n v="2056"/>
    <n v="0.54500000000000004"/>
    <n v="11.571750000000002"/>
    <n v="45.371250000000003"/>
    <n v="45.805421428571435"/>
    <n v="60.443000000000012"/>
    <n v="22.806999999999988"/>
    <n v="5.4112499999999999"/>
  </r>
  <r>
    <x v="14"/>
    <n v="36"/>
    <s v="Domingo"/>
    <x v="612"/>
    <n v="83.9"/>
    <n v="23.738116794929837"/>
    <n v="0.14499999999999999"/>
    <n v="71.734500000000011"/>
    <n v="21.586100000000002"/>
    <n v="3.5"/>
    <n v="6.5000000000000002E-2"/>
    <n v="2059"/>
    <n v="0.55600000000000005"/>
    <n v="12.1655"/>
    <n v="46.648400000000009"/>
    <n v="45.913907142857155"/>
    <n v="62.313900000000004"/>
    <n v="21.586100000000002"/>
    <n v="5.4535000000000009"/>
  </r>
  <r>
    <x v="14"/>
    <n v="37"/>
    <s v="Lunes "/>
    <x v="613"/>
    <n v="84.35"/>
    <n v="23.865436849253054"/>
    <n v="0.14099999999999999"/>
    <n v="72.456649999999996"/>
    <n v="21.704999999999991"/>
    <n v="3.6"/>
    <n v="6.5000000000000002E-2"/>
    <n v="2079"/>
    <n v="0.55900000000000005"/>
    <n v="11.893349999999998"/>
    <n v="47.151650000000004"/>
    <n v="45.9985"/>
    <n v="62.645000000000003"/>
    <n v="21.704999999999991"/>
    <n v="5.4827500000000002"/>
  </r>
  <r>
    <x v="14"/>
    <n v="37"/>
    <s v="Martes"/>
    <x v="614"/>
    <n v="83.35"/>
    <n v="23.582503395201449"/>
    <n v="0.14000000000000001"/>
    <n v="71.680999999999997"/>
    <n v="22.155149999999992"/>
    <n v="3.6"/>
    <n v="6.5000000000000002E-2"/>
    <n v="2056"/>
    <n v="0.55100000000000005"/>
    <n v="11.669"/>
    <n v="45.925850000000004"/>
    <n v="46.002435714285717"/>
    <n v="61.194850000000002"/>
    <n v="22.155149999999992"/>
    <n v="5.4177499999999998"/>
  </r>
  <r>
    <x v="14"/>
    <n v="37"/>
    <s v="Jueves"/>
    <x v="615"/>
    <n v="84.35"/>
    <n v="23.865436849253054"/>
    <n v="0.14199999999999999"/>
    <n v="72.372299999999996"/>
    <n v="22.717199999999991"/>
    <n v="3.6"/>
    <n v="6.5000000000000002E-2"/>
    <n v="2077"/>
    <n v="0.54600000000000004"/>
    <n v="11.977699999999999"/>
    <n v="46.055100000000003"/>
    <n v="46.072164285714287"/>
    <n v="61.632800000000003"/>
    <n v="22.717199999999991"/>
    <n v="5.4827500000000002"/>
  </r>
  <r>
    <x v="14"/>
    <n v="37"/>
    <s v="Viernes"/>
    <x v="616"/>
    <n v="84"/>
    <n v="23.766410140334994"/>
    <n v="0.13600000000000001"/>
    <n v="72.575999999999993"/>
    <n v="23.195999999999991"/>
    <n v="3.6"/>
    <n v="6.5000000000000002E-2"/>
    <n v="2081"/>
    <n v="0.54500000000000004"/>
    <n v="11.424000000000001"/>
    <n v="45.78"/>
    <n v="46.063235714285724"/>
    <n v="60.804000000000009"/>
    <n v="23.195999999999991"/>
    <n v="5.46"/>
  </r>
  <r>
    <x v="14"/>
    <n v="37"/>
    <s v="Sabado"/>
    <x v="617"/>
    <n v="83.4"/>
    <n v="23.596650067904033"/>
    <n v="0.13800000000000001"/>
    <n v="71.890799999999999"/>
    <n v="23.087999999999994"/>
    <n v="3.6"/>
    <n v="6.5000000000000002E-2"/>
    <n v="2062"/>
    <n v="0.54200000000000004"/>
    <n v="11.509200000000002"/>
    <n v="45.202800000000003"/>
    <n v="46.019292857142872"/>
    <n v="60.312000000000012"/>
    <n v="23.087999999999994"/>
    <n v="5.4210000000000003"/>
  </r>
  <r>
    <x v="14"/>
    <n v="37"/>
    <s v="Domingo"/>
    <x v="618"/>
    <n v="84"/>
    <n v="23.766410140334994"/>
    <n v="0.14000000000000001"/>
    <n v="72.239999999999995"/>
    <n v="22.439999999999991"/>
    <n v="3.6"/>
    <n v="6.5000000000000002E-2"/>
    <n v="2074"/>
    <n v="0.55000000000000004"/>
    <n v="11.760000000000002"/>
    <n v="46.2"/>
    <n v="46.137685714285723"/>
    <n v="61.560000000000009"/>
    <n v="22.439999999999991"/>
    <n v="5.46"/>
  </r>
  <r>
    <x v="14"/>
    <n v="38"/>
    <s v="Miercoles"/>
    <x v="619"/>
    <n v="84.55"/>
    <n v="23.922023540063378"/>
    <n v="0.14899999999999999"/>
    <n v="71.95205"/>
    <n v="21.257699999999993"/>
    <n v="3.6"/>
    <n v="7.0000000000000007E-2"/>
    <n v="2067"/>
    <n v="0.55700000000000005"/>
    <n v="12.597949999999999"/>
    <n v="47.094350000000006"/>
    <n v="46.201392857142864"/>
    <n v="63.292300000000004"/>
    <n v="21.257699999999993"/>
    <n v="5.9185000000000008"/>
  </r>
  <r>
    <x v="14"/>
    <n v="38"/>
    <s v="Viernes"/>
    <x v="620"/>
    <n v="83.7"/>
    <n v="23.681530104119513"/>
    <n v="0.13900000000000001"/>
    <n v="72.065700000000007"/>
    <n v="22.430700000000002"/>
    <n v="3.6"/>
    <n v="6.5000000000000002E-2"/>
    <n v="2067"/>
    <n v="0.55000000000000004"/>
    <n v="11.634300000000001"/>
    <n v="46.035000000000004"/>
    <n v="46.041871428571433"/>
    <n v="61.269300000000001"/>
    <n v="22.430700000000002"/>
    <n v="5.4405000000000001"/>
  </r>
  <r>
    <x v="14"/>
    <n v="38"/>
    <s v="Sabado"/>
    <x v="621"/>
    <n v="83.7"/>
    <n v="23.681530104119513"/>
    <n v="0.14199999999999999"/>
    <n v="71.814599999999999"/>
    <n v="22.530699999999996"/>
    <n v="3.5"/>
    <n v="6.5000000000000002E-2"/>
    <n v="2060"/>
    <n v="0.54700000000000004"/>
    <n v="11.885399999999999"/>
    <n v="45.783900000000003"/>
    <n v="46.021592857142871"/>
    <n v="61.169300000000007"/>
    <n v="22.530699999999996"/>
    <n v="5.4405000000000001"/>
  </r>
  <r>
    <x v="14"/>
    <n v="38"/>
    <s v="Domingo"/>
    <x v="622"/>
    <n v="84.35"/>
    <n v="23.865436849253054"/>
    <n v="0.14499999999999999"/>
    <n v="72.119249999999994"/>
    <n v="22.042399999999994"/>
    <n v="3.6"/>
    <n v="6.5000000000000002E-2"/>
    <n v="2070"/>
    <n v="0.55100000000000005"/>
    <n v="12.230749999999999"/>
    <n v="46.476849999999999"/>
    <n v="46.08184285714286"/>
    <n v="62.307600000000001"/>
    <n v="22.042399999999994"/>
    <n v="5.4827500000000002"/>
  </r>
  <r>
    <x v="14"/>
    <n v="39"/>
    <s v="Lunes "/>
    <x v="623"/>
    <n v="83.9"/>
    <n v="23.738116794929837"/>
    <n v="0.14000000000000001"/>
    <n v="72.153999999999996"/>
    <n v="22.408999999999985"/>
    <n v="3.6"/>
    <n v="6.5000000000000002E-2"/>
    <n v="2070"/>
    <n v="0.55000000000000004"/>
    <n v="11.746000000000002"/>
    <n v="46.14500000000001"/>
    <n v="46.133985714285714"/>
    <n v="61.491000000000021"/>
    <n v="22.408999999999985"/>
    <n v="5.4535000000000009"/>
  </r>
  <r>
    <x v="14"/>
    <n v="39"/>
    <s v="Martes"/>
    <x v="624"/>
    <n v="83.35"/>
    <n v="23.582503395201449"/>
    <n v="0.13700000000000001"/>
    <n v="71.931049999999999"/>
    <n v="22.905299999999997"/>
    <n v="3.6"/>
    <n v="6.5000000000000002E-2"/>
    <n v="2062"/>
    <n v="0.54500000000000004"/>
    <n v="11.418950000000001"/>
    <n v="45.425750000000001"/>
    <n v="46.165835714285713"/>
    <n v="60.444699999999997"/>
    <n v="22.905299999999997"/>
    <n v="5.4177499999999998"/>
  </r>
  <r>
    <x v="14"/>
    <n v="39"/>
    <s v="Miercoles"/>
    <x v="625"/>
    <n v="84.95"/>
    <n v="24.035196921684022"/>
    <n v="0.155"/>
    <n v="71.782750000000007"/>
    <n v="21.22045"/>
    <n v="3.5"/>
    <n v="7.0000000000000007E-2"/>
    <n v="2065"/>
    <n v="0.55400000000000005"/>
    <n v="13.167250000000001"/>
    <n v="47.062300000000008"/>
    <n v="46.289021428571438"/>
    <n v="63.729550000000003"/>
    <n v="21.22045"/>
    <n v="5.9465000000000003"/>
  </r>
  <r>
    <x v="14"/>
    <n v="39"/>
    <s v="Jueves"/>
    <x v="626"/>
    <n v="84.45"/>
    <n v="23.893730194658218"/>
    <n v="0.14199999999999999"/>
    <n v="72.458100000000002"/>
    <n v="22.326149999999998"/>
    <n v="3.6"/>
    <n v="6.5000000000000002E-2"/>
    <n v="2080"/>
    <n v="0.55100000000000005"/>
    <n v="11.991899999999999"/>
    <n v="46.531950000000002"/>
    <n v="46.208678571428571"/>
    <n v="62.123850000000004"/>
    <n v="22.326149999999998"/>
    <n v="5.4892500000000002"/>
  </r>
  <r>
    <x v="14"/>
    <n v="39"/>
    <s v="Viernes"/>
    <x v="627"/>
    <n v="84.05"/>
    <n v="23.780556813037574"/>
    <n v="0.13900000000000001"/>
    <n v="72.367049999999992"/>
    <n v="22.791699999999992"/>
    <n v="3.6"/>
    <n v="6.5000000000000002E-2"/>
    <n v="2075"/>
    <n v="0.54700000000000004"/>
    <n v="11.68295"/>
    <n v="45.975349999999999"/>
    <n v="46.200157142857144"/>
    <n v="61.258300000000006"/>
    <n v="22.791699999999992"/>
    <n v="5.4632500000000004"/>
  </r>
  <r>
    <x v="14"/>
    <n v="39"/>
    <s v="Sabado"/>
    <x v="628"/>
    <n v="83.45"/>
    <n v="23.610796740606613"/>
    <n v="0.13800000000000001"/>
    <n v="71.933899999999994"/>
    <n v="23.187449999999991"/>
    <n v="3.6"/>
    <n v="6.5000000000000002E-2"/>
    <n v="2062"/>
    <n v="0.54100000000000004"/>
    <n v="11.516100000000002"/>
    <n v="45.146450000000002"/>
    <n v="46.109092857142862"/>
    <n v="60.262550000000012"/>
    <n v="23.187449999999991"/>
    <n v="5.4242500000000007"/>
  </r>
  <r>
    <x v="14"/>
    <n v="39"/>
    <s v="Domingo"/>
    <x v="629"/>
    <n v="83.75"/>
    <n v="23.695676776822094"/>
    <n v="0.13200000000000001"/>
    <n v="72.694999999999993"/>
    <n v="22.697499999999991"/>
    <n v="3.6"/>
    <n v="6.5000000000000002E-2"/>
    <n v="2084"/>
    <n v="0.55400000000000005"/>
    <n v="11.055"/>
    <n v="46.397500000000001"/>
    <n v="46.097757142857141"/>
    <n v="61.052500000000009"/>
    <n v="22.697499999999991"/>
    <n v="5.4437500000000005"/>
  </r>
  <r>
    <x v="14"/>
    <n v="40"/>
    <s v="Lunes "/>
    <x v="630"/>
    <n v="83.55"/>
    <n v="23.63909008601177"/>
    <n v="0.13500000000000001"/>
    <n v="72.270749999999992"/>
    <n v="22.300499999999985"/>
    <n v="3.6"/>
    <n v="6.5000000000000002E-2"/>
    <n v="2072"/>
    <n v="0.55500000000000005"/>
    <n v="11.279250000000001"/>
    <n v="46.370250000000006"/>
    <n v="46.129935714285708"/>
    <n v="61.249500000000012"/>
    <n v="22.300499999999985"/>
    <n v="5.4307499999999997"/>
  </r>
  <r>
    <x v="14"/>
    <n v="40"/>
    <s v="Martes"/>
    <x v="631"/>
    <n v="83.45"/>
    <n v="23.610796740606613"/>
    <n v="0.13200000000000001"/>
    <n v="72.434600000000003"/>
    <n v="22.770199999999996"/>
    <n v="3.6"/>
    <n v="6.5000000000000002E-2"/>
    <n v="2076"/>
    <n v="0.55200000000000005"/>
    <n v="11.015400000000001"/>
    <n v="46.064400000000006"/>
    <n v="46.221171428571438"/>
    <n v="60.679800000000007"/>
    <n v="22.770199999999996"/>
    <n v="5.4242500000000007"/>
  </r>
  <r>
    <x v="14"/>
    <n v="40"/>
    <s v="Miercoles"/>
    <x v="632"/>
    <n v="83.25"/>
    <n v="23.554210049796289"/>
    <n v="0.13400000000000001"/>
    <n v="72.094499999999996"/>
    <n v="22.873499999999993"/>
    <n v="3.6"/>
    <n v="6.5000000000000002E-2"/>
    <n v="2067"/>
    <n v="0.54800000000000004"/>
    <n v="11.1555"/>
    <n v="45.621000000000002"/>
    <n v="46.015271428571431"/>
    <n v="60.376500000000007"/>
    <n v="22.873499999999993"/>
    <n v="5.4112499999999999"/>
  </r>
  <r>
    <x v="14"/>
    <n v="40"/>
    <s v="Jueves"/>
    <x v="633"/>
    <n v="83.35"/>
    <n v="23.582503395201449"/>
    <n v="0.13600000000000001"/>
    <n v="72.014399999999995"/>
    <n v="22.738599999999991"/>
    <n v="3.6"/>
    <n v="6.5000000000000002E-2"/>
    <n v="2065"/>
    <n v="0.54800000000000004"/>
    <n v="11.335599999999999"/>
    <n v="45.675800000000002"/>
    <n v="45.892964285714285"/>
    <n v="60.611400000000003"/>
    <n v="22.738599999999991"/>
    <n v="5.4177499999999998"/>
  </r>
  <r>
    <x v="14"/>
    <n v="40"/>
    <s v="Viernes"/>
    <x v="634"/>
    <n v="82.95"/>
    <n v="23.469330013580809"/>
    <n v="0.129"/>
    <n v="72.249449999999996"/>
    <n v="22.52924999999999"/>
    <n v="3.6"/>
    <n v="0.06"/>
    <n v="2068"/>
    <n v="0.55600000000000005"/>
    <n v="10.70055"/>
    <n v="46.120200000000004"/>
    <n v="45.91365714285714"/>
    <n v="60.420750000000012"/>
    <n v="22.52924999999999"/>
    <n v="4.9770000000000003"/>
  </r>
  <r>
    <x v="14"/>
    <n v="40"/>
    <s v="Sabado"/>
    <x v="635"/>
    <n v="83"/>
    <n v="23.483476686283389"/>
    <n v="0.13300000000000001"/>
    <n v="71.960999999999999"/>
    <n v="22.710999999999991"/>
    <n v="3.6"/>
    <n v="6.5000000000000002E-2"/>
    <n v="2063"/>
    <n v="0.55000000000000004"/>
    <n v="11.039000000000001"/>
    <n v="45.650000000000006"/>
    <n v="45.985592857142869"/>
    <n v="60.289000000000009"/>
    <n v="22.710999999999991"/>
    <n v="5.3950000000000005"/>
  </r>
  <r>
    <x v="14"/>
    <n v="40"/>
    <s v="Domingo"/>
    <x v="636"/>
    <n v="83.6"/>
    <n v="23.65323675871435"/>
    <n v="0.13600000000000001"/>
    <n v="72.230399999999989"/>
    <n v="22.483199999999989"/>
    <n v="3.6"/>
    <n v="6.5000000000000002E-2"/>
    <n v="2071"/>
    <n v="0.55200000000000005"/>
    <n v="11.3696"/>
    <n v="46.147199999999998"/>
    <n v="45.949835714285719"/>
    <n v="61.116800000000005"/>
    <n v="22.483199999999989"/>
    <n v="5.4340000000000002"/>
  </r>
  <r>
    <x v="14"/>
    <n v="41"/>
    <s v="Lunes "/>
    <x v="637"/>
    <n v="84.5"/>
    <n v="23.907876867360798"/>
    <n v="0.14499999999999999"/>
    <n v="72.247500000000002"/>
    <n v="21.665499999999994"/>
    <n v="3.6"/>
    <n v="6.5000000000000002E-2"/>
    <n v="2075"/>
    <n v="0.55600000000000005"/>
    <n v="12.2525"/>
    <n v="46.982000000000006"/>
    <n v="46.037228571428578"/>
    <n v="62.834500000000006"/>
    <n v="21.665499999999994"/>
    <n v="5.4925000000000006"/>
  </r>
  <r>
    <x v="14"/>
    <n v="41"/>
    <s v="Martes"/>
    <x v="638"/>
    <n v="84.2"/>
    <n v="23.822996831145318"/>
    <n v="0.14499999999999999"/>
    <n v="71.991"/>
    <n v="21.828399999999995"/>
    <n v="3.6"/>
    <n v="6.5000000000000002E-2"/>
    <n v="2068"/>
    <n v="0.55300000000000005"/>
    <n v="12.209"/>
    <n v="46.562600000000003"/>
    <n v="46.10840000000001"/>
    <n v="62.371600000000008"/>
    <n v="21.828399999999995"/>
    <n v="5.4730000000000008"/>
  </r>
  <r>
    <x v="14"/>
    <n v="41"/>
    <s v="Miercoles"/>
    <x v="639"/>
    <n v="83.85"/>
    <n v="23.723970122227254"/>
    <n v="0.13700000000000001"/>
    <n v="72.362549999999999"/>
    <n v="22.645049999999998"/>
    <n v="3.6"/>
    <n v="6.5000000000000002E-2"/>
    <n v="2075"/>
    <n v="0.55000000000000004"/>
    <n v="11.487450000000001"/>
    <n v="46.1175"/>
    <n v="46.179328571428577"/>
    <n v="61.204949999999997"/>
    <n v="22.645049999999998"/>
    <n v="5.4502499999999996"/>
  </r>
  <r>
    <x v="14"/>
    <n v="41"/>
    <s v="Jueves"/>
    <x v="640"/>
    <n v="83.4"/>
    <n v="23.596650067904033"/>
    <n v="0.13300000000000001"/>
    <n v="72.3078"/>
    <n v="23.087999999999994"/>
    <n v="3.6"/>
    <n v="6.5000000000000002E-2"/>
    <n v="2072"/>
    <n v="0.54700000000000004"/>
    <n v="11.092200000000002"/>
    <n v="45.619800000000005"/>
    <n v="46.171328571428567"/>
    <n v="60.312000000000012"/>
    <n v="23.087999999999994"/>
    <n v="5.4210000000000003"/>
  </r>
  <r>
    <x v="14"/>
    <n v="41"/>
    <s v="Viernes"/>
    <x v="641"/>
    <n v="83.2"/>
    <n v="23.540063377093709"/>
    <n v="0.13200000000000001"/>
    <n v="72.217600000000004"/>
    <n v="23.107199999999999"/>
    <n v="3.6"/>
    <n v="6.5000000000000002E-2"/>
    <n v="2070"/>
    <n v="0.54700000000000004"/>
    <n v="10.9824"/>
    <n v="45.510400000000004"/>
    <n v="46.084214285714289"/>
    <n v="60.092800000000004"/>
    <n v="23.107199999999999"/>
    <n v="5.4080000000000004"/>
  </r>
  <r>
    <x v="14"/>
    <n v="41"/>
    <s v="Sabado"/>
    <x v="642"/>
    <n v="82.85"/>
    <n v="23.441036668175645"/>
    <n v="0.13600000000000001"/>
    <n v="71.582399999999993"/>
    <n v="22.846299999999992"/>
    <n v="3.5"/>
    <n v="6.5000000000000002E-2"/>
    <n v="2045"/>
    <n v="0.54600000000000004"/>
    <n v="11.2676"/>
    <n v="45.2361"/>
    <n v="46.025085714285716"/>
    <n v="60.003700000000002"/>
    <n v="22.846299999999992"/>
    <n v="5.3852500000000001"/>
  </r>
  <r>
    <x v="14"/>
    <n v="41"/>
    <s v="Domingo"/>
    <x v="643"/>
    <n v="83.3"/>
    <n v="23.568356722498869"/>
    <n v="0.13800000000000001"/>
    <n v="71.804599999999994"/>
    <n v="22.406299999999995"/>
    <n v="3.5"/>
    <n v="6.5000000000000002E-2"/>
    <n v="2058"/>
    <n v="0.55100000000000005"/>
    <n v="11.4954"/>
    <n v="45.898299999999999"/>
    <n v="45.989528571428579"/>
    <n v="60.893700000000003"/>
    <n v="22.406299999999995"/>
    <n v="5.4145000000000003"/>
  </r>
  <r>
    <x v="14"/>
    <n v="42"/>
    <s v="Lunes "/>
    <x v="644"/>
    <n v="84.75"/>
    <n v="23.978610230873699"/>
    <n v="0.14399999999999999"/>
    <n v="72.546000000000006"/>
    <n v="21.570750000000004"/>
    <n v="3.6"/>
    <n v="6.5000000000000002E-2"/>
    <n v="2085"/>
    <n v="0.55900000000000005"/>
    <n v="12.203999999999999"/>
    <n v="47.375250000000001"/>
    <n v="46.045707142857147"/>
    <n v="63.179249999999996"/>
    <n v="21.570750000000004"/>
    <n v="5.50875"/>
  </r>
  <r>
    <x v="14"/>
    <n v="42"/>
    <s v="Martes"/>
    <x v="645"/>
    <n v="83.9"/>
    <n v="23.738116794929837"/>
    <n v="0.13800000000000001"/>
    <n v="72.321799999999996"/>
    <n v="22.241199999999985"/>
    <n v="3.6"/>
    <n v="6.5000000000000002E-2"/>
    <n v="2073"/>
    <n v="0.55400000000000005"/>
    <n v="11.578200000000002"/>
    <n v="46.48060000000001"/>
    <n v="46.03399285714287"/>
    <n v="61.658800000000021"/>
    <n v="22.241199999999985"/>
    <n v="5.4535000000000009"/>
  </r>
  <r>
    <x v="14"/>
    <n v="42"/>
    <s v="Miercoles"/>
    <x v="646"/>
    <n v="83.7"/>
    <n v="23.681530104119513"/>
    <n v="0.13800000000000001"/>
    <n v="72.1494"/>
    <n v="22.430699999999995"/>
    <n v="3.6"/>
    <n v="6.5000000000000002E-2"/>
    <n v="2069"/>
    <n v="0.55100000000000005"/>
    <n v="11.550600000000001"/>
    <n v="46.118700000000004"/>
    <n v="46.034164285714283"/>
    <n v="61.269300000000008"/>
    <n v="22.430699999999995"/>
    <n v="5.4405000000000001"/>
  </r>
  <r>
    <x v="14"/>
    <n v="42"/>
    <s v="Jueves"/>
    <x v="647"/>
    <n v="83.4"/>
    <n v="23.596650067904033"/>
    <n v="0.13100000000000001"/>
    <n v="72.474600000000009"/>
    <n v="22.921199999999999"/>
    <n v="3.6"/>
    <n v="0.06"/>
    <n v="2078"/>
    <n v="0.55100000000000005"/>
    <n v="10.925400000000002"/>
    <n v="45.953400000000009"/>
    <n v="46.081821428571423"/>
    <n v="60.478800000000007"/>
    <n v="22.921199999999999"/>
    <n v="5.0040000000000004"/>
  </r>
  <r>
    <x v="14"/>
    <n v="42"/>
    <s v="Viernes"/>
    <x v="648"/>
    <n v="83.1"/>
    <n v="23.511770031688545"/>
    <n v="0.13200000000000001"/>
    <n v="72.130799999999994"/>
    <n v="22.99199999999999"/>
    <n v="3.6"/>
    <n v="6.5000000000000002E-2"/>
    <n v="2066"/>
    <n v="0.54800000000000004"/>
    <n v="10.969199999999999"/>
    <n v="45.538800000000002"/>
    <n v="46.085878571428566"/>
    <n v="60.108000000000004"/>
    <n v="22.99199999999999"/>
    <n v="5.4014999999999995"/>
  </r>
  <r>
    <x v="14"/>
    <n v="42"/>
    <s v="Sabado"/>
    <x v="649"/>
    <n v="83"/>
    <n v="23.483476686283389"/>
    <n v="0.129"/>
    <n v="72.293000000000006"/>
    <n v="22.96"/>
    <n v="3.6"/>
    <n v="0.06"/>
    <n v="2070"/>
    <n v="0.55100000000000005"/>
    <n v="10.707000000000001"/>
    <n v="45.733000000000004"/>
    <n v="46.156864285714292"/>
    <n v="60.04"/>
    <n v="22.96"/>
    <n v="4.9799999999999995"/>
  </r>
  <r>
    <x v="14"/>
    <n v="42"/>
    <s v="Domingo"/>
    <x v="650"/>
    <n v="83.15"/>
    <n v="23.525916704391129"/>
    <n v="0.13500000000000001"/>
    <n v="71.924750000000003"/>
    <n v="22.592249999999993"/>
    <n v="3.6"/>
    <n v="6.5000000000000002E-2"/>
    <n v="2062"/>
    <n v="0.55000000000000004"/>
    <n v="11.225250000000001"/>
    <n v="45.732500000000009"/>
    <n v="46.13317857142858"/>
    <n v="60.557750000000013"/>
    <n v="22.592249999999993"/>
    <n v="5.4047500000000008"/>
  </r>
  <r>
    <x v="14"/>
    <n v="43"/>
    <s v="Lunes "/>
    <x v="651"/>
    <n v="82.7"/>
    <n v="23.398596650067905"/>
    <n v="0.13300000000000001"/>
    <n v="71.700900000000004"/>
    <n v="22.633200000000002"/>
    <n v="3.5"/>
    <n v="0.06"/>
    <n v="2054"/>
    <n v="0.55100000000000005"/>
    <n v="10.9991"/>
    <n v="45.567700000000002"/>
    <n v="45.874957142857149"/>
    <n v="60.066800000000001"/>
    <n v="22.633200000000002"/>
    <n v="4.9619999999999997"/>
  </r>
  <r>
    <x v="14"/>
    <n v="43"/>
    <s v="Martes"/>
    <x v="652"/>
    <n v="83"/>
    <n v="23.483476686283389"/>
    <n v="0.13300000000000001"/>
    <n v="71.960999999999999"/>
    <n v="22.876999999999995"/>
    <n v="3.6"/>
    <n v="0.06"/>
    <n v="2063"/>
    <n v="0.54800000000000004"/>
    <n v="11.039000000000001"/>
    <n v="45.484000000000002"/>
    <n v="45.732585714285719"/>
    <n v="60.123000000000005"/>
    <n v="22.876999999999995"/>
    <n v="4.9799999999999995"/>
  </r>
  <r>
    <x v="14"/>
    <n v="43"/>
    <s v="Miercoles"/>
    <x v="653"/>
    <n v="82.5"/>
    <n v="23.342009959257584"/>
    <n v="0.13200000000000001"/>
    <n v="71.61"/>
    <n v="22.9"/>
    <n v="3.5"/>
    <n v="0.06"/>
    <n v="2049"/>
    <n v="0.54800000000000004"/>
    <n v="10.89"/>
    <n v="45.21"/>
    <n v="45.60277142857143"/>
    <n v="59.6"/>
    <n v="22.9"/>
    <n v="4.95"/>
  </r>
  <r>
    <x v="14"/>
    <n v="43"/>
    <s v="Jueves"/>
    <x v="654"/>
    <n v="82.45"/>
    <n v="23.327863286555004"/>
    <n v="0.126"/>
    <n v="72.061300000000003"/>
    <n v="22.701549999999997"/>
    <n v="3.6"/>
    <n v="0.06"/>
    <n v="2062"/>
    <n v="0.55500000000000005"/>
    <n v="10.3887"/>
    <n v="45.759750000000004"/>
    <n v="45.575107142857142"/>
    <n v="59.748450000000005"/>
    <n v="22.701549999999997"/>
    <n v="4.9470000000000001"/>
  </r>
  <r>
    <x v="14"/>
    <n v="43"/>
    <s v="Viernes"/>
    <x v="655"/>
    <n v="82.35"/>
    <n v="23.299569941149841"/>
    <n v="0.123"/>
    <n v="72.220949999999988"/>
    <n v="22.834349999999986"/>
    <n v="3.6"/>
    <n v="0.06"/>
    <n v="2066"/>
    <n v="0.55600000000000005"/>
    <n v="10.129049999999999"/>
    <n v="45.7866"/>
    <n v="45.610507142857152"/>
    <n v="59.515650000000008"/>
    <n v="22.834349999999986"/>
    <n v="4.9409999999999998"/>
  </r>
  <r>
    <x v="14"/>
    <n v="43"/>
    <s v="Sabado"/>
    <x v="656"/>
    <n v="82.65"/>
    <n v="23.384449977365328"/>
    <n v="0.128"/>
    <n v="72.070800000000006"/>
    <n v="23.013299999999994"/>
    <n v="3.6"/>
    <n v="0.06"/>
    <n v="2064"/>
    <n v="0.55000000000000004"/>
    <n v="10.5792"/>
    <n v="45.45750000000001"/>
    <n v="45.571150000000003"/>
    <n v="59.636700000000012"/>
    <n v="23.013299999999994"/>
    <n v="4.9590000000000005"/>
  </r>
  <r>
    <x v="14"/>
    <n v="43"/>
    <s v="Domingo"/>
    <x v="657"/>
    <n v="82.15"/>
    <n v="23.242983250339524"/>
    <n v="0.13"/>
    <n v="71.470500000000001"/>
    <n v="22.212949999999992"/>
    <n v="3.5"/>
    <n v="0.06"/>
    <n v="2045"/>
    <n v="0.55700000000000005"/>
    <n v="10.679500000000001"/>
    <n v="45.757550000000009"/>
    <n v="45.574728571428572"/>
    <n v="59.937050000000013"/>
    <n v="22.212949999999992"/>
    <n v="4.9290000000000003"/>
  </r>
  <r>
    <x v="14"/>
    <n v="44"/>
    <s v="Lunes "/>
    <x v="658"/>
    <n v="82.55"/>
    <n v="23.356156631960165"/>
    <n v="0.126"/>
    <n v="72.148699999999991"/>
    <n v="22.733449999999991"/>
    <n v="3.6"/>
    <n v="0.06"/>
    <n v="2064"/>
    <n v="0.55500000000000005"/>
    <n v="10.401299999999999"/>
    <n v="45.815249999999999"/>
    <n v="45.610092857142867"/>
    <n v="59.816550000000007"/>
    <n v="22.733449999999991"/>
    <n v="4.9529999999999994"/>
  </r>
  <r>
    <x v="14"/>
    <n v="44"/>
    <s v="Martes"/>
    <x v="659"/>
    <n v="82.25"/>
    <n v="23.271276595744684"/>
    <n v="0.125"/>
    <n v="71.96875"/>
    <n v="23.213499999999996"/>
    <n v="3.6"/>
    <n v="0.06"/>
    <n v="2060"/>
    <n v="0.54900000000000004"/>
    <n v="10.28125"/>
    <n v="45.155250000000002"/>
    <n v="45.563128571428578"/>
    <n v="59.036500000000004"/>
    <n v="23.213499999999996"/>
    <n v="4.9349999999999996"/>
  </r>
  <r>
    <x v="14"/>
    <n v="44"/>
    <s v="Miercoles"/>
    <x v="660"/>
    <n v="82.05"/>
    <n v="23.21468990493436"/>
    <n v="0.124"/>
    <n v="71.875799999999998"/>
    <n v="23.148299999999992"/>
    <n v="3.6"/>
    <n v="0.06"/>
    <n v="2057"/>
    <n v="0.55000000000000004"/>
    <n v="10.174199999999999"/>
    <n v="45.127500000000005"/>
    <n v="45.551342857142856"/>
    <n v="58.901700000000005"/>
    <n v="23.148299999999992"/>
    <n v="4.923"/>
  </r>
  <r>
    <x v="14"/>
    <n v="44"/>
    <s v="Jueves"/>
    <x v="661"/>
    <n v="81.8"/>
    <n v="23.14395654142146"/>
    <n v="0.125"/>
    <n v="71.575000000000003"/>
    <n v="22.757800000000003"/>
    <n v="3.5"/>
    <n v="0.06"/>
    <n v="2045"/>
    <n v="0.55400000000000005"/>
    <n v="10.225"/>
    <n v="45.3172"/>
    <n v="45.488121428571432"/>
    <n v="59.042199999999994"/>
    <n v="22.757800000000003"/>
    <n v="4.9079999999999995"/>
  </r>
  <r>
    <x v="14"/>
    <n v="44"/>
    <s v="Viernes"/>
    <x v="662"/>
    <n v="82.45"/>
    <n v="23.327863286555004"/>
    <n v="0.126"/>
    <n v="72.061300000000003"/>
    <n v="22.701549999999997"/>
    <n v="3.6"/>
    <n v="0.06"/>
    <n v="2062"/>
    <n v="0.55500000000000005"/>
    <n v="10.3887"/>
    <n v="45.759750000000004"/>
    <n v="45.484285714285711"/>
    <n v="59.748450000000005"/>
    <n v="22.701549999999997"/>
    <n v="4.9470000000000001"/>
  </r>
  <r>
    <x v="14"/>
    <n v="44"/>
    <s v="Sabado"/>
    <x v="663"/>
    <n v="81.95"/>
    <n v="23.1863965595292"/>
    <n v="0.13100000000000001"/>
    <n v="71.214550000000003"/>
    <n v="22.642049999999998"/>
    <n v="3.5"/>
    <n v="0.06"/>
    <n v="2037"/>
    <n v="0.55000000000000004"/>
    <n v="10.73545"/>
    <n v="45.072500000000005"/>
    <n v="45.429285714285712"/>
    <n v="59.307950000000005"/>
    <n v="22.642049999999998"/>
    <n v="4.9169999999999998"/>
  </r>
  <r>
    <x v="14"/>
    <n v="44"/>
    <s v="Domingo"/>
    <x v="664"/>
    <n v="82.7"/>
    <n v="23.398596650067905"/>
    <n v="0.13200000000000001"/>
    <n v="71.783600000000007"/>
    <n v="21.806200000000004"/>
    <n v="3.5"/>
    <n v="0.06"/>
    <n v="2056"/>
    <n v="0.56200000000000006"/>
    <n v="10.916400000000001"/>
    <n v="46.477400000000003"/>
    <n v="45.532121428571429"/>
    <n v="60.893799999999999"/>
    <n v="21.806200000000004"/>
    <n v="4.9619999999999997"/>
  </r>
  <r>
    <x v="14"/>
    <n v="45"/>
    <s v="Lunes "/>
    <x v="665"/>
    <n v="82.55"/>
    <n v="23.356156631960165"/>
    <n v="0.126"/>
    <n v="72.148699999999991"/>
    <n v="22.155599999999986"/>
    <n v="3.6"/>
    <n v="0.06"/>
    <n v="2064"/>
    <n v="0.56200000000000006"/>
    <n v="10.401299999999999"/>
    <n v="46.393100000000004"/>
    <n v="45.614671428571434"/>
    <n v="60.394400000000012"/>
    <n v="22.155599999999986"/>
    <n v="4.9529999999999994"/>
  </r>
  <r>
    <x v="14"/>
    <n v="45"/>
    <s v="Martes"/>
    <x v="666"/>
    <n v="82.65"/>
    <n v="23.384449977365328"/>
    <n v="0.126"/>
    <n v="72.236100000000008"/>
    <n v="22.600049999999996"/>
    <n v="3.6"/>
    <n v="0.06"/>
    <n v="2067"/>
    <n v="0.55700000000000005"/>
    <n v="10.4139"/>
    <n v="46.03605000000001"/>
    <n v="45.740499999999997"/>
    <n v="60.04995000000001"/>
    <n v="22.600049999999996"/>
    <n v="4.9590000000000005"/>
  </r>
  <r>
    <x v="14"/>
    <n v="45"/>
    <s v="Miercoles"/>
    <x v="667"/>
    <n v="82.1"/>
    <n v="23.22883657763694"/>
    <n v="0.11899999999999999"/>
    <n v="72.330100000000002"/>
    <n v="22.671999999999997"/>
    <n v="3.6"/>
    <n v="0.06"/>
    <n v="2068"/>
    <n v="0.56100000000000005"/>
    <n v="9.769899999999998"/>
    <n v="46.058100000000003"/>
    <n v="45.873442857142855"/>
    <n v="59.427999999999997"/>
    <n v="22.671999999999997"/>
    <n v="4.9259999999999993"/>
  </r>
  <r>
    <x v="14"/>
    <n v="45"/>
    <s v="Jueves"/>
    <x v="668"/>
    <n v="82"/>
    <n v="23.20054323223178"/>
    <n v="0.11600000000000001"/>
    <n v="72.488"/>
    <n v="23.049999999999997"/>
    <n v="3.6"/>
    <n v="5.5E-2"/>
    <n v="2071"/>
    <n v="0.55900000000000005"/>
    <n v="9.5120000000000005"/>
    <n v="45.838000000000001"/>
    <n v="45.947842857142867"/>
    <n v="58.95"/>
    <n v="23.049999999999997"/>
    <n v="4.51"/>
  </r>
  <r>
    <x v="14"/>
    <n v="45"/>
    <s v="Viernes"/>
    <x v="669"/>
    <n v="82.15"/>
    <n v="23.242983250339524"/>
    <n v="0.122"/>
    <n v="72.127700000000004"/>
    <n v="22.359399999999994"/>
    <n v="3.6"/>
    <n v="0.06"/>
    <n v="2064"/>
    <n v="0.56200000000000006"/>
    <n v="10.022300000000001"/>
    <n v="46.168300000000009"/>
    <n v="46.006207142857143"/>
    <n v="59.790600000000012"/>
    <n v="22.359399999999994"/>
    <n v="4.9290000000000003"/>
  </r>
  <r>
    <x v="14"/>
    <n v="45"/>
    <s v="Sabado"/>
    <x v="670"/>
    <n v="82"/>
    <n v="23.20054323223178"/>
    <n v="0.11600000000000001"/>
    <n v="72.488"/>
    <n v="23.049999999999997"/>
    <n v="3.6"/>
    <n v="5.5E-2"/>
    <n v="2072"/>
    <n v="0.55900000000000005"/>
    <n v="9.5120000000000005"/>
    <n v="45.838000000000001"/>
    <n v="46.115564285714292"/>
    <n v="58.95"/>
    <n v="23.049999999999997"/>
    <n v="4.51"/>
  </r>
  <r>
    <x v="14"/>
    <n v="46"/>
    <s v="Lunes "/>
    <x v="671"/>
    <n v="84.25"/>
    <n v="23.837143503847898"/>
    <n v="0.13700000000000001"/>
    <n v="72.707750000000004"/>
    <n v="21.085250000000009"/>
    <n v="3.6"/>
    <n v="6.5000000000000002E-2"/>
    <n v="2086"/>
    <n v="0.56999999999999995"/>
    <n v="11.542250000000001"/>
    <n v="48.022499999999994"/>
    <n v="46.336292857142858"/>
    <n v="63.164749999999991"/>
    <n v="21.085250000000009"/>
    <n v="5.4762500000000003"/>
  </r>
  <r>
    <x v="14"/>
    <n v="46"/>
    <s v="Martes"/>
    <x v="672"/>
    <n v="82.6"/>
    <n v="23.370303304662745"/>
    <n v="0.126"/>
    <n v="72.192399999999992"/>
    <n v="22.253799999999991"/>
    <n v="3.6"/>
    <n v="0.06"/>
    <n v="2066"/>
    <n v="0.56100000000000005"/>
    <n v="10.407599999999999"/>
    <n v="46.3386"/>
    <n v="46.328507142857141"/>
    <n v="60.346200000000003"/>
    <n v="22.253799999999991"/>
    <n v="4.9559999999999995"/>
  </r>
  <r>
    <x v="14"/>
    <n v="46"/>
    <s v="Miercoles"/>
    <x v="673"/>
    <n v="83.5"/>
    <n v="23.62494341330919"/>
    <n v="0.13300000000000001"/>
    <n v="72.394499999999994"/>
    <n v="22.117999999999988"/>
    <n v="3.6"/>
    <n v="6.5000000000000002E-2"/>
    <n v="2075"/>
    <n v="0.55900000000000005"/>
    <n v="11.105500000000001"/>
    <n v="46.676500000000004"/>
    <n v="46.419999999999995"/>
    <n v="61.382000000000012"/>
    <n v="22.117999999999988"/>
    <n v="5.4275000000000002"/>
  </r>
  <r>
    <x v="14"/>
    <n v="46"/>
    <s v="Jueves"/>
    <x v="674"/>
    <n v="82.65"/>
    <n v="23.384449977365328"/>
    <n v="0.122"/>
    <n v="72.566699999999997"/>
    <n v="22.847999999999992"/>
    <n v="3.6"/>
    <n v="0.06"/>
    <n v="2077"/>
    <n v="0.55800000000000005"/>
    <n v="10.083300000000001"/>
    <n v="46.118700000000004"/>
    <n v="46.428657142857141"/>
    <n v="59.802000000000014"/>
    <n v="22.847999999999992"/>
    <n v="4.9590000000000005"/>
  </r>
  <r>
    <x v="14"/>
    <n v="46"/>
    <s v="Viernes"/>
    <x v="675"/>
    <n v="82.9"/>
    <n v="23.455183340878229"/>
    <n v="0.129"/>
    <n v="72.2059"/>
    <n v="22.264799999999994"/>
    <n v="3.6"/>
    <n v="0.06"/>
    <n v="2068"/>
    <n v="0.55900000000000005"/>
    <n v="10.694100000000001"/>
    <n v="46.341100000000004"/>
    <n v="46.500528571428568"/>
    <n v="60.635200000000012"/>
    <n v="22.264799999999994"/>
    <n v="4.9740000000000002"/>
  </r>
  <r>
    <x v="14"/>
    <n v="46"/>
    <s v="Sabado"/>
    <x v="676"/>
    <n v="82.35"/>
    <n v="23.299569941149841"/>
    <n v="0.11799999999999999"/>
    <n v="72.6327"/>
    <n v="23.49315"/>
    <n v="3.6"/>
    <n v="0.06"/>
    <n v="2074"/>
    <n v="0.55300000000000005"/>
    <n v="9.7172999999999981"/>
    <n v="45.539549999999998"/>
    <n v="46.410707142857142"/>
    <n v="58.856849999999994"/>
    <n v="23.49315"/>
    <n v="4.9409999999999998"/>
  </r>
  <r>
    <x v="14"/>
    <n v="46"/>
    <s v="Domingo"/>
    <x v="677"/>
    <n v="82.85"/>
    <n v="23.441036668175645"/>
    <n v="0.126"/>
    <n v="72.410899999999998"/>
    <n v="22.580599999999997"/>
    <n v="3.6"/>
    <n v="0.06"/>
    <n v="2072"/>
    <n v="0.55800000000000005"/>
    <n v="10.4391"/>
    <n v="46.2303"/>
    <n v="46.466749999999998"/>
    <n v="60.269399999999997"/>
    <n v="22.580599999999997"/>
    <n v="4.9709999999999992"/>
  </r>
  <r>
    <x v="15"/>
    <n v="47"/>
    <s v="Lunes "/>
    <x v="678"/>
    <n v="82.95"/>
    <n v="23.469330013580809"/>
    <n v="0.124"/>
    <n v="72.664200000000008"/>
    <n v="22.612200000000001"/>
    <n v="3.6"/>
    <n v="0.06"/>
    <n v="2080"/>
    <n v="0.56000000000000005"/>
    <n v="10.2858"/>
    <n v="46.452000000000005"/>
    <n v="46.24239285714286"/>
    <n v="60.337800000000001"/>
    <n v="22.612200000000001"/>
    <n v="4.9770000000000003"/>
  </r>
  <r>
    <x v="15"/>
    <n v="47"/>
    <s v="Sabado"/>
    <x v="679"/>
    <n v="83.1"/>
    <n v="23.511770031688545"/>
    <n v="0.13"/>
    <n v="72.296999999999997"/>
    <n v="22.160999999999994"/>
    <n v="3.6"/>
    <n v="0.06"/>
    <n v="2071"/>
    <n v="0.56000000000000005"/>
    <n v="10.802999999999999"/>
    <n v="46.536000000000001"/>
    <n v="46.270592857142859"/>
    <n v="60.939"/>
    <n v="22.160999999999994"/>
    <n v="4.9859999999999998"/>
  </r>
  <r>
    <x v="15"/>
    <n v="47"/>
    <s v="Domingo"/>
    <x v="680"/>
    <n v="82.1"/>
    <n v="23.22883657763694"/>
    <n v="0.122"/>
    <n v="72.083799999999997"/>
    <n v="22.425699999999992"/>
    <n v="3.6"/>
    <n v="0.06"/>
    <n v="2063"/>
    <n v="0.56100000000000005"/>
    <n v="10.0162"/>
    <n v="46.058100000000003"/>
    <n v="46.182250000000003"/>
    <n v="59.674300000000002"/>
    <n v="22.425699999999992"/>
    <n v="4.9259999999999993"/>
  </r>
  <r>
    <x v="15"/>
    <n v="48"/>
    <s v="Lunes "/>
    <x v="681"/>
    <n v="82.95"/>
    <n v="23.469330013580809"/>
    <n v="0.128"/>
    <n v="72.332400000000007"/>
    <n v="21.948600000000006"/>
    <n v="3.6"/>
    <n v="0.06"/>
    <n v="2071"/>
    <n v="0.56399999999999995"/>
    <n v="10.617600000000001"/>
    <n v="46.783799999999999"/>
    <n v="46.277264285714288"/>
    <n v="61.001399999999997"/>
    <n v="21.948600000000006"/>
    <n v="4.9770000000000003"/>
  </r>
  <r>
    <x v="15"/>
    <n v="48"/>
    <s v="Martes"/>
    <x v="682"/>
    <n v="81.95"/>
    <n v="23.1863965595292"/>
    <n v="0.125"/>
    <n v="71.706249999999997"/>
    <n v="23.133749999999992"/>
    <n v="3.5"/>
    <n v="0.06"/>
    <n v="2052"/>
    <n v="0.55000000000000004"/>
    <n v="10.24375"/>
    <n v="45.072500000000005"/>
    <n v="46.096035714285712"/>
    <n v="58.816250000000011"/>
    <n v="23.133749999999992"/>
    <n v="4.9169999999999998"/>
  </r>
  <r>
    <x v="15"/>
    <n v="48"/>
    <s v="Miercoles"/>
    <x v="683"/>
    <n v="82"/>
    <n v="23.20054323223178"/>
    <n v="0.12"/>
    <n v="72.16"/>
    <n v="22.721999999999994"/>
    <n v="3.6"/>
    <n v="0.06"/>
    <n v="2064"/>
    <n v="0.55900000000000005"/>
    <n v="9.84"/>
    <n v="45.838000000000001"/>
    <n v="46.138671428571435"/>
    <n v="59.278000000000006"/>
    <n v="22.721999999999994"/>
    <n v="4.92"/>
  </r>
  <r>
    <x v="15"/>
    <n v="48"/>
    <s v="Jueves"/>
    <x v="684"/>
    <n v="82.45"/>
    <n v="23.327863286555004"/>
    <n v="0.125"/>
    <n v="72.143749999999997"/>
    <n v="22.454199999999993"/>
    <n v="3.6"/>
    <n v="0.06"/>
    <n v="2066"/>
    <n v="0.55900000000000005"/>
    <n v="10.30625"/>
    <n v="46.089550000000003"/>
    <n v="46.118564285714292"/>
    <n v="59.99580000000001"/>
    <n v="22.454199999999993"/>
    <n v="4.9470000000000001"/>
  </r>
  <r>
    <x v="15"/>
    <n v="48"/>
    <s v="Viernes"/>
    <x v="685"/>
    <n v="82.3"/>
    <n v="23.285423268447261"/>
    <n v="0.122"/>
    <n v="72.259399999999999"/>
    <n v="22.571399999999997"/>
    <n v="3.6"/>
    <n v="0.06"/>
    <n v="2068"/>
    <n v="0.56000000000000005"/>
    <n v="10.0406"/>
    <n v="46.088000000000001"/>
    <n v="46.066564285714286"/>
    <n v="59.7286"/>
    <n v="22.571399999999997"/>
    <n v="4.9379999999999997"/>
  </r>
  <r>
    <x v="15"/>
    <n v="48"/>
    <s v="Sabado"/>
    <x v="686"/>
    <n v="81.849999999999994"/>
    <n v="23.158103214124036"/>
    <n v="0.11799999999999999"/>
    <n v="72.191699999999997"/>
    <n v="22.673849999999995"/>
    <n v="3.6"/>
    <n v="5.5E-2"/>
    <n v="2063"/>
    <n v="0.56100000000000005"/>
    <n v="9.6582999999999988"/>
    <n v="45.917850000000001"/>
    <n v="45.978257142857146"/>
    <n v="59.17615"/>
    <n v="22.673849999999995"/>
    <n v="4.5017499999999995"/>
  </r>
  <r>
    <x v="15"/>
    <n v="48"/>
    <s v="Domingo"/>
    <x v="687"/>
    <n v="82.65"/>
    <n v="23.384449977365328"/>
    <n v="0.127"/>
    <n v="72.153450000000007"/>
    <n v="21.277650000000008"/>
    <n v="3.6"/>
    <n v="0.06"/>
    <n v="2065"/>
    <n v="0.57199999999999995"/>
    <n v="10.496550000000001"/>
    <n v="47.275799999999997"/>
    <n v="46.152214285714287"/>
    <n v="61.372349999999997"/>
    <n v="21.277650000000008"/>
    <n v="4.9590000000000005"/>
  </r>
  <r>
    <x v="15"/>
    <n v="49"/>
    <s v="Lunes "/>
    <x v="688"/>
    <n v="82.2"/>
    <n v="23.257129923042104"/>
    <n v="0.121"/>
    <n v="72.253799999999998"/>
    <n v="22.3752"/>
    <n v="3.6"/>
    <n v="0.06"/>
    <n v="2066"/>
    <n v="0.56299999999999994"/>
    <n v="9.9461999999999993"/>
    <n v="46.278599999999997"/>
    <n v="46.080042857142857"/>
    <n v="59.824800000000003"/>
    <n v="22.3752"/>
    <n v="4.9320000000000004"/>
  </r>
  <r>
    <x v="15"/>
    <n v="50"/>
    <s v="Martes"/>
    <x v="689"/>
    <n v="81.8"/>
    <n v="23.14395654142146"/>
    <n v="0.11700000000000001"/>
    <n v="72.229399999999998"/>
    <n v="22.739599999999996"/>
    <n v="3.6"/>
    <n v="5.5E-2"/>
    <n v="2065"/>
    <n v="0.56100000000000005"/>
    <n v="9.5706000000000007"/>
    <n v="45.889800000000001"/>
    <n v="46.196799999999996"/>
    <n v="59.060400000000001"/>
    <n v="22.739599999999996"/>
    <n v="4.4989999999999997"/>
  </r>
  <r>
    <x v="15"/>
    <n v="50"/>
    <s v="Miercoles"/>
    <x v="690"/>
    <n v="81.3"/>
    <n v="23.002489814395656"/>
    <n v="0.114"/>
    <n v="72.031800000000004"/>
    <n v="23.066400000000002"/>
    <n v="3.6"/>
    <n v="5.5E-2"/>
    <n v="2058"/>
    <n v="0.55800000000000005"/>
    <n v="9.2682000000000002"/>
    <n v="45.365400000000001"/>
    <n v="46.129285714285707"/>
    <n v="58.233599999999996"/>
    <n v="23.066400000000002"/>
    <n v="4.4714999999999998"/>
  </r>
  <r>
    <x v="15"/>
    <n v="50"/>
    <s v="Jueves"/>
    <x v="691"/>
    <n v="82.3"/>
    <n v="23.285423268447261"/>
    <n v="0.124"/>
    <n v="72.094799999999992"/>
    <n v="21.9953"/>
    <n v="3.6"/>
    <n v="0.06"/>
    <n v="2063"/>
    <n v="0.56499999999999995"/>
    <n v="10.2052"/>
    <n v="46.499499999999991"/>
    <n v="46.187850000000005"/>
    <n v="60.304699999999997"/>
    <n v="21.9953"/>
    <n v="4.9379999999999997"/>
  </r>
  <r>
    <x v="15"/>
    <n v="50"/>
    <s v="Viernes"/>
    <x v="692"/>
    <n v="81.8"/>
    <n v="23.14395654142146"/>
    <n v="0.115"/>
    <n v="72.393000000000001"/>
    <n v="22.248800000000003"/>
    <n v="3.6"/>
    <n v="5.5E-2"/>
    <n v="2069"/>
    <n v="0.56899999999999995"/>
    <n v="9.407"/>
    <n v="46.544199999999996"/>
    <n v="46.253021428571422"/>
    <n v="59.551199999999994"/>
    <n v="22.248800000000003"/>
    <n v="4.4989999999999997"/>
  </r>
  <r>
    <x v="15"/>
    <n v="50"/>
    <s v="Sabado"/>
    <x v="693"/>
    <n v="81.099999999999994"/>
    <n v="22.945903123585332"/>
    <n v="0.113"/>
    <n v="71.935699999999997"/>
    <n v="22.776400000000002"/>
    <n v="3.5"/>
    <n v="5.5E-2"/>
    <n v="2052"/>
    <n v="0.56299999999999994"/>
    <n v="9.164299999999999"/>
    <n v="45.659299999999995"/>
    <n v="46.216085714285711"/>
    <n v="58.323599999999992"/>
    <n v="22.776400000000002"/>
    <n v="4.4604999999999997"/>
  </r>
  <r>
    <x v="15"/>
    <n v="50"/>
    <s v="Domingo"/>
    <x v="694"/>
    <n v="81.05"/>
    <n v="22.931756450882752"/>
    <n v="0.111"/>
    <n v="72.053449999999998"/>
    <n v="22.903349999999996"/>
    <n v="3.6"/>
    <n v="5.5E-2"/>
    <n v="2057"/>
    <n v="0.56200000000000006"/>
    <n v="8.9965499999999992"/>
    <n v="45.5501"/>
    <n v="45.969557142857134"/>
    <n v="58.146650000000001"/>
    <n v="22.903349999999996"/>
    <n v="4.4577499999999999"/>
  </r>
  <r>
    <x v="15"/>
    <n v="51"/>
    <s v="Lunes "/>
    <x v="695"/>
    <n v="81.05"/>
    <n v="22.931756450882752"/>
    <n v="0.112"/>
    <n v="71.972399999999993"/>
    <n v="22.417049999999996"/>
    <n v="3.6"/>
    <n v="5.5E-2"/>
    <n v="2055"/>
    <n v="0.56699999999999995"/>
    <n v="9.0776000000000003"/>
    <n v="45.955349999999996"/>
    <n v="45.923378571428564"/>
    <n v="58.632950000000001"/>
    <n v="22.417049999999996"/>
    <n v="4.4577499999999999"/>
  </r>
  <r>
    <x v="15"/>
    <n v="51"/>
    <s v="Martes"/>
    <x v="696"/>
    <n v="81.400000000000006"/>
    <n v="23.030783159800819"/>
    <n v="0.115"/>
    <n v="72.039000000000001"/>
    <n v="22.366599999999998"/>
    <n v="3.6"/>
    <n v="5.5E-2"/>
    <n v="2057"/>
    <n v="0.56599999999999995"/>
    <n v="9.3610000000000007"/>
    <n v="46.072400000000002"/>
    <n v="45.949464285714285"/>
    <n v="59.033400000000007"/>
    <n v="22.366599999999998"/>
    <n v="4.4770000000000003"/>
  </r>
  <r>
    <x v="15"/>
    <n v="51"/>
    <s v="Miercoles"/>
    <x v="697"/>
    <n v="81"/>
    <n v="22.917609778180175"/>
    <n v="0.11600000000000001"/>
    <n v="71.603999999999999"/>
    <n v="22.177000000000007"/>
    <n v="3.5"/>
    <n v="5.5E-2"/>
    <n v="2044"/>
    <n v="0.56699999999999995"/>
    <n v="9.3960000000000008"/>
    <n v="45.926999999999992"/>
    <n v="46.029692857142855"/>
    <n v="58.822999999999993"/>
    <n v="22.177000000000007"/>
    <n v="4.4550000000000001"/>
  </r>
  <r>
    <x v="15"/>
    <n v="51"/>
    <s v="Jueves"/>
    <x v="698"/>
    <n v="80.95"/>
    <n v="22.903463105477595"/>
    <n v="0.108"/>
    <n v="72.207400000000007"/>
    <n v="22.627800000000008"/>
    <n v="3.6"/>
    <n v="5.5E-2"/>
    <n v="2061"/>
    <n v="0.56799999999999995"/>
    <n v="8.7425999999999995"/>
    <n v="45.979599999999998"/>
    <n v="45.955421428571427"/>
    <n v="58.322199999999995"/>
    <n v="22.627800000000008"/>
    <n v="4.4522500000000003"/>
  </r>
  <r>
    <x v="15"/>
    <n v="51"/>
    <s v="Viernes "/>
    <x v="699"/>
    <n v="82.05"/>
    <n v="23.21468990493436"/>
    <n v="0.122"/>
    <n v="72.039900000000003"/>
    <n v="21.83550000000001"/>
    <n v="3.6"/>
    <n v="0.06"/>
    <n v="2061"/>
    <n v="0.56799999999999995"/>
    <n v="10.0101"/>
    <n v="46.604399999999991"/>
    <n v="45.964021428571421"/>
    <n v="60.214499999999987"/>
    <n v="21.83550000000001"/>
    <n v="4.923"/>
  </r>
  <r>
    <x v="15"/>
    <n v="51"/>
    <s v="Sabado"/>
    <x v="700"/>
    <n v="81.95"/>
    <n v="23.1863965595292"/>
    <n v="0.12"/>
    <n v="72.116"/>
    <n v="22.21425"/>
    <n v="3.6"/>
    <n v="0.06"/>
    <n v="2062"/>
    <n v="0.56499999999999995"/>
    <n v="9.8339999999999996"/>
    <n v="46.301749999999998"/>
    <n v="46.055799999999991"/>
    <n v="59.735750000000003"/>
    <n v="22.21425"/>
    <n v="4.9169999999999998"/>
  </r>
  <r>
    <x v="15"/>
    <n v="52"/>
    <s v="Lunes "/>
    <x v="701"/>
    <n v="81.75"/>
    <n v="23.12980986871888"/>
    <n v="0.11799999999999999"/>
    <n v="72.103499999999997"/>
    <n v="22.805249999999994"/>
    <n v="3.6"/>
    <n v="5.5E-2"/>
    <n v="2062"/>
    <n v="0.55900000000000005"/>
    <n v="9.6464999999999996"/>
    <n v="45.698250000000002"/>
    <n v="46.07696428571429"/>
    <n v="58.944750000000006"/>
    <n v="22.805249999999994"/>
    <n v="4.4962499999999999"/>
  </r>
  <r>
    <x v="15"/>
    <n v="52"/>
    <s v="Martes"/>
    <x v="702"/>
    <n v="80.900000000000006"/>
    <n v="22.889316432775015"/>
    <n v="0.106"/>
    <n v="72.324600000000004"/>
    <n v="23.339699999999993"/>
    <n v="3.6"/>
    <n v="5.5E-2"/>
    <n v="2064"/>
    <n v="0.56100000000000005"/>
    <n v="8.5754000000000001"/>
    <n v="45.384900000000009"/>
    <n v="45.995471428571427"/>
    <n v="57.560300000000012"/>
    <n v="23.339699999999993"/>
    <n v="4.4495000000000005"/>
  </r>
  <r>
    <x v="15"/>
    <n v="53"/>
    <s v="Miercoles"/>
    <x v="703"/>
    <n v="81.2"/>
    <n v="22.974196468990495"/>
    <n v="0.111"/>
    <n v="72.186800000000005"/>
    <n v="22.790000000000006"/>
    <n v="3.6"/>
    <n v="5.5E-2"/>
    <n v="2060"/>
    <n v="0.56399999999999995"/>
    <n v="9.0132000000000012"/>
    <n v="45.796799999999998"/>
    <n v="45.956099999999999"/>
    <n v="58.41"/>
    <n v="22.790000000000006"/>
    <n v="4.4660000000000002"/>
  </r>
  <r>
    <x v="15"/>
    <n v="53"/>
    <s v="Jueves"/>
    <x v="704"/>
    <n v="81.400000000000006"/>
    <n v="23.030783159800819"/>
    <n v="0.112"/>
    <n v="72.283200000000008"/>
    <n v="22.855000000000011"/>
    <n v="3.6"/>
    <n v="5.5E-2"/>
    <n v="2063"/>
    <n v="0.56299999999999994"/>
    <n v="9.1168000000000013"/>
    <n v="45.828199999999995"/>
    <n v="45.941985714285707"/>
    <n v="58.544999999999995"/>
    <n v="22.855000000000011"/>
    <n v="4.4770000000000003"/>
  </r>
  <r>
    <x v="15"/>
    <n v="53"/>
    <s v="Viernes"/>
    <x v="705"/>
    <n v="81.900000000000006"/>
    <n v="23.17224988682662"/>
    <n v="0.127"/>
    <n v="71.498699999999999"/>
    <n v="21.397599999999997"/>
    <n v="3.5"/>
    <n v="0.06"/>
    <n v="2045"/>
    <n v="0.56899999999999995"/>
    <n v="10.401300000000001"/>
    <n v="46.601100000000002"/>
    <n v="46.030771428571434"/>
    <n v="60.502400000000009"/>
    <n v="21.397599999999997"/>
    <n v="4.9140000000000006"/>
  </r>
  <r>
    <x v="15"/>
    <n v="53"/>
    <s v="Sabado"/>
    <x v="706"/>
    <n v="82.1"/>
    <n v="23.22883657763694"/>
    <n v="0.124"/>
    <n v="71.919600000000003"/>
    <n v="21.851000000000006"/>
    <n v="3.6"/>
    <n v="0.06"/>
    <n v="2058"/>
    <n v="0.56599999999999995"/>
    <n v="10.180399999999999"/>
    <n v="46.468599999999995"/>
    <n v="46.011371428571422"/>
    <n v="60.248999999999988"/>
    <n v="21.851000000000006"/>
    <n v="4.9259999999999993"/>
  </r>
  <r>
    <x v="15"/>
    <n v="53"/>
    <s v="Domingo"/>
    <x v="707"/>
    <n v="83.15"/>
    <n v="23.525916704391129"/>
    <n v="0.129"/>
    <n v="72.423650000000009"/>
    <n v="21.760750000000009"/>
    <n v="3.6"/>
    <n v="0.06"/>
    <n v="2074"/>
    <n v="0.56599999999999995"/>
    <n v="10.726350000000002"/>
    <n v="47.062899999999999"/>
    <n v="46.120107142857144"/>
    <n v="61.389249999999997"/>
    <n v="21.760750000000009"/>
    <n v="4.9889999999999999"/>
  </r>
  <r>
    <x v="15"/>
    <n v="54"/>
    <s v="Lunes "/>
    <x v="708"/>
    <n v="82.05"/>
    <n v="23.21468990493436"/>
    <n v="0.11700000000000001"/>
    <n v="72.450149999999994"/>
    <n v="22.738049999999987"/>
    <n v="3.6"/>
    <n v="5.5E-2"/>
    <n v="2070"/>
    <n v="0.56200000000000006"/>
    <n v="9.59985"/>
    <n v="46.112100000000005"/>
    <n v="46.179228571428574"/>
    <n v="59.31195000000001"/>
    <n v="22.738049999999987"/>
    <n v="4.5127499999999996"/>
  </r>
  <r>
    <x v="15"/>
    <n v="54"/>
    <s v="Martes"/>
    <x v="709"/>
    <n v="80.95"/>
    <n v="22.903463105477595"/>
    <n v="0.112"/>
    <n v="71.883600000000001"/>
    <n v="23.213499999999996"/>
    <n v="3.5"/>
    <n v="5.5E-2"/>
    <n v="2052"/>
    <n v="0.55800000000000005"/>
    <n v="9.0663999999999998"/>
    <n v="45.170100000000005"/>
    <n v="46.148542857142857"/>
    <n v="57.736500000000007"/>
    <n v="23.213499999999996"/>
    <n v="4.4522500000000003"/>
  </r>
  <r>
    <x v="15"/>
    <n v="54"/>
    <s v="Miercoles"/>
    <x v="710"/>
    <n v="81.7"/>
    <n v="23.1156631960163"/>
    <n v="0.121"/>
    <n v="71.814300000000003"/>
    <n v="22.317200000000007"/>
    <n v="3.5"/>
    <n v="0.06"/>
    <n v="2052"/>
    <n v="0.56299999999999994"/>
    <n v="9.8856999999999999"/>
    <n v="45.997099999999996"/>
    <n v="46.177157142857141"/>
    <n v="59.382799999999996"/>
    <n v="22.317200000000007"/>
    <n v="4.9020000000000001"/>
  </r>
  <r>
    <x v="15"/>
    <n v="54"/>
    <s v="Jueves"/>
    <x v="711"/>
    <n v="81.55"/>
    <n v="23.073223177908556"/>
    <n v="0.115"/>
    <n v="72.171750000000003"/>
    <n v="22.414450000000009"/>
    <n v="3.6"/>
    <n v="5.5E-2"/>
    <n v="2063"/>
    <n v="0.56599999999999995"/>
    <n v="9.3782499999999995"/>
    <n v="46.157299999999992"/>
    <n v="46.224171428571431"/>
    <n v="59.135549999999988"/>
    <n v="22.414450000000009"/>
    <n v="4.4852499999999997"/>
  </r>
  <r>
    <x v="15"/>
    <n v="56"/>
    <s v="Miercoles"/>
    <x v="712"/>
    <n v="83"/>
    <n v="23.483476686283389"/>
    <n v="0.13400000000000001"/>
    <n v="71.878"/>
    <n v="21.814999999999998"/>
    <n v="3.5"/>
    <n v="6.5000000000000002E-2"/>
    <n v="2058"/>
    <n v="0.56100000000000005"/>
    <n v="11.122"/>
    <n v="46.563000000000002"/>
    <n v="46.218728571428564"/>
    <n v="61.185000000000002"/>
    <n v="21.814999999999998"/>
    <n v="5.3950000000000005"/>
  </r>
  <r>
    <x v="15"/>
    <n v="1"/>
    <s v="Viernes"/>
    <x v="713"/>
    <n v="82.9"/>
    <n v="23.455183340878229"/>
    <n v="0.128"/>
    <n v="72.288800000000009"/>
    <n v="22.430599999999998"/>
    <n v="3.6"/>
    <n v="0.06"/>
    <n v="2070"/>
    <n v="0.55800000000000005"/>
    <n v="10.6112"/>
    <n v="46.258200000000009"/>
    <n v="46.188671428571425"/>
    <n v="60.469400000000007"/>
    <n v="22.430599999999998"/>
    <n v="4.9740000000000002"/>
  </r>
  <r>
    <x v="15"/>
    <n v="1"/>
    <s v="Sabado"/>
    <x v="714"/>
    <n v="82.7"/>
    <n v="23.398596650067905"/>
    <n v="0.126"/>
    <n v="72.279799999999994"/>
    <n v="22.698599999999985"/>
    <n v="3.6"/>
    <n v="0.06"/>
    <n v="2070"/>
    <n v="0.55600000000000005"/>
    <n v="10.420200000000001"/>
    <n v="45.981200000000008"/>
    <n v="46.034142857142854"/>
    <n v="60.001400000000018"/>
    <n v="22.698599999999985"/>
    <n v="4.9619999999999997"/>
  </r>
  <r>
    <x v="15"/>
    <n v="1"/>
    <s v="Domingo"/>
    <x v="715"/>
    <n v="82.05"/>
    <n v="23.21468990493436"/>
    <n v="0.121"/>
    <n v="72.121949999999998"/>
    <n v="23.476499999999994"/>
    <n v="3.6"/>
    <n v="0.06"/>
    <n v="2062"/>
    <n v="0.54900000000000004"/>
    <n v="9.9280499999999989"/>
    <n v="45.045450000000002"/>
    <n v="45.88176428571429"/>
    <n v="58.573500000000003"/>
    <n v="23.476499999999994"/>
    <n v="4.923"/>
  </r>
  <r>
    <x v="15"/>
    <n v="2"/>
    <s v="Lunes "/>
    <x v="716"/>
    <n v="82.55"/>
    <n v="23.356156631960165"/>
    <n v="0.127"/>
    <n v="72.066149999999993"/>
    <n v="22.48579999999999"/>
    <n v="3.6"/>
    <n v="0.06"/>
    <n v="2063"/>
    <n v="0.55700000000000005"/>
    <n v="10.48385"/>
    <n v="45.980350000000001"/>
    <n v="45.997514285714281"/>
    <n v="60.064200000000007"/>
    <n v="22.48579999999999"/>
    <n v="4.9529999999999994"/>
  </r>
  <r>
    <x v="15"/>
    <n v="2"/>
    <s v="Miercoles"/>
    <x v="717"/>
    <n v="82.75"/>
    <n v="23.412743322770485"/>
    <n v="0.127"/>
    <n v="72.240750000000006"/>
    <n v="22.300750000000001"/>
    <n v="3.6"/>
    <n v="0.06"/>
    <n v="2069"/>
    <n v="0.56000000000000005"/>
    <n v="10.50925"/>
    <n v="46.34"/>
    <n v="46.046500000000002"/>
    <n v="60.449249999999999"/>
    <n v="22.300750000000001"/>
    <n v="4.9649999999999999"/>
  </r>
  <r>
    <x v="15"/>
    <n v="2"/>
    <s v="Jueves"/>
    <x v="718"/>
    <n v="82.25"/>
    <n v="23.271276595744684"/>
    <n v="0.127"/>
    <n v="71.804249999999996"/>
    <n v="22.737749999999991"/>
    <n v="3.5"/>
    <n v="0.06"/>
    <n v="2053"/>
    <n v="0.55400000000000005"/>
    <n v="10.44575"/>
    <n v="45.566500000000005"/>
    <n v="45.9621"/>
    <n v="59.512250000000009"/>
    <n v="22.737749999999991"/>
    <n v="4.9349999999999996"/>
  </r>
  <r>
    <x v="15"/>
    <n v="2"/>
    <s v="Viernes"/>
    <x v="719"/>
    <n v="81.7"/>
    <n v="23.1156631960163"/>
    <n v="0.125"/>
    <n v="71.487499999999997"/>
    <n v="22.39889999999999"/>
    <n v="3.5"/>
    <n v="0.06"/>
    <n v="2046"/>
    <n v="0.55800000000000005"/>
    <n v="10.2125"/>
    <n v="45.588600000000007"/>
    <n v="45.822899999999997"/>
    <n v="59.301100000000012"/>
    <n v="22.39889999999999"/>
    <n v="4.9020000000000001"/>
  </r>
  <r>
    <x v="15"/>
    <n v="2"/>
    <s v="Sabado"/>
    <x v="720"/>
    <n v="82.15"/>
    <n v="23.242983250339524"/>
    <n v="0.126"/>
    <n v="71.79910000000001"/>
    <n v="22.459400000000002"/>
    <n v="3.5"/>
    <n v="0.06"/>
    <n v="2054"/>
    <n v="0.55800000000000005"/>
    <n v="10.350900000000001"/>
    <n v="45.839700000000008"/>
    <n v="45.763114285714281"/>
    <n v="59.690600000000003"/>
    <n v="22.459400000000002"/>
    <n v="4.9290000000000003"/>
  </r>
  <r>
    <x v="15"/>
    <n v="2"/>
    <s v="Domingo"/>
    <x v="721"/>
    <n v="82.55"/>
    <n v="23.356156631960165"/>
    <n v="0.13100000000000001"/>
    <n v="71.735950000000003"/>
    <n v="21.760300000000008"/>
    <n v="3.5"/>
    <n v="0.06"/>
    <n v="2055"/>
    <n v="0.56299999999999994"/>
    <n v="10.81405"/>
    <n v="46.475649999999995"/>
    <n v="45.833750000000002"/>
    <n v="60.789699999999989"/>
    <n v="21.760300000000008"/>
    <n v="4.9529999999999994"/>
  </r>
  <r>
    <x v="15"/>
    <n v="3"/>
    <s v="Lunes "/>
    <x v="722"/>
    <n v="82.75"/>
    <n v="23.412743322770485"/>
    <n v="0.128"/>
    <n v="72.158000000000001"/>
    <n v="22.217999999999996"/>
    <n v="3.6"/>
    <n v="0.06"/>
    <n v="2067"/>
    <n v="0.56000000000000005"/>
    <n v="10.592000000000001"/>
    <n v="46.34"/>
    <n v="46.018685714285716"/>
    <n v="60.532000000000004"/>
    <n v="22.217999999999996"/>
    <n v="4.9649999999999999"/>
  </r>
  <r>
    <x v="15"/>
    <n v="3"/>
    <s v="Sabado"/>
    <x v="723"/>
    <n v="82.15"/>
    <n v="23.242983250339524"/>
    <n v="0.113"/>
    <n v="72.867050000000006"/>
    <n v="23.920249999999996"/>
    <n v="3.6"/>
    <n v="5.5E-2"/>
    <n v="2083"/>
    <n v="0.55200000000000005"/>
    <n v="9.2829500000000014"/>
    <n v="45.346800000000009"/>
    <n v="45.928178571428582"/>
    <n v="58.22975000000001"/>
    <n v="23.920249999999996"/>
    <n v="4.5182500000000001"/>
  </r>
  <r>
    <x v="15"/>
    <n v="3"/>
    <s v="Domingo"/>
    <x v="724"/>
    <n v="81.849999999999994"/>
    <n v="23.158103214124036"/>
    <n v="0.113"/>
    <n v="72.600949999999997"/>
    <n v="23.656049999999993"/>
    <n v="3.6"/>
    <n v="5.5E-2"/>
    <n v="2075"/>
    <n v="0.55400000000000005"/>
    <n v="9.2490500000000004"/>
    <n v="45.344900000000003"/>
    <n v="45.786021428571431"/>
    <n v="58.193950000000001"/>
    <n v="23.656049999999993"/>
    <n v="4.5017499999999995"/>
  </r>
  <r>
    <x v="15"/>
    <n v="4"/>
    <s v="Lunes "/>
    <x v="725"/>
    <n v="82.55"/>
    <n v="23.356156631960165"/>
    <n v="0.125"/>
    <n v="72.231250000000003"/>
    <n v="22.733449999999998"/>
    <n v="3.6"/>
    <n v="0.06"/>
    <n v="2067"/>
    <n v="0.55600000000000005"/>
    <n v="10.31875"/>
    <n v="45.897800000000004"/>
    <n v="45.833350000000003"/>
    <n v="59.816549999999999"/>
    <n v="22.733449999999998"/>
    <n v="4.9529999999999994"/>
  </r>
  <r>
    <x v="15"/>
    <n v="4"/>
    <s v="Martes"/>
    <x v="726"/>
    <n v="82.25"/>
    <n v="23.271276595744684"/>
    <n v="0.11899999999999999"/>
    <n v="72.462249999999997"/>
    <n v="22.719999999999992"/>
    <n v="3.6"/>
    <n v="0.06"/>
    <n v="2073"/>
    <n v="0.56100000000000005"/>
    <n v="9.7877499999999991"/>
    <n v="46.142250000000004"/>
    <n v="45.912442857142857"/>
    <n v="59.530000000000008"/>
    <n v="22.719999999999992"/>
    <n v="4.9349999999999996"/>
  </r>
  <r>
    <x v="15"/>
    <n v="4"/>
    <s v="Jueves"/>
    <x v="727"/>
    <n v="82.4"/>
    <n v="23.313716613852424"/>
    <n v="0.13800000000000001"/>
    <n v="71.028800000000004"/>
    <n v="20.643200000000007"/>
    <n v="3.5"/>
    <n v="6.5000000000000002E-2"/>
    <n v="2035"/>
    <n v="0.56899999999999995"/>
    <n v="11.371200000000002"/>
    <n v="46.885599999999997"/>
    <n v="46.061857142857143"/>
    <n v="61.756799999999998"/>
    <n v="20.643200000000007"/>
    <n v="5.3560000000000008"/>
  </r>
  <r>
    <x v="15"/>
    <n v="4"/>
    <s v="Viernes"/>
    <x v="728"/>
    <n v="82.95"/>
    <n v="23.469330013580809"/>
    <n v="0.13100000000000001"/>
    <n v="72.083550000000002"/>
    <n v="21.533850000000001"/>
    <n v="3.6"/>
    <n v="0.06"/>
    <n v="2065"/>
    <n v="0.56599999999999995"/>
    <n v="10.86645"/>
    <n v="46.9497"/>
    <n v="46.129578571428574"/>
    <n v="61.416150000000002"/>
    <n v="21.533850000000001"/>
    <n v="4.9770000000000003"/>
  </r>
  <r>
    <x v="15"/>
    <n v="4"/>
    <s v="Sabado"/>
    <x v="729"/>
    <n v="82.9"/>
    <n v="23.455183340878229"/>
    <n v="0.13300000000000001"/>
    <n v="71.874300000000005"/>
    <n v="21.867399999999996"/>
    <n v="3.5"/>
    <n v="6.5000000000000002E-2"/>
    <n v="2058"/>
    <n v="0.56100000000000005"/>
    <n v="11.025700000000001"/>
    <n v="46.506900000000009"/>
    <n v="46.153421428571441"/>
    <n v="61.032600000000009"/>
    <n v="21.867399999999996"/>
    <n v="5.3885000000000005"/>
  </r>
  <r>
    <x v="15"/>
    <n v="4"/>
    <s v="Domingo"/>
    <x v="730"/>
    <n v="82.45"/>
    <n v="23.327863286555004"/>
    <n v="0.128"/>
    <n v="71.8964"/>
    <n v="22.306849999999997"/>
    <n v="3.5"/>
    <n v="6.5000000000000002E-2"/>
    <n v="2058"/>
    <n v="0.55900000000000005"/>
    <n v="10.553600000000001"/>
    <n v="46.089550000000003"/>
    <n v="46.259528571428582"/>
    <n v="60.143150000000006"/>
    <n v="22.306849999999997"/>
    <n v="5.3592500000000003"/>
  </r>
  <r>
    <x v="15"/>
    <n v="5"/>
    <s v="Domingo"/>
    <x v="731"/>
    <n v="84.2"/>
    <n v="23.822996831145318"/>
    <n v="0.14699999999999999"/>
    <n v="71.822600000000008"/>
    <n v="21.928400000000003"/>
    <n v="3.5"/>
    <n v="7.0000000000000007E-2"/>
    <n v="2062"/>
    <n v="0.55100000000000005"/>
    <n v="12.3774"/>
    <n v="46.394200000000005"/>
    <n v="46.409428571428577"/>
    <n v="62.271599999999999"/>
    <n v="21.928400000000003"/>
    <n v="5.894000000000001"/>
  </r>
  <r>
    <x v="15"/>
    <n v="5"/>
    <s v="Lunes "/>
    <x v="732"/>
    <n v="83.9"/>
    <n v="23.738116794929837"/>
    <n v="0.14199999999999999"/>
    <n v="71.986200000000011"/>
    <n v="22.409000000000006"/>
    <n v="3.6"/>
    <n v="6.5000000000000002E-2"/>
    <n v="2064"/>
    <n v="0.54800000000000004"/>
    <n v="11.9138"/>
    <n v="45.977200000000003"/>
    <n v="46.420771428571427"/>
    <n v="61.491"/>
    <n v="22.409000000000006"/>
    <n v="5.4535000000000009"/>
  </r>
  <r>
    <x v="15"/>
    <n v="5"/>
    <s v="Martes"/>
    <x v="733"/>
    <n v="83.65"/>
    <n v="23.667383431416933"/>
    <n v="0.14000000000000001"/>
    <n v="71.939000000000007"/>
    <n v="22.498799999999996"/>
    <n v="3.6"/>
    <n v="6.5000000000000002E-2"/>
    <n v="2064"/>
    <n v="0.54800000000000004"/>
    <n v="11.711000000000002"/>
    <n v="45.84020000000001"/>
    <n v="46.377621428571437"/>
    <n v="61.15120000000001"/>
    <n v="22.498799999999996"/>
    <n v="5.4372500000000006"/>
  </r>
  <r>
    <x v="15"/>
    <n v="5"/>
    <s v="Miercoles"/>
    <x v="734"/>
    <n v="84.4"/>
    <n v="23.879583521955638"/>
    <n v="0.14699999999999999"/>
    <n v="71.993200000000002"/>
    <n v="21.719999999999992"/>
    <n v="3.6"/>
    <n v="7.0000000000000007E-2"/>
    <n v="2069"/>
    <n v="0.55300000000000005"/>
    <n v="12.4068"/>
    <n v="46.673200000000008"/>
    <n v="46.347278571428582"/>
    <n v="62.680000000000014"/>
    <n v="21.719999999999992"/>
    <n v="5.9080000000000013"/>
  </r>
  <r>
    <x v="15"/>
    <n v="5"/>
    <s v="Jueves"/>
    <x v="735"/>
    <n v="83.55"/>
    <n v="23.63909008601177"/>
    <n v="0.13600000000000001"/>
    <n v="72.18719999999999"/>
    <n v="22.300499999999985"/>
    <n v="3.6"/>
    <n v="6.5000000000000002E-2"/>
    <n v="2070"/>
    <n v="0.55400000000000005"/>
    <n v="11.3628"/>
    <n v="46.286700000000003"/>
    <n v="46.252564285714293"/>
    <n v="61.249500000000012"/>
    <n v="22.300499999999985"/>
    <n v="5.4307499999999997"/>
  </r>
  <r>
    <x v="15"/>
    <n v="5"/>
    <s v="Viernes"/>
    <x v="736"/>
    <n v="83.35"/>
    <n v="23.582503395201449"/>
    <n v="0.13200000000000001"/>
    <n v="72.347799999999992"/>
    <n v="22.821949999999987"/>
    <n v="3.6"/>
    <n v="6.5000000000000002E-2"/>
    <n v="2073"/>
    <n v="0.55100000000000005"/>
    <n v="11.0022"/>
    <n v="45.925850000000004"/>
    <n v="46.169557142857158"/>
    <n v="60.528050000000007"/>
    <n v="22.821949999999987"/>
    <n v="5.4177499999999998"/>
  </r>
  <r>
    <x v="15"/>
    <n v="5"/>
    <s v="Sabado"/>
    <x v="737"/>
    <n v="82.65"/>
    <n v="23.384449977365328"/>
    <n v="0.129"/>
    <n v="71.988150000000005"/>
    <n v="22.847999999999999"/>
    <n v="3.6"/>
    <n v="0.06"/>
    <n v="2062"/>
    <n v="0.55100000000000005"/>
    <n v="10.661850000000001"/>
    <n v="45.540150000000004"/>
    <n v="46.091071428571432"/>
    <n v="59.802000000000007"/>
    <n v="22.847999999999999"/>
    <n v="4.9590000000000005"/>
  </r>
  <r>
    <x v="15"/>
    <n v="5"/>
    <s v="Domingo"/>
    <x v="738"/>
    <n v="82.9"/>
    <n v="23.455183340878229"/>
    <n v="0.129"/>
    <n v="72.2059"/>
    <n v="23.093799999999995"/>
    <n v="3.6"/>
    <n v="0.06"/>
    <n v="2068"/>
    <n v="0.54900000000000004"/>
    <n v="10.694100000000001"/>
    <n v="45.512100000000004"/>
    <n v="45.965057142857141"/>
    <n v="59.806200000000011"/>
    <n v="23.093799999999995"/>
    <n v="4.9740000000000002"/>
  </r>
  <r>
    <x v="16"/>
    <n v="6"/>
    <s v="Lunes "/>
    <x v="739"/>
    <n v="83.25"/>
    <n v="23.554210049796289"/>
    <n v="0.13900000000000001"/>
    <n v="71.678249999999991"/>
    <n v="22.057749999999984"/>
    <n v="3.5"/>
    <n v="6.5000000000000002E-2"/>
    <n v="2056"/>
    <n v="0.55400000000000005"/>
    <n v="11.571750000000002"/>
    <n v="46.120500000000007"/>
    <n v="45.985528571428574"/>
    <n v="61.192250000000016"/>
    <n v="22.057749999999984"/>
    <n v="5.4112499999999999"/>
  </r>
  <r>
    <x v="16"/>
    <n v="6"/>
    <s v="Martes"/>
    <x v="740"/>
    <n v="83.7"/>
    <n v="23.681530104119513"/>
    <n v="0.14000000000000001"/>
    <n v="71.981999999999999"/>
    <n v="21.844799999999992"/>
    <n v="3.6"/>
    <n v="6.5000000000000002E-2"/>
    <n v="2064"/>
    <n v="0.55600000000000005"/>
    <n v="11.718000000000002"/>
    <n v="46.537200000000006"/>
    <n v="46.085100000000004"/>
    <n v="61.855200000000011"/>
    <n v="21.844799999999992"/>
    <n v="5.4405000000000001"/>
  </r>
  <r>
    <x v="16"/>
    <n v="6"/>
    <s v="Viernes "/>
    <x v="741"/>
    <n v="84.05"/>
    <n v="23.780556813037574"/>
    <n v="0.14099999999999999"/>
    <n v="72.198949999999996"/>
    <n v="21.699049999999993"/>
    <n v="3.6"/>
    <n v="6.5000000000000002E-2"/>
    <n v="2073"/>
    <n v="0.55800000000000005"/>
    <n v="11.851049999999999"/>
    <n v="46.899900000000002"/>
    <n v="46.117485714285714"/>
    <n v="62.350950000000005"/>
    <n v="21.699049999999993"/>
    <n v="5.4632500000000004"/>
  </r>
  <r>
    <x v="16"/>
    <n v="6"/>
    <s v="Sabado"/>
    <x v="742"/>
    <n v="82.95"/>
    <n v="23.469330013580809"/>
    <n v="0.13400000000000001"/>
    <n v="71.834699999999998"/>
    <n v="22.214499999999994"/>
    <n v="3.5"/>
    <n v="6.5000000000000002E-2"/>
    <n v="2057"/>
    <n v="0.55600000000000005"/>
    <n v="11.115300000000001"/>
    <n v="46.120200000000004"/>
    <n v="46.093700000000005"/>
    <n v="60.735500000000009"/>
    <n v="22.214499999999994"/>
    <n v="5.39175"/>
  </r>
  <r>
    <x v="16"/>
    <n v="6"/>
    <s v="Domingo"/>
    <x v="743"/>
    <n v="82.75"/>
    <n v="23.412743322770485"/>
    <n v="0.13"/>
    <n v="71.992500000000007"/>
    <n v="22.714500000000001"/>
    <n v="3.6"/>
    <n v="0.06"/>
    <n v="2062"/>
    <n v="0.55200000000000005"/>
    <n v="10.7575"/>
    <n v="45.678000000000004"/>
    <n v="46.05829285714286"/>
    <n v="60.035499999999999"/>
    <n v="22.714500000000001"/>
    <n v="4.9649999999999999"/>
  </r>
  <r>
    <x v="16"/>
    <n v="7"/>
    <s v="Lunes "/>
    <x v="744"/>
    <n v="83.1"/>
    <n v="23.511770031688545"/>
    <n v="0.13800000000000001"/>
    <n v="71.632199999999997"/>
    <n v="22.260999999999996"/>
    <n v="3.5"/>
    <n v="6.5000000000000002E-2"/>
    <n v="2053"/>
    <n v="0.55200000000000005"/>
    <n v="11.4678"/>
    <n v="45.871200000000002"/>
    <n v="46.105585714285716"/>
    <n v="60.838999999999999"/>
    <n v="22.260999999999996"/>
    <n v="5.4014999999999995"/>
  </r>
  <r>
    <x v="16"/>
    <n v="7"/>
    <s v="Martes"/>
    <x v="745"/>
    <n v="84.2"/>
    <n v="23.822996831145318"/>
    <n v="0.14799999999999999"/>
    <n v="71.738399999999999"/>
    <n v="20.917999999999992"/>
    <n v="3.5"/>
    <n v="7.0000000000000007E-2"/>
    <n v="2060"/>
    <n v="0.56200000000000006"/>
    <n v="12.461600000000001"/>
    <n v="47.320400000000006"/>
    <n v="46.363914285714294"/>
    <n v="63.282000000000011"/>
    <n v="20.917999999999992"/>
    <n v="5.894000000000001"/>
  </r>
  <r>
    <x v="16"/>
    <n v="7"/>
    <s v="Miercoles"/>
    <x v="746"/>
    <n v="83.6"/>
    <n v="23.65323675871435"/>
    <n v="0.14099999999999999"/>
    <n v="71.812399999999997"/>
    <n v="21.997999999999998"/>
    <n v="3.5"/>
    <n v="6.5000000000000002E-2"/>
    <n v="2061"/>
    <n v="0.55400000000000005"/>
    <n v="11.787599999999998"/>
    <n v="46.314399999999999"/>
    <n v="46.39161428571429"/>
    <n v="61.601999999999997"/>
    <n v="21.997999999999998"/>
    <n v="5.4340000000000002"/>
  </r>
  <r>
    <x v="16"/>
    <n v="7"/>
    <s v="Jueves"/>
    <x v="747"/>
    <n v="84.35"/>
    <n v="23.865436849253054"/>
    <n v="0.14599999999999999"/>
    <n v="72.034899999999993"/>
    <n v="21.789349999999992"/>
    <n v="3.6"/>
    <n v="6.5000000000000002E-2"/>
    <n v="2069"/>
    <n v="0.55300000000000005"/>
    <n v="12.315099999999999"/>
    <n v="46.64555"/>
    <n v="46.407092857142857"/>
    <n v="62.560650000000003"/>
    <n v="21.789349999999992"/>
    <n v="5.4827500000000002"/>
  </r>
  <r>
    <x v="16"/>
    <n v="7"/>
    <s v="Viernes"/>
    <x v="748"/>
    <n v="83.35"/>
    <n v="23.582503395201449"/>
    <n v="0.13400000000000001"/>
    <n v="72.181099999999986"/>
    <n v="22.655249999999981"/>
    <n v="3.6"/>
    <n v="6.5000000000000002E-2"/>
    <n v="2068"/>
    <n v="0.55100000000000005"/>
    <n v="11.168900000000001"/>
    <n v="45.925850000000004"/>
    <n v="46.267942857142863"/>
    <n v="60.694750000000013"/>
    <n v="22.655249999999981"/>
    <n v="5.4177499999999998"/>
  </r>
  <r>
    <x v="16"/>
    <n v="7"/>
    <s v="Sabado"/>
    <x v="749"/>
    <n v="82.95"/>
    <n v="23.469330013580809"/>
    <n v="0.13700000000000001"/>
    <n v="71.585850000000008"/>
    <n v="22.878100000000003"/>
    <n v="3.5"/>
    <n v="6.5000000000000002E-2"/>
    <n v="2052"/>
    <n v="0.54500000000000004"/>
    <n v="11.36415"/>
    <n v="45.207750000000004"/>
    <n v="46.137592857142863"/>
    <n v="60.071899999999999"/>
    <n v="22.878100000000003"/>
    <n v="5.39175"/>
  </r>
  <r>
    <x v="16"/>
    <n v="7"/>
    <s v="Domingo"/>
    <x v="750"/>
    <n v="82.75"/>
    <n v="23.412743322770485"/>
    <n v="0.13300000000000001"/>
    <n v="71.744249999999994"/>
    <n v="22.483499999999992"/>
    <n v="3.5"/>
    <n v="6.5000000000000002E-2"/>
    <n v="2054"/>
    <n v="0.55300000000000005"/>
    <n v="11.005750000000001"/>
    <n v="45.760750000000002"/>
    <n v="46.149414285714279"/>
    <n v="60.266500000000008"/>
    <n v="22.483499999999992"/>
    <n v="5.3787500000000001"/>
  </r>
  <r>
    <x v="16"/>
    <n v="8"/>
    <s v="Lunes "/>
    <x v="751"/>
    <n v="83.1"/>
    <n v="23.511770031688545"/>
    <n v="0.13500000000000001"/>
    <n v="71.881499999999988"/>
    <n v="21.845499999999987"/>
    <n v="3.5"/>
    <n v="6.5000000000000002E-2"/>
    <n v="2060"/>
    <n v="0.56000000000000005"/>
    <n v="11.218500000000001"/>
    <n v="46.536000000000001"/>
    <n v="46.24438571428572"/>
    <n v="61.254500000000007"/>
    <n v="21.845499999999987"/>
    <n v="5.4014999999999995"/>
  </r>
  <r>
    <x v="16"/>
    <n v="8"/>
    <s v="Jueves"/>
    <x v="752"/>
    <n v="84.1"/>
    <n v="23.794703485740154"/>
    <n v="0.14399999999999999"/>
    <n v="71.989599999999996"/>
    <n v="21.545899999999996"/>
    <n v="3.6"/>
    <n v="6.5000000000000002E-2"/>
    <n v="2064"/>
    <n v="0.55700000000000005"/>
    <n v="12.110399999999998"/>
    <n v="46.843699999999998"/>
    <n v="46.176285714285719"/>
    <n v="62.554099999999998"/>
    <n v="21.545899999999996"/>
    <n v="5.4664999999999999"/>
  </r>
  <r>
    <x v="16"/>
    <n v="8"/>
    <s v="Viernes "/>
    <x v="753"/>
    <n v="83.6"/>
    <n v="23.65323675871435"/>
    <n v="0.13900000000000001"/>
    <n v="71.979599999999991"/>
    <n v="22.566799999999986"/>
    <n v="3.6"/>
    <n v="6.5000000000000002E-2"/>
    <n v="2065"/>
    <n v="0.54800000000000004"/>
    <n v="11.6204"/>
    <n v="45.812800000000003"/>
    <n v="46.10462857142857"/>
    <n v="61.033200000000008"/>
    <n v="22.566799999999986"/>
    <n v="5.4340000000000002"/>
  </r>
  <r>
    <x v="16"/>
    <n v="8"/>
    <s v="Sabado"/>
    <x v="754"/>
    <n v="83.35"/>
    <n v="23.582503395201449"/>
    <n v="0.13"/>
    <n v="72.514499999999998"/>
    <n v="23.488749999999996"/>
    <n v="3.6"/>
    <n v="0.06"/>
    <n v="2077"/>
    <n v="0.54500000000000004"/>
    <n v="10.8355"/>
    <n v="45.425750000000001"/>
    <n v="45.930371428571426"/>
    <n v="59.861249999999998"/>
    <n v="23.488749999999996"/>
    <n v="5.0009999999999994"/>
  </r>
  <r>
    <x v="16"/>
    <n v="8"/>
    <s v="Domingo"/>
    <x v="755"/>
    <n v="83.15"/>
    <n v="23.525916704391129"/>
    <n v="0.13300000000000001"/>
    <n v="72.09105000000001"/>
    <n v="22.42595"/>
    <n v="3.6"/>
    <n v="6.5000000000000002E-2"/>
    <n v="2066"/>
    <n v="0.55400000000000005"/>
    <n v="11.058950000000001"/>
    <n v="46.065100000000008"/>
    <n v="45.950264285714297"/>
    <n v="60.724050000000005"/>
    <n v="22.42595"/>
    <n v="5.4047500000000008"/>
  </r>
  <r>
    <x v="16"/>
    <n v="9"/>
    <s v="Lunes "/>
    <x v="756"/>
    <n v="83.45"/>
    <n v="23.610796740606613"/>
    <n v="0.13100000000000001"/>
    <n v="72.518050000000002"/>
    <n v="22.603299999999997"/>
    <n v="3.6"/>
    <n v="0.06"/>
    <n v="2079"/>
    <n v="0.55500000000000005"/>
    <n v="10.931950000000001"/>
    <n v="46.314750000000004"/>
    <n v="46.108407142857139"/>
    <n v="60.846700000000006"/>
    <n v="22.603299999999997"/>
    <n v="5.0069999999999997"/>
  </r>
  <r>
    <x v="16"/>
    <n v="9"/>
    <s v="Martes"/>
    <x v="757"/>
    <n v="83.85"/>
    <n v="23.723970122227254"/>
    <n v="0.14099999999999999"/>
    <n v="72.027149999999992"/>
    <n v="22.058099999999989"/>
    <n v="3.6"/>
    <n v="6.5000000000000002E-2"/>
    <n v="2066"/>
    <n v="0.55300000000000005"/>
    <n v="11.822849999999997"/>
    <n v="46.369050000000001"/>
    <n v="46.195307142857146"/>
    <n v="61.791900000000005"/>
    <n v="22.058099999999989"/>
    <n v="5.4502499999999996"/>
  </r>
  <r>
    <x v="16"/>
    <n v="9"/>
    <s v="Sabado"/>
    <x v="758"/>
    <n v="85"/>
    <n v="24.049343594386603"/>
    <n v="0.152"/>
    <n v="72.08"/>
    <n v="21.814999999999991"/>
    <n v="3.6"/>
    <n v="7.0000000000000007E-2"/>
    <n v="2073"/>
    <n v="0.54900000000000004"/>
    <n v="12.92"/>
    <n v="46.665000000000006"/>
    <n v="46.213735714285711"/>
    <n v="63.185000000000009"/>
    <n v="21.814999999999991"/>
    <n v="5.95"/>
  </r>
  <r>
    <x v="16"/>
    <n v="9"/>
    <s v="Domingo"/>
    <x v="759"/>
    <n v="83.2"/>
    <n v="23.540063377093709"/>
    <n v="0.13300000000000001"/>
    <n v="72.134399999999999"/>
    <n v="22.774399999999993"/>
    <n v="3.6"/>
    <n v="6.5000000000000002E-2"/>
    <n v="2068"/>
    <n v="0.55000000000000004"/>
    <n v="11.065600000000002"/>
    <n v="45.760000000000005"/>
    <n v="46.058921428571431"/>
    <n v="60.42560000000001"/>
    <n v="22.774399999999993"/>
    <n v="5.4080000000000004"/>
  </r>
  <r>
    <x v="16"/>
    <n v="10"/>
    <s v="Lunes "/>
    <x v="760"/>
    <n v="83.2"/>
    <n v="23.540063377093709"/>
    <n v="0.13100000000000001"/>
    <n v="72.30080000000001"/>
    <n v="23.273600000000002"/>
    <n v="3.6"/>
    <n v="0.06"/>
    <n v="2072"/>
    <n v="0.54600000000000004"/>
    <n v="10.8992"/>
    <n v="45.427200000000006"/>
    <n v="46.003835714285728"/>
    <n v="59.926400000000001"/>
    <n v="23.273600000000002"/>
    <n v="4.992"/>
  </r>
  <r>
    <x v="16"/>
    <n v="10"/>
    <s v="Martes"/>
    <x v="761"/>
    <n v="83.7"/>
    <n v="23.681530104119513"/>
    <n v="0.13300000000000001"/>
    <n v="72.567900000000009"/>
    <n v="22.765500000000003"/>
    <n v="3.6"/>
    <n v="6.5000000000000002E-2"/>
    <n v="2081"/>
    <n v="0.55200000000000005"/>
    <n v="11.132100000000001"/>
    <n v="46.202400000000004"/>
    <n v="46.114785714285723"/>
    <n v="60.9345"/>
    <n v="22.765500000000003"/>
    <n v="5.4405000000000001"/>
  </r>
  <r>
    <x v="16"/>
    <n v="10"/>
    <s v="Miercoles"/>
    <x v="762"/>
    <n v="83.85"/>
    <n v="23.723970122227254"/>
    <n v="0.14299999999999999"/>
    <n v="71.859449999999995"/>
    <n v="22.241949999999996"/>
    <n v="3.5"/>
    <n v="6.5000000000000002E-2"/>
    <n v="2063"/>
    <n v="0.55000000000000004"/>
    <n v="11.990549999999999"/>
    <n v="46.1175"/>
    <n v="46.12227142857143"/>
    <n v="61.608049999999999"/>
    <n v="22.241949999999996"/>
    <n v="5.4502499999999996"/>
  </r>
  <r>
    <x v="16"/>
    <n v="10"/>
    <s v="Jueves"/>
    <x v="763"/>
    <n v="83.8"/>
    <n v="23.709823449524674"/>
    <n v="0.13600000000000001"/>
    <n v="72.403199999999998"/>
    <n v="22.629399999999997"/>
    <n v="3.6"/>
    <n v="6.5000000000000002E-2"/>
    <n v="2076"/>
    <n v="0.55100000000000005"/>
    <n v="11.396800000000001"/>
    <n v="46.1738"/>
    <n v="46.102135714285723"/>
    <n v="61.1706"/>
    <n v="22.629399999999997"/>
    <n v="5.4470000000000001"/>
  </r>
  <r>
    <x v="16"/>
    <n v="10"/>
    <s v="Viernes "/>
    <x v="764"/>
    <n v="83.9"/>
    <n v="23.738116794929837"/>
    <n v="0.14000000000000001"/>
    <n v="72.153999999999996"/>
    <n v="22.157299999999985"/>
    <n v="3.6"/>
    <n v="6.5000000000000002E-2"/>
    <n v="2070"/>
    <n v="0.55300000000000005"/>
    <n v="11.746000000000002"/>
    <n v="46.39670000000001"/>
    <n v="46.106085714285719"/>
    <n v="61.742700000000021"/>
    <n v="22.157299999999985"/>
    <n v="5.4535000000000009"/>
  </r>
  <r>
    <x v="16"/>
    <n v="10"/>
    <s v="Domingo"/>
    <x v="765"/>
    <n v="83.4"/>
    <n v="23.596650067904033"/>
    <n v="0.13900000000000001"/>
    <n v="71.807400000000001"/>
    <n v="22.520799999999994"/>
    <n v="3.5"/>
    <n v="6.5000000000000002E-2"/>
    <n v="2060"/>
    <n v="0.54900000000000004"/>
    <n v="11.592600000000003"/>
    <n v="45.786600000000007"/>
    <n v="45.980600000000017"/>
    <n v="60.879200000000012"/>
    <n v="22.520799999999994"/>
    <n v="5.4210000000000003"/>
  </r>
  <r>
    <x v="16"/>
    <n v="11"/>
    <s v="Lunes "/>
    <x v="766"/>
    <n v="83.95"/>
    <n v="23.752263467632414"/>
    <n v="0.13800000000000001"/>
    <n v="72.364900000000006"/>
    <n v="21.9208"/>
    <n v="3.6"/>
    <n v="6.5000000000000002E-2"/>
    <n v="2076"/>
    <n v="0.55800000000000005"/>
    <n v="11.585100000000001"/>
    <n v="46.844100000000005"/>
    <n v="46.135471428571442"/>
    <n v="62.029200000000003"/>
    <n v="21.9208"/>
    <n v="5.4567500000000004"/>
  </r>
  <r>
    <x v="16"/>
    <n v="11"/>
    <s v="Viernes "/>
    <x v="767"/>
    <n v="84.3"/>
    <n v="23.851290176550474"/>
    <n v="0.14099999999999999"/>
    <n v="72.413700000000006"/>
    <n v="21.690000000000005"/>
    <n v="3.6"/>
    <n v="6.5000000000000002E-2"/>
    <n v="2077"/>
    <n v="0.55900000000000005"/>
    <n v="11.886299999999999"/>
    <n v="47.123699999999999"/>
    <n v="46.377828571428573"/>
    <n v="62.609999999999992"/>
    <n v="21.690000000000005"/>
    <n v="5.4794999999999998"/>
  </r>
  <r>
    <x v="16"/>
    <n v="11"/>
    <s v="Sabado"/>
    <x v="768"/>
    <n v="83.65"/>
    <n v="23.667383431416933"/>
    <n v="0.14099999999999999"/>
    <n v="71.855350000000001"/>
    <n v="22.164199999999994"/>
    <n v="3.6"/>
    <n v="6.5000000000000002E-2"/>
    <n v="2061"/>
    <n v="0.55100000000000005"/>
    <n v="11.794649999999999"/>
    <n v="46.091150000000006"/>
    <n v="46.361935714285721"/>
    <n v="61.485800000000012"/>
    <n v="22.164199999999994"/>
    <n v="5.4372500000000006"/>
  </r>
  <r>
    <x v="16"/>
    <n v="11"/>
    <s v="Domingo"/>
    <x v="769"/>
    <n v="83.8"/>
    <n v="23.709823449524674"/>
    <n v="0.13500000000000001"/>
    <n v="72.486999999999995"/>
    <n v="22.46179999999999"/>
    <n v="3.6"/>
    <n v="6.5000000000000002E-2"/>
    <n v="2079"/>
    <n v="0.55400000000000005"/>
    <n v="11.313000000000001"/>
    <n v="46.425200000000004"/>
    <n v="46.405892857142867"/>
    <n v="61.338200000000008"/>
    <n v="22.46179999999999"/>
    <n v="5.4470000000000001"/>
  </r>
  <r>
    <x v="16"/>
    <n v="12"/>
    <s v="Lunes "/>
    <x v="770"/>
    <n v="83.95"/>
    <n v="23.752263467632414"/>
    <n v="0.13600000000000001"/>
    <n v="72.532800000000009"/>
    <n v="22.424500000000002"/>
    <n v="3.6"/>
    <n v="6.5000000000000002E-2"/>
    <n v="2081"/>
    <n v="0.55400000000000005"/>
    <n v="11.417200000000001"/>
    <n v="46.508300000000006"/>
    <n v="46.453678571428576"/>
    <n v="61.525500000000001"/>
    <n v="22.424500000000002"/>
    <n v="5.4567500000000004"/>
  </r>
  <r>
    <x v="16"/>
    <n v="13"/>
    <s v="Sabado"/>
    <x v="771"/>
    <n v="86.2"/>
    <n v="24.388863739248531"/>
    <n v="0.16"/>
    <n v="72.408000000000001"/>
    <n v="21.225599999999993"/>
    <n v="3.6"/>
    <n v="7.4999999999999997E-2"/>
    <n v="2086"/>
    <n v="0.55200000000000005"/>
    <n v="13.792000000000002"/>
    <n v="47.582400000000007"/>
    <n v="46.623064285714293"/>
    <n v="64.974400000000003"/>
    <n v="21.225599999999993"/>
    <n v="6.4649999999999999"/>
  </r>
  <r>
    <x v="16"/>
    <n v="13"/>
    <s v="Domingo"/>
    <x v="772"/>
    <n v="85.7"/>
    <n v="24.247397012222727"/>
    <n v="0.156"/>
    <n v="72.330799999999996"/>
    <n v="21.681499999999993"/>
    <n v="3.6"/>
    <n v="7.0000000000000007E-2"/>
    <n v="2082"/>
    <n v="0.54900000000000004"/>
    <n v="13.369200000000001"/>
    <n v="47.049300000000002"/>
    <n v="46.803450000000005"/>
    <n v="64.018500000000017"/>
    <n v="21.681499999999993"/>
    <n v="5.9990000000000006"/>
  </r>
  <r>
    <x v="16"/>
    <n v="14"/>
    <s v="Lunes "/>
    <x v="773"/>
    <n v="84.7"/>
    <n v="23.964463558171122"/>
    <n v="0.14799999999999999"/>
    <n v="72.164400000000001"/>
    <n v="22.572299999999991"/>
    <n v="3.6"/>
    <n v="7.0000000000000007E-2"/>
    <n v="2073"/>
    <n v="0.54300000000000004"/>
    <n v="12.535600000000001"/>
    <n v="45.992100000000008"/>
    <n v="46.681735714285722"/>
    <n v="62.127700000000011"/>
    <n v="22.572299999999991"/>
    <n v="5.9290000000000012"/>
  </r>
  <r>
    <x v="16"/>
    <n v="14"/>
    <s v="Martes"/>
    <x v="774"/>
    <n v="84.6"/>
    <n v="23.936170212765958"/>
    <n v="0.14799999999999999"/>
    <n v="72.0792"/>
    <n v="22.795200000000001"/>
    <n v="3.6"/>
    <n v="7.0000000000000007E-2"/>
    <n v="2071"/>
    <n v="0.54"/>
    <n v="12.520799999999998"/>
    <n v="45.683999999999997"/>
    <n v="46.476064285714287"/>
    <n v="61.804799999999993"/>
    <n v="22.795200000000001"/>
    <n v="5.9220000000000006"/>
  </r>
  <r>
    <x v="16"/>
    <n v="14"/>
    <s v="Miercoles"/>
    <x v="775"/>
    <n v="84.7"/>
    <n v="23.964463558171122"/>
    <n v="0.14499999999999999"/>
    <n v="72.418500000000009"/>
    <n v="22.8264"/>
    <n v="3.6"/>
    <n v="6.5000000000000002E-2"/>
    <n v="2079"/>
    <n v="0.54300000000000004"/>
    <n v="12.281499999999999"/>
    <n v="45.992100000000008"/>
    <n v="46.461914285714286"/>
    <n v="61.873600000000003"/>
    <n v="22.8264"/>
    <n v="5.5055000000000005"/>
  </r>
  <r>
    <x v="16"/>
    <n v="14"/>
    <s v="Jueves"/>
    <x v="776"/>
    <n v="84.75"/>
    <n v="23.978610230873699"/>
    <n v="0.14799999999999999"/>
    <n v="72.206999999999994"/>
    <n v="22.672499999999992"/>
    <n v="3.6"/>
    <n v="7.0000000000000007E-2"/>
    <n v="2075"/>
    <n v="0.54200000000000004"/>
    <n v="12.542999999999999"/>
    <n v="45.9345"/>
    <n v="46.391814285714297"/>
    <n v="62.077500000000008"/>
    <n v="22.672499999999992"/>
    <n v="5.932500000000001"/>
  </r>
  <r>
    <x v="16"/>
    <n v="14"/>
    <s v="Viernes"/>
    <x v="777"/>
    <n v="84.1"/>
    <n v="23.794703485740154"/>
    <n v="0.14299999999999999"/>
    <n v="72.073700000000002"/>
    <n v="23.227899999999998"/>
    <n v="3.6"/>
    <n v="6.5000000000000002E-2"/>
    <n v="2068"/>
    <n v="0.53800000000000003"/>
    <n v="12.026299999999997"/>
    <n v="45.245800000000003"/>
    <n v="46.211457142857157"/>
    <n v="60.872099999999996"/>
    <n v="23.227899999999998"/>
    <n v="5.4664999999999999"/>
  </r>
  <r>
    <x v="16"/>
    <n v="14"/>
    <s v="Sabado"/>
    <x v="778"/>
    <n v="83.95"/>
    <n v="23.752263467632414"/>
    <n v="0.14499999999999999"/>
    <n v="71.777250000000009"/>
    <n v="23.028200000000005"/>
    <n v="3.5"/>
    <n v="6.5000000000000002E-2"/>
    <n v="2060"/>
    <n v="0.53900000000000003"/>
    <n v="12.172749999999999"/>
    <n v="45.249050000000004"/>
    <n v="45.87812142857144"/>
    <n v="60.921799999999998"/>
    <n v="23.028200000000005"/>
    <n v="5.4567500000000004"/>
  </r>
  <r>
    <x v="16"/>
    <n v="14"/>
    <s v="Domingo"/>
    <x v="779"/>
    <n v="84.1"/>
    <n v="23.794703485740154"/>
    <n v="0.14299999999999999"/>
    <n v="72.073700000000002"/>
    <n v="23.227899999999998"/>
    <n v="3.6"/>
    <n v="6.5000000000000002E-2"/>
    <n v="2068"/>
    <n v="0.53800000000000003"/>
    <n v="12.026299999999997"/>
    <n v="45.245800000000003"/>
    <n v="45.620478571428571"/>
    <n v="60.872099999999996"/>
    <n v="23.227899999999998"/>
    <n v="5.4664999999999999"/>
  </r>
  <r>
    <x v="16"/>
    <n v="15"/>
    <s v="Lunes "/>
    <x v="780"/>
    <n v="84.85"/>
    <n v="24.006903576278859"/>
    <n v="0.15"/>
    <n v="72.122500000000002"/>
    <n v="22.109549999999999"/>
    <n v="3.6"/>
    <n v="7.0000000000000007E-2"/>
    <n v="2072"/>
    <n v="0.54700000000000004"/>
    <n v="12.727499999999999"/>
    <n v="46.412950000000002"/>
    <n v="45.680600000000013"/>
    <n v="62.740449999999996"/>
    <n v="22.109549999999999"/>
    <n v="5.9394999999999998"/>
  </r>
  <r>
    <x v="16"/>
    <n v="15"/>
    <s v="Martes"/>
    <x v="781"/>
    <n v="84.95"/>
    <n v="24.035196921684022"/>
    <n v="0.14899999999999999"/>
    <n v="72.292450000000002"/>
    <n v="22.394699999999993"/>
    <n v="3.6"/>
    <n v="7.0000000000000007E-2"/>
    <n v="2079"/>
    <n v="0.54500000000000004"/>
    <n v="12.657550000000001"/>
    <n v="46.297750000000008"/>
    <n v="45.768278571428581"/>
    <n v="62.55530000000001"/>
    <n v="22.394699999999993"/>
    <n v="5.9465000000000003"/>
  </r>
  <r>
    <x v="16"/>
    <n v="15"/>
    <s v="Miercoles"/>
    <x v="782"/>
    <n v="84.15"/>
    <n v="23.808850158442738"/>
    <n v="0.14199999999999999"/>
    <n v="72.200700000000012"/>
    <n v="22.907250000000005"/>
    <n v="3.6"/>
    <n v="6.5000000000000002E-2"/>
    <n v="2073"/>
    <n v="0.54300000000000004"/>
    <n v="11.949299999999999"/>
    <n v="45.693450000000006"/>
    <n v="45.725614285714286"/>
    <n v="61.242750000000001"/>
    <n v="22.907250000000005"/>
    <n v="5.4697500000000003"/>
  </r>
  <r>
    <x v="16"/>
    <n v="15"/>
    <s v="Jueves"/>
    <x v="783"/>
    <n v="83.9"/>
    <n v="23.738116794929837"/>
    <n v="0.14000000000000001"/>
    <n v="72.153999999999996"/>
    <n v="23.080199999999991"/>
    <n v="3.6"/>
    <n v="6.5000000000000002E-2"/>
    <n v="2071"/>
    <n v="0.54200000000000004"/>
    <n v="11.746000000000002"/>
    <n v="45.473800000000004"/>
    <n v="45.659800000000004"/>
    <n v="60.819800000000015"/>
    <n v="23.080199999999991"/>
    <n v="5.4535000000000009"/>
  </r>
  <r>
    <x v="16"/>
    <n v="15"/>
    <s v="Viernes"/>
    <x v="784"/>
    <n v="84.3"/>
    <n v="23.851290176550474"/>
    <n v="0.14699999999999999"/>
    <n v="71.907899999999998"/>
    <n v="22.785899999999998"/>
    <n v="3.6"/>
    <n v="7.0000000000000007E-2"/>
    <n v="2066"/>
    <n v="0.54"/>
    <n v="12.392099999999999"/>
    <n v="45.521999999999998"/>
    <n v="45.699257142857149"/>
    <n v="61.514099999999999"/>
    <n v="22.785899999999998"/>
    <n v="5.9010000000000007"/>
  </r>
  <r>
    <x v="16"/>
    <n v="16"/>
    <s v="Jueves"/>
    <x v="785"/>
    <n v="84.45"/>
    <n v="23.893730194658218"/>
    <n v="0.14599999999999999"/>
    <n v="72.1203"/>
    <n v="22.410599999999995"/>
    <n v="3.6"/>
    <n v="7.0000000000000007E-2"/>
    <n v="2070"/>
    <n v="0.54600000000000004"/>
    <n v="12.329699999999999"/>
    <n v="46.109700000000004"/>
    <n v="45.822207142857145"/>
    <n v="62.039400000000008"/>
    <n v="22.410599999999995"/>
    <n v="5.9115000000000011"/>
  </r>
  <r>
    <x v="16"/>
    <n v="16"/>
    <s v="Viernes"/>
    <x v="786"/>
    <n v="84.55"/>
    <n v="23.922023540063378"/>
    <n v="0.14199999999999999"/>
    <n v="72.543899999999994"/>
    <n v="23.625099999999989"/>
    <n v="3.6"/>
    <n v="7.0000000000000007E-2"/>
    <n v="2081"/>
    <n v="0.53600000000000003"/>
    <n v="12.006099999999998"/>
    <n v="45.318800000000003"/>
    <n v="45.832635714285722"/>
    <n v="60.924900000000008"/>
    <n v="23.625099999999989"/>
    <n v="5.9185000000000008"/>
  </r>
  <r>
    <x v="16"/>
    <n v="16"/>
    <s v="Sabado"/>
    <x v="787"/>
    <n v="85.25"/>
    <n v="24.120076957899503"/>
    <n v="0.14799999999999999"/>
    <n v="72.632999999999996"/>
    <n v="23.509499999999989"/>
    <n v="3.6"/>
    <n v="7.0000000000000007E-2"/>
    <n v="2087"/>
    <n v="0.53400000000000003"/>
    <n v="12.616999999999999"/>
    <n v="45.523500000000006"/>
    <n v="45.705571428571432"/>
    <n v="61.740500000000011"/>
    <n v="23.509499999999989"/>
    <n v="5.9675000000000002"/>
  </r>
  <r>
    <x v="16"/>
    <n v="16"/>
    <s v="Domingo"/>
    <x v="788"/>
    <n v="85"/>
    <n v="24.049343594386603"/>
    <n v="0.154"/>
    <n v="71.91"/>
    <n v="22.834999999999994"/>
    <n v="3.6"/>
    <n v="7.0000000000000007E-2"/>
    <n v="2068"/>
    <n v="0.53500000000000003"/>
    <n v="13.09"/>
    <n v="45.475000000000001"/>
    <n v="45.588035714285716"/>
    <n v="62.165000000000006"/>
    <n v="22.834999999999994"/>
    <n v="5.95"/>
  </r>
  <r>
    <x v="17"/>
    <n v="17"/>
    <s v="Lunes "/>
    <x v="789"/>
    <n v="84.7"/>
    <n v="23.964463558171122"/>
    <n v="0.14899999999999999"/>
    <n v="72.079700000000003"/>
    <n v="22.995799999999996"/>
    <n v="3.6"/>
    <n v="7.0000000000000007E-2"/>
    <n v="2071"/>
    <n v="0.53700000000000003"/>
    <n v="12.6203"/>
    <n v="45.483900000000006"/>
    <n v="45.55810000000001"/>
    <n v="61.704200000000007"/>
    <n v="22.995799999999996"/>
    <n v="5.9290000000000012"/>
  </r>
  <r>
    <x v="17"/>
    <n v="17"/>
    <s v="Martes"/>
    <x v="790"/>
    <n v="84.8"/>
    <n v="23.992756903576279"/>
    <n v="0.151"/>
    <n v="71.995199999999997"/>
    <n v="22.348799999999997"/>
    <n v="3.6"/>
    <n v="7.0000000000000007E-2"/>
    <n v="2068"/>
    <n v="0.54300000000000004"/>
    <n v="12.804799999999998"/>
    <n v="46.046399999999998"/>
    <n v="45.639900000000004"/>
    <n v="62.4512"/>
    <n v="22.348799999999997"/>
    <n v="5.9359999999999999"/>
  </r>
  <r>
    <x v="17"/>
    <n v="17"/>
    <s v="Miercoles"/>
    <x v="791"/>
    <n v="84.35"/>
    <n v="23.865436849253054"/>
    <n v="0.152"/>
    <n v="71.52879999999999"/>
    <n v="22.648499999999991"/>
    <n v="3.5"/>
    <n v="7.0000000000000007E-2"/>
    <n v="2055"/>
    <n v="0.53800000000000003"/>
    <n v="12.821199999999999"/>
    <n v="45.380299999999998"/>
    <n v="45.619657142857143"/>
    <n v="61.701500000000003"/>
    <n v="22.648499999999991"/>
    <n v="5.9045000000000005"/>
  </r>
  <r>
    <x v="17"/>
    <n v="17"/>
    <s v="Jueves"/>
    <x v="792"/>
    <n v="84.1"/>
    <n v="23.794703485740154"/>
    <n v="0.14599999999999999"/>
    <n v="71.821399999999997"/>
    <n v="22.991499999999995"/>
    <n v="3.5"/>
    <n v="7.0000000000000007E-2"/>
    <n v="2060"/>
    <n v="0.53900000000000003"/>
    <n v="12.278599999999999"/>
    <n v="45.329900000000002"/>
    <n v="45.508257142857147"/>
    <n v="61.108499999999999"/>
    <n v="22.991499999999995"/>
    <n v="5.8870000000000005"/>
  </r>
  <r>
    <x v="17"/>
    <n v="17"/>
    <s v="Viernes"/>
    <x v="793"/>
    <n v="83.75"/>
    <n v="23.695676776822094"/>
    <n v="0.14499999999999999"/>
    <n v="71.606250000000003"/>
    <n v="23.299999999999997"/>
    <n v="3.5"/>
    <n v="7.0000000000000007E-2"/>
    <n v="2054"/>
    <n v="0.53500000000000003"/>
    <n v="12.143749999999999"/>
    <n v="44.806250000000006"/>
    <n v="45.435035714285718"/>
    <n v="60.45"/>
    <n v="23.299999999999997"/>
    <n v="5.8625000000000007"/>
  </r>
  <r>
    <x v="17"/>
    <n v="17"/>
    <s v="Sabado"/>
    <x v="794"/>
    <n v="83.5"/>
    <n v="23.62494341330919"/>
    <n v="0.13500000000000001"/>
    <n v="72.227499999999992"/>
    <n v="23.537499999999987"/>
    <n v="3.6"/>
    <n v="6.5000000000000002E-2"/>
    <n v="2069"/>
    <n v="0.54"/>
    <n v="11.272500000000001"/>
    <n v="45.09"/>
    <n v="45.373107142857144"/>
    <n v="59.962500000000013"/>
    <n v="23.537499999999987"/>
    <n v="5.4275000000000002"/>
  </r>
  <r>
    <x v="17"/>
    <n v="18"/>
    <s v="Martes"/>
    <x v="795"/>
    <n v="85.45"/>
    <n v="24.176663648709827"/>
    <n v="0.153"/>
    <n v="72.376149999999996"/>
    <n v="22.205899999999993"/>
    <n v="3.6"/>
    <n v="7.0000000000000007E-2"/>
    <n v="2079"/>
    <n v="0.54500000000000004"/>
    <n v="13.07385"/>
    <n v="46.570250000000001"/>
    <n v="45.52957142857143"/>
    <n v="63.24410000000001"/>
    <n v="22.205899999999993"/>
    <n v="5.9815000000000005"/>
  </r>
  <r>
    <x v="17"/>
    <n v="18"/>
    <s v="Miercoles"/>
    <x v="796"/>
    <n v="85.85"/>
    <n v="24.289837030330467"/>
    <n v="0.157"/>
    <n v="72.371549999999999"/>
    <n v="21.554049999999997"/>
    <n v="3.6"/>
    <n v="7.4999999999999997E-2"/>
    <n v="2082"/>
    <n v="0.55000000000000004"/>
    <n v="13.478449999999999"/>
    <n v="47.217500000000001"/>
    <n v="45.777228571428573"/>
    <n v="64.295950000000005"/>
    <n v="21.554049999999997"/>
    <n v="6.43874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F2A621-02AA-4336-A2B9-3FBD10CE4719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E26" firstHeaderRow="0" firstDataRow="1" firstDataCol="1" rowPageCount="2" colPageCount="1"/>
  <pivotFields count="24">
    <pivotField axis="axisPage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/>
    <pivotField axis="axisRow" numFmtId="14" showAll="0">
      <items count="8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m="1" x="804"/>
        <item m="1" x="805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m="1" x="802"/>
        <item m="1" x="803"/>
        <item x="716"/>
        <item x="717"/>
        <item x="718"/>
        <item m="1" x="801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68"/>
        <item x="769"/>
        <item x="770"/>
        <item x="749"/>
        <item x="750"/>
        <item x="751"/>
        <item x="752"/>
        <item x="753"/>
        <item x="754"/>
        <item x="755"/>
        <item m="1" x="800"/>
        <item x="756"/>
        <item m="1" x="799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m="1" x="797"/>
        <item m="1" x="798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t="default"/>
      </items>
    </pivotField>
    <pivotField dataField="1" numFmtId="43" showAll="0"/>
    <pivotField numFmtId="165" showAll="0"/>
    <pivotField dataField="1" numFmtId="164" showAll="0"/>
    <pivotField numFmtId="43" showAll="0"/>
    <pivotField dataField="1" numFmtId="43" showAll="0"/>
    <pivotField showAll="0"/>
    <pivotField numFmtId="164" showAll="0"/>
    <pivotField numFmtId="43" showAll="0"/>
    <pivotField numFmtId="164" showAll="0"/>
    <pivotField dataField="1" numFmtId="43" showAll="0"/>
    <pivotField numFmtId="43" showAll="0"/>
    <pivotField showAll="0"/>
    <pivotField numFmtId="165" showAll="0"/>
    <pivotField numFmtId="43" showAll="0"/>
    <pivotField numFmtId="43" showAll="0"/>
    <pivotField dragToRow="0" dragToCol="0" dragToPage="0" showAll="0" defaultSubtotal="0"/>
    <pivotField dragToRow="0" dragToCol="0" dragToPage="0" showAll="0" defaultSubtota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Page" showAll="0">
      <items count="7">
        <item x="1"/>
        <item sd="0" x="2"/>
        <item sd="0" x="3"/>
        <item sd="0" x="4"/>
        <item x="0"/>
        <item x="5"/>
        <item t="default"/>
      </items>
    </pivotField>
    <pivotField axis="axisRow" showAll="0">
      <items count="7">
        <item sd="0" x="1"/>
        <item sd="0" x="2"/>
        <item x="3"/>
        <item x="4"/>
        <item x="0"/>
        <item x="5"/>
        <item t="default"/>
      </items>
    </pivotField>
  </pivotFields>
  <rowFields count="3">
    <field x="23"/>
    <field x="21"/>
    <field x="3"/>
  </rowFields>
  <rowItems count="22">
    <i>
      <x/>
    </i>
    <i>
      <x v="1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0" hier="-1"/>
    <pageField fld="22" hier="-1"/>
  </pageFields>
  <dataFields count="4">
    <dataField name="Promedio de Peso (Kg)" fld="4" subtotal="average" baseField="18" baseItem="13" numFmtId="4"/>
    <dataField name="Promedio de Grasa (Kg)" fld="13" subtotal="average" baseField="18" baseItem="13" numFmtId="4"/>
    <dataField name="Promedio de Muscle Mass" fld="8" subtotal="average" baseField="18" baseItem="13" numFmtId="4"/>
    <dataField name="Promedio de Grasa" fld="6" subtotal="average" baseField="18" baseItem="7" numFmtId="10"/>
  </dataFields>
  <formats count="3">
    <format dxfId="15">
      <pivotArea outline="0" fieldPosition="0">
        <references count="1">
          <reference field="4294967294" count="1">
            <x v="0"/>
          </reference>
        </references>
      </pivotArea>
    </format>
    <format dxfId="14">
      <pivotArea outline="0" fieldPosition="0">
        <references count="1">
          <reference field="4294967294" count="1">
            <x v="1"/>
          </reference>
        </references>
      </pivotArea>
    </format>
    <format dxfId="13">
      <pivotArea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BB0ECC-8235-4572-A5F2-8144864629A9}" name="TablaDiná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:M22" firstHeaderRow="0" firstDataRow="1" firstDataCol="1" rowPageCount="1" colPageCount="1"/>
  <pivotFields count="24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/>
    <pivotField axis="axisPage" dataField="1" numFmtId="14" showAll="0">
      <items count="8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m="1" x="804"/>
        <item m="1" x="805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m="1" x="802"/>
        <item m="1" x="803"/>
        <item x="716"/>
        <item x="717"/>
        <item x="718"/>
        <item m="1" x="801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68"/>
        <item x="769"/>
        <item x="770"/>
        <item x="749"/>
        <item x="750"/>
        <item x="751"/>
        <item x="752"/>
        <item x="753"/>
        <item x="754"/>
        <item x="755"/>
        <item m="1" x="800"/>
        <item x="756"/>
        <item m="1" x="799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m="1" x="797"/>
        <item m="1" x="798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t="default"/>
      </items>
    </pivotField>
    <pivotField dataField="1" numFmtId="43" showAll="0"/>
    <pivotField numFmtId="165" showAll="0"/>
    <pivotField dataField="1" numFmtId="164" showAll="0"/>
    <pivotField numFmtId="43" showAll="0"/>
    <pivotField dataField="1" numFmtId="43" showAll="0"/>
    <pivotField showAll="0"/>
    <pivotField numFmtId="164" showAll="0"/>
    <pivotField numFmtId="43" showAll="0"/>
    <pivotField numFmtId="164" showAll="0"/>
    <pivotField dataField="1" numFmtId="43" showAll="0"/>
    <pivotField numFmtId="43" showAll="0"/>
    <pivotField showAll="0"/>
    <pivotField numFmtId="165" showAll="0"/>
    <pivotField numFmtId="43" showAll="0"/>
    <pivotField numFmtId="43" showAl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3" hier="-1"/>
  </pageFields>
  <dataFields count="6">
    <dataField name="Desde" fld="3" subtotal="min" baseField="0" baseItem="0" numFmtId="14"/>
    <dataField name="Hasta" fld="3" subtotal="max" baseField="0" baseItem="9" numFmtId="14"/>
    <dataField name="Promedio de Peso (Kg)" fld="4" subtotal="average" baseField="0" baseItem="0" numFmtId="167"/>
    <dataField name="Promedio de Grasa (Kg)" fld="13" subtotal="average" baseField="0" baseItem="0" numFmtId="167"/>
    <dataField name="Promedio de Muscle Mass" fld="8" subtotal="average" baseField="0" baseItem="0" numFmtId="167"/>
    <dataField name="Promedio de Grasa" fld="6" subtotal="average" baseField="0" baseItem="0" numFmtId="10"/>
  </dataFields>
  <formats count="3">
    <format dxfId="18">
      <pivotArea collapsedLevelsAreSubtotals="1" fieldPosition="0">
        <references count="2">
          <reference field="4294967294" count="3" selected="0">
            <x v="2"/>
            <x v="3"/>
            <x v="4"/>
          </reference>
          <reference field="0" count="0"/>
        </references>
      </pivotArea>
    </format>
    <format dxfId="17">
      <pivotArea field="0" grandRow="1" outline="0" collapsedLevelsAreSubtotals="1" axis="axisRow" fieldPosition="0">
        <references count="1">
          <reference field="4294967294" count="3" selected="0">
            <x v="2"/>
            <x v="3"/>
            <x v="4"/>
          </reference>
        </references>
      </pivotArea>
    </format>
    <format dxfId="16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23251A-DFB3-4174-8ED0-122BE76D9EE9}" name="TablaDiná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Q5:V10" firstHeaderRow="0" firstDataRow="1" firstDataCol="1" rowPageCount="1" colPageCount="1"/>
  <pivotFields count="24">
    <pivotField axis="axisPage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/>
    <pivotField axis="axisRow" dataField="1" numFmtId="14" showAll="0">
      <items count="8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m="1" x="804"/>
        <item m="1" x="805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m="1" x="802"/>
        <item m="1" x="803"/>
        <item x="716"/>
        <item x="717"/>
        <item x="718"/>
        <item m="1" x="801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68"/>
        <item x="769"/>
        <item x="770"/>
        <item x="749"/>
        <item x="750"/>
        <item x="751"/>
        <item x="752"/>
        <item x="753"/>
        <item x="754"/>
        <item x="755"/>
        <item m="1" x="800"/>
        <item x="756"/>
        <item m="1" x="799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m="1" x="797"/>
        <item m="1" x="798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t="default"/>
      </items>
    </pivotField>
    <pivotField dataField="1" numFmtId="43" showAll="0"/>
    <pivotField numFmtId="165" showAll="0"/>
    <pivotField numFmtId="164" showAll="0"/>
    <pivotField dataField="1" numFmtId="43" showAll="0"/>
    <pivotField numFmtId="43" showAll="0"/>
    <pivotField showAll="0"/>
    <pivotField numFmtId="164" showAll="0"/>
    <pivotField numFmtId="43" showAll="0"/>
    <pivotField numFmtId="164" showAll="0"/>
    <pivotField numFmtId="43" showAll="0"/>
    <pivotField numFmtId="43" showAll="0"/>
    <pivotField showAll="0"/>
    <pivotField numFmtId="165" showAll="0"/>
    <pivotField numFmtId="43" showAll="0"/>
    <pivotField numFmtId="43" showAll="0"/>
    <pivotField dragToRow="0" dragToCol="0" dragToPage="0" showAll="0" defaultSubtotal="0"/>
    <pivotField dataField="1" dragToRow="0" dragToCol="0" dragToPage="0" showAll="0" defaultSubtota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axis="axisRow" showAll="0">
      <items count="7">
        <item sd="0" x="1"/>
        <item sd="0" x="2"/>
        <item sd="0" x="3"/>
        <item sd="0" x="4"/>
        <item x="0"/>
        <item x="5"/>
        <item t="default"/>
      </items>
    </pivotField>
  </pivotFields>
  <rowFields count="3">
    <field x="23"/>
    <field x="21"/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0" hier="-1"/>
  </pageFields>
  <dataFields count="5">
    <dataField name="Desde" fld="3" subtotal="min" baseField="0" baseItem="0" numFmtId="14"/>
    <dataField name="Hasta" fld="3" subtotal="max" baseField="0" baseItem="9" numFmtId="14"/>
    <dataField name="Promedio de Peso (Kg)" fld="4" subtotal="average" baseField="0" baseItem="0" numFmtId="43"/>
    <dataField name="Promedio de FFM" fld="7" subtotal="average" baseField="0" baseItem="0" numFmtId="43"/>
    <dataField name="%" fld="20" subtotal="average" baseField="0" baseItem="8" numFmtId="164"/>
  </dataFields>
  <formats count="4">
    <format dxfId="22">
      <pivotArea outline="0" fieldPosition="0">
        <references count="1">
          <reference field="4294967294" count="1">
            <x v="1"/>
          </reference>
        </references>
      </pivotArea>
    </format>
    <format dxfId="21">
      <pivotArea outline="0" fieldPosition="0">
        <references count="1">
          <reference field="4294967294" count="1">
            <x v="4"/>
          </reference>
        </references>
      </pivotArea>
    </format>
    <format dxfId="20">
      <pivotArea dataOnly="0" outline="0" fieldPosition="0">
        <references count="1">
          <reference field="4294967294" count="1">
            <x v="4"/>
          </reference>
        </references>
      </pivotArea>
    </format>
    <format dxfId="19">
      <pivotArea dataOnly="0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D3F21B-9D17-4757-B4D2-02120A6D0B67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:I15" firstHeaderRow="1" firstDataRow="2" firstDataCol="1"/>
  <pivotFields count="8">
    <pivotField axis="axisRow" showAll="0">
      <items count="10">
        <item x="4"/>
        <item x="3"/>
        <item x="7"/>
        <item x="5"/>
        <item x="0"/>
        <item x="8"/>
        <item x="6"/>
        <item x="1"/>
        <item x="2"/>
        <item t="default"/>
      </items>
    </pivotField>
    <pivotField axis="axisCol" numFmtId="14" showAll="0">
      <items count="7">
        <item x="1"/>
        <item x="2"/>
        <item x="3"/>
        <item x="4"/>
        <item x="5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@TOTAL" fld="5" baseField="0" baseItem="0" numFmtId="3"/>
  </dataFields>
  <formats count="2">
    <format dxfId="12">
      <pivotArea outline="0" collapsedLevelsAreSubtotals="1" fieldPosition="0">
        <references count="1">
          <reference field="1" count="1" selected="0">
            <x v="4"/>
          </reference>
        </references>
      </pivotArea>
    </format>
    <format dxfId="11">
      <pivotArea dataOnly="0" labelOnly="1" fieldPosition="0">
        <references count="1">
          <reference field="1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6197C8-BE85-4342-9C61-C7A141D6F101}" name="Tabla1" displayName="Tabla1" ref="A1:AD798" totalsRowShown="0" headerRowDxfId="50" dataDxfId="49" headerRowCellStyle="Millares" dataCellStyle="Millares">
  <autoFilter ref="A1:AD798" xr:uid="{186197C8-BE85-4342-9C61-C7A141D6F101}"/>
  <tableColumns count="30">
    <tableColumn id="1" xr3:uid="{5777D615-9ECD-43B7-8F28-B5CB51702AB4}" name="PLAN"/>
    <tableColumn id="2" xr3:uid="{EAEF5685-B35F-425D-8807-880DEAEEF19E}" name="S"/>
    <tableColumn id="3" xr3:uid="{8EB3F28A-19BA-4B66-BDEE-6441035FCD3F}" name="DayOfWeek"/>
    <tableColumn id="4" xr3:uid="{858C5E90-8671-4189-BA6D-84C6BF945C81}" name="Date" dataDxfId="48"/>
    <tableColumn id="5" xr3:uid="{91FABAC6-0190-46B0-825B-5750A5ECCE5D}" name="Peso (Kg)" dataDxfId="47" dataCellStyle="Millares"/>
    <tableColumn id="6" xr3:uid="{5052534E-73D8-4909-A876-7CEBAEDC334D}" name="IMC" dataDxfId="46" dataCellStyle="Millares">
      <calculatedColumnFormula>E2/(1.88^2)</calculatedColumnFormula>
    </tableColumn>
    <tableColumn id="7" xr3:uid="{61ABDDA4-C08B-46A2-A48D-2C550666A1FD}" name="Grasa" dataDxfId="45" dataCellStyle="Porcentaje"/>
    <tableColumn id="8" xr3:uid="{DB8620FB-0A1B-45EF-B5D6-7FD84FE678D3}" name="FFM" dataDxfId="44" dataCellStyle="Millares">
      <calculatedColumnFormula>E2-N2</calculatedColumnFormula>
    </tableColumn>
    <tableColumn id="9" xr3:uid="{47F6CD37-8541-4A00-8138-2A201D019F91}" name="Muscle Mass" dataDxfId="43" dataCellStyle="Millares">
      <calculatedColumnFormula>E2-N2-O2-J2</calculatedColumnFormula>
    </tableColumn>
    <tableColumn id="10" xr3:uid="{51C3A2FD-3415-45B5-93E9-5267FAA8A15D}" name="Óseo (Kg)"/>
    <tableColumn id="11" xr3:uid="{724AB63E-0056-4E9D-B27B-54B93BBDB187}" name="Visceral" dataDxfId="42"/>
    <tableColumn id="12" xr3:uid="{80BA158D-E2D2-4A15-9A06-B58108A3DCB3}" name="TMB" dataDxfId="41" dataCellStyle="Millares"/>
    <tableColumn id="13" xr3:uid="{2088B979-C705-4175-8974-ABF2D9379332}" name="Agua" dataDxfId="40"/>
    <tableColumn id="14" xr3:uid="{FE27A9E5-5C6A-404A-931C-EE50C7403526}" name="Grasa (Kg)" dataDxfId="39" dataCellStyle="Millares">
      <calculatedColumnFormula>E2*G2</calculatedColumnFormula>
    </tableColumn>
    <tableColumn id="15" xr3:uid="{0D16545E-908D-451C-A256-988255080D17}" name="Agua (Kg)" dataDxfId="38" dataCellStyle="Millares">
      <calculatedColumnFormula>M2*E2</calculatedColumnFormula>
    </tableColumn>
    <tableColumn id="29" xr3:uid="{7F866A5D-55C9-4B07-A4C6-86712A800076}" name="Avg Agua)" dataDxfId="37" dataCellStyle="Millares">
      <calculatedColumnFormula>AVERAGE(#REF!)</calculatedColumnFormula>
    </tableColumn>
    <tableColumn id="16" xr3:uid="{30C5C006-ED4A-45D8-A814-BC9D5BBC7A61}" name="No Muscle" dataDxfId="36">
      <calculatedColumnFormula>E2-R2</calculatedColumnFormula>
    </tableColumn>
    <tableColumn id="17" xr3:uid="{A26E3014-660D-4BDD-8661-2BA05BC7885F}" name="Protein" dataDxfId="35" dataCellStyle="Millares">
      <calculatedColumnFormula>I2</calculatedColumnFormula>
    </tableColumn>
    <tableColumn id="18" xr3:uid="{F4F7B4FC-8DF5-4543-A10C-4EE8724CCCD3}" name="Visceral2" dataDxfId="34" dataCellStyle="Millares">
      <calculatedColumnFormula>K2*E2</calculatedColumnFormula>
    </tableColumn>
    <tableColumn id="19" xr3:uid="{055006CF-93B1-4F7E-8DFE-3539A1F41BC9}" name="Inc Muscle(+)" dataDxfId="33" dataCellStyle="Millares">
      <calculatedColumnFormula>I2-I1</calculatedColumnFormula>
    </tableColumn>
    <tableColumn id="20" xr3:uid="{A13C9694-F8F3-4B0E-AF1D-C3FDC70F49C2}" name="Dec Fat(-)" dataDxfId="32" dataCellStyle="Millares">
      <calculatedColumnFormula>N2-N1</calculatedColumnFormula>
    </tableColumn>
    <tableColumn id="21" xr3:uid="{580ECA4C-3144-4DD9-AF67-4B36B1C760EB}" name="Peso (Diff)" dataDxfId="31" dataCellStyle="Millares">
      <calculatedColumnFormula>E2-E1</calculatedColumnFormula>
    </tableColumn>
    <tableColumn id="27" xr3:uid="{9A865668-D697-4C1F-B5AE-2F8A38D595FC}" name="%Musculo" dataDxfId="30" dataCellStyle="Porcentaje">
      <calculatedColumnFormula>Tabla1[[#This Row],[Protein]]/Tabla1[[#This Row],[Peso (Kg)]]</calculatedColumnFormula>
    </tableColumn>
    <tableColumn id="28" xr3:uid="{692722E3-39E8-443D-B0E8-6D3823511B71}" name="AVG%Musculo" dataDxfId="29" dataCellStyle="Porcentaje"/>
    <tableColumn id="22" xr3:uid="{1ACFF89B-E647-4422-8F7D-64ACAEE1EA9E}" name="Peso Real" dataDxfId="28" dataCellStyle="Millares">
      <calculatedColumnFormula>R2+N2+J2</calculatedColumnFormula>
    </tableColumn>
    <tableColumn id="23" xr3:uid="{E84A3170-E990-4ACB-BF01-AFFBE08ECF6D}" name="Avg Peso" dataDxfId="27" dataCellStyle="Millares"/>
    <tableColumn id="24" xr3:uid="{5A417BD9-EE89-41C6-AF71-03F55C7F9736}" name="Avg Grasa" dataDxfId="26" dataCellStyle="Millares"/>
    <tableColumn id="25" xr3:uid="{63D6B5D3-6E77-4F27-BD72-29C06282B6D6}" name="Avg Musculo" dataDxfId="25" dataCellStyle="Millares"/>
    <tableColumn id="26" xr3:uid="{B181D41B-F58C-48A1-A561-09245B0FC5DC}" name="Columna3" dataDxfId="24" dataCellStyle="Millares">
      <calculatedColumnFormula>100*(AB2/AB1-1)</calculatedColumnFormula>
    </tableColumn>
    <tableColumn id="30" xr3:uid="{1829D8F7-F506-405D-9009-74C227CB57E9}" name="Ratio " dataDxfId="23" dataCellStyle="Millares">
      <calculatedColumnFormula>Tabla1[[#This Row],[Avg Agua)]]/Tabla1[[#This Row],[Avg Musculo]]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0625C-8345-40E0-A890-F66C1E411EF2}">
  <dimension ref="A1:AM798"/>
  <sheetViews>
    <sheetView topLeftCell="P1" zoomScaleNormal="100" workbookViewId="0">
      <pane ySplit="1" topLeftCell="A783" activePane="bottomLeft" state="frozen"/>
      <selection activeCell="G1" sqref="G1"/>
      <selection pane="bottomLeft" activeCell="AB806" sqref="AB806"/>
    </sheetView>
  </sheetViews>
  <sheetFormatPr baseColWidth="10" defaultRowHeight="14.4" x14ac:dyDescent="0.3"/>
  <cols>
    <col min="1" max="1" width="7.44140625" customWidth="1"/>
    <col min="2" max="2" width="3.88671875" customWidth="1"/>
    <col min="3" max="3" width="12.88671875" customWidth="1"/>
    <col min="5" max="5" width="12.109375" customWidth="1"/>
    <col min="6" max="6" width="6.33203125" customWidth="1"/>
    <col min="7" max="7" width="8.33203125" style="9" bestFit="1" customWidth="1"/>
    <col min="8" max="8" width="10.109375" customWidth="1"/>
    <col min="9" max="9" width="17.5546875" bestFit="1" customWidth="1"/>
    <col min="10" max="10" width="11" customWidth="1"/>
    <col min="11" max="11" width="9.33203125" customWidth="1"/>
    <col min="12" max="12" width="11.109375" style="18" bestFit="1" customWidth="1"/>
    <col min="13" max="13" width="9.6640625" bestFit="1" customWidth="1"/>
    <col min="14" max="14" width="15.33203125" bestFit="1" customWidth="1"/>
    <col min="15" max="15" width="15.44140625" style="22" bestFit="1" customWidth="1"/>
    <col min="16" max="16" width="14.109375" bestFit="1" customWidth="1"/>
    <col min="17" max="17" width="14.33203125" bestFit="1" customWidth="1"/>
    <col min="18" max="18" width="12.88671875" bestFit="1" customWidth="1"/>
    <col min="19" max="19" width="11.6640625" customWidth="1"/>
    <col min="20" max="20" width="14.33203125" customWidth="1"/>
    <col min="21" max="21" width="11" customWidth="1"/>
    <col min="22" max="22" width="11.6640625" customWidth="1"/>
    <col min="23" max="24" width="11.6640625" style="9" customWidth="1"/>
    <col min="25" max="25" width="12.33203125" customWidth="1"/>
    <col min="26" max="26" width="11.88671875" customWidth="1"/>
    <col min="27" max="27" width="12.5546875" customWidth="1"/>
    <col min="28" max="28" width="17.6640625" bestFit="1" customWidth="1"/>
    <col min="29" max="29" width="12.6640625" style="6" customWidth="1"/>
    <col min="30" max="30" width="12.6640625" style="42" customWidth="1"/>
    <col min="31" max="31" width="16.44140625" bestFit="1" customWidth="1"/>
  </cols>
  <sheetData>
    <row r="1" spans="1:39" s="1" customFormat="1" x14ac:dyDescent="0.3">
      <c r="A1" s="1" t="s">
        <v>31</v>
      </c>
      <c r="B1" s="1" t="s">
        <v>0</v>
      </c>
      <c r="C1" s="1" t="s">
        <v>1</v>
      </c>
      <c r="D1" s="1" t="s">
        <v>2</v>
      </c>
      <c r="E1" s="2" t="s">
        <v>17</v>
      </c>
      <c r="F1" s="1" t="s">
        <v>3</v>
      </c>
      <c r="G1" s="3" t="s">
        <v>4</v>
      </c>
      <c r="H1" s="2" t="s">
        <v>5</v>
      </c>
      <c r="I1" s="2" t="s">
        <v>6</v>
      </c>
      <c r="J1" s="1" t="s">
        <v>16</v>
      </c>
      <c r="K1" s="1" t="s">
        <v>7</v>
      </c>
      <c r="L1" s="16" t="s">
        <v>8</v>
      </c>
      <c r="M1" s="3" t="s">
        <v>9</v>
      </c>
      <c r="N1" s="2" t="s">
        <v>10</v>
      </c>
      <c r="O1" s="20" t="s">
        <v>11</v>
      </c>
      <c r="P1" s="1" t="s">
        <v>172</v>
      </c>
      <c r="Q1" s="1" t="s">
        <v>12</v>
      </c>
      <c r="R1" s="2" t="s">
        <v>13</v>
      </c>
      <c r="S1" s="2" t="s">
        <v>66</v>
      </c>
      <c r="T1" s="1" t="s">
        <v>14</v>
      </c>
      <c r="U1" s="1" t="s">
        <v>15</v>
      </c>
      <c r="V1" s="1" t="s">
        <v>19</v>
      </c>
      <c r="W1" s="3" t="s">
        <v>147</v>
      </c>
      <c r="X1" s="3" t="s">
        <v>148</v>
      </c>
      <c r="Y1" s="2" t="s">
        <v>18</v>
      </c>
      <c r="Z1" s="2" t="s">
        <v>27</v>
      </c>
      <c r="AA1" s="2" t="s">
        <v>28</v>
      </c>
      <c r="AB1" s="2" t="s">
        <v>29</v>
      </c>
      <c r="AC1" s="2" t="s">
        <v>67</v>
      </c>
      <c r="AD1" s="41" t="s">
        <v>173</v>
      </c>
      <c r="AF1" s="1">
        <f>D134-D2</f>
        <v>158</v>
      </c>
      <c r="AG1" s="11" t="str">
        <f>E1</f>
        <v>Peso (Kg)</v>
      </c>
      <c r="AH1" s="11" t="str">
        <f>I1</f>
        <v>Muscle Mass</v>
      </c>
      <c r="AI1" s="11" t="str">
        <f>N1</f>
        <v>Grasa (Kg)</v>
      </c>
      <c r="AJ1" s="11" t="str">
        <f>O1</f>
        <v>Agua (Kg)</v>
      </c>
      <c r="AK1" s="11" t="str">
        <f>S1</f>
        <v>Visceral2</v>
      </c>
      <c r="AL1" s="11" t="str">
        <f>Y1</f>
        <v>Peso Real</v>
      </c>
      <c r="AM1" s="1" t="s">
        <v>30</v>
      </c>
    </row>
    <row r="2" spans="1:39" x14ac:dyDescent="0.3">
      <c r="A2">
        <v>1</v>
      </c>
      <c r="B2">
        <v>1</v>
      </c>
      <c r="C2" t="s">
        <v>21</v>
      </c>
      <c r="D2" s="4">
        <v>45110</v>
      </c>
      <c r="E2" s="6">
        <v>93.95</v>
      </c>
      <c r="F2" s="7">
        <f t="shared" ref="F2:F6" si="0">E2/(1.88^2)</f>
        <v>26.581598008148486</v>
      </c>
      <c r="G2" s="9">
        <v>0.189</v>
      </c>
      <c r="H2" s="6">
        <f t="shared" ref="H2:H6" si="1">E2-N2</f>
        <v>76.193449999999999</v>
      </c>
      <c r="I2" s="6">
        <f t="shared" ref="I2:I6" si="2">E2-N2-O2-J2</f>
        <v>24.015249999999998</v>
      </c>
      <c r="J2">
        <v>3.7</v>
      </c>
      <c r="K2" s="5">
        <v>8.5000000000000006E-2</v>
      </c>
      <c r="L2" s="17">
        <v>2218</v>
      </c>
      <c r="M2" s="5">
        <v>0.51600000000000001</v>
      </c>
      <c r="N2" s="6">
        <f>E2*G2</f>
        <v>17.756550000000001</v>
      </c>
      <c r="O2" s="21">
        <f t="shared" ref="O2:O6" si="3">M2*E2</f>
        <v>48.478200000000001</v>
      </c>
      <c r="P2" s="8"/>
      <c r="Q2" s="8">
        <f t="shared" ref="Q2:Q6" si="4">E2-R2</f>
        <v>69.934750000000008</v>
      </c>
      <c r="R2" s="6">
        <f t="shared" ref="R2:R6" si="5">I2</f>
        <v>24.015249999999998</v>
      </c>
      <c r="S2" s="6">
        <f t="shared" ref="S2:S6" si="6">K2*E2</f>
        <v>7.9857500000000012</v>
      </c>
      <c r="T2" s="6"/>
      <c r="U2" s="6"/>
      <c r="W2" s="9">
        <f>Tabla1[[#This Row],[Protein]]/Tabla1[[#This Row],[Peso (Kg)]]</f>
        <v>0.25561734965407129</v>
      </c>
      <c r="X2" s="9">
        <f>Tabla1[[#This Row],[%Musculo]]</f>
        <v>0.25561734965407129</v>
      </c>
      <c r="Y2" s="6">
        <f>R2+N2+J2</f>
        <v>45.471800000000002</v>
      </c>
      <c r="Z2" s="6">
        <f>E2</f>
        <v>93.95</v>
      </c>
      <c r="AA2" s="6"/>
      <c r="AB2" s="6"/>
    </row>
    <row r="3" spans="1:39" x14ac:dyDescent="0.3">
      <c r="A3">
        <v>1</v>
      </c>
      <c r="B3">
        <v>1</v>
      </c>
      <c r="C3" t="s">
        <v>23</v>
      </c>
      <c r="D3" s="4">
        <f>D2+1</f>
        <v>45111</v>
      </c>
      <c r="E3" s="6">
        <v>94</v>
      </c>
      <c r="F3" s="7">
        <f t="shared" si="0"/>
        <v>26.595744680851066</v>
      </c>
      <c r="G3" s="9">
        <v>0.189</v>
      </c>
      <c r="H3" s="6">
        <f t="shared" si="1"/>
        <v>76.233999999999995</v>
      </c>
      <c r="I3" s="6">
        <f t="shared" si="2"/>
        <v>24.02999999999999</v>
      </c>
      <c r="J3">
        <v>3.7</v>
      </c>
      <c r="K3" s="5">
        <v>8.5000000000000006E-2</v>
      </c>
      <c r="L3" s="17">
        <v>2218</v>
      </c>
      <c r="M3" s="5">
        <v>0.51600000000000001</v>
      </c>
      <c r="N3" s="6">
        <f t="shared" ref="N3:N66" si="7">E3*G3</f>
        <v>17.766000000000002</v>
      </c>
      <c r="O3" s="21">
        <f t="shared" si="3"/>
        <v>48.504000000000005</v>
      </c>
      <c r="P3" s="8"/>
      <c r="Q3" s="8">
        <f t="shared" si="4"/>
        <v>69.970000000000013</v>
      </c>
      <c r="R3" s="6">
        <f t="shared" si="5"/>
        <v>24.02999999999999</v>
      </c>
      <c r="S3" s="6">
        <f t="shared" si="6"/>
        <v>7.99</v>
      </c>
      <c r="T3" s="6">
        <f t="shared" ref="T3:T9" si="8">I3-I2</f>
        <v>1.4749999999992269E-2</v>
      </c>
      <c r="U3" s="6">
        <f t="shared" ref="U3:U9" si="9">N3-N2</f>
        <v>9.4500000000010687E-3</v>
      </c>
      <c r="V3" s="6">
        <f>E3-E2</f>
        <v>4.9999999999997158E-2</v>
      </c>
      <c r="W3" s="9">
        <f>Tabla1[[#This Row],[Protein]]/Tabla1[[#This Row],[Peso (Kg)]]</f>
        <v>0.25563829787234033</v>
      </c>
      <c r="X3" s="9">
        <f>Tabla1[[#This Row],[%Musculo]]</f>
        <v>0.25563829787234033</v>
      </c>
      <c r="Y3" s="6">
        <f t="shared" ref="Y3:Y8" si="10">R3+N3+J3</f>
        <v>45.495999999999995</v>
      </c>
      <c r="Z3" s="6">
        <f t="shared" ref="Z3:Z7" si="11">E3</f>
        <v>94</v>
      </c>
      <c r="AA3" s="6"/>
      <c r="AB3" s="6"/>
    </row>
    <row r="4" spans="1:39" x14ac:dyDescent="0.3">
      <c r="A4">
        <v>1</v>
      </c>
      <c r="B4">
        <v>1</v>
      </c>
      <c r="C4" t="s">
        <v>24</v>
      </c>
      <c r="D4" s="4">
        <f t="shared" ref="D4:D29" si="12">D3+1</f>
        <v>45112</v>
      </c>
      <c r="E4" s="6">
        <v>92.7</v>
      </c>
      <c r="F4" s="7">
        <f t="shared" si="0"/>
        <v>26.227931190583977</v>
      </c>
      <c r="G4" s="9">
        <v>0.18099999999999999</v>
      </c>
      <c r="H4" s="6">
        <f t="shared" si="1"/>
        <v>75.921300000000002</v>
      </c>
      <c r="I4" s="6">
        <f t="shared" si="2"/>
        <v>24.851600000000001</v>
      </c>
      <c r="J4">
        <v>3.7</v>
      </c>
      <c r="K4" s="5">
        <v>0.08</v>
      </c>
      <c r="L4" s="17">
        <v>2207</v>
      </c>
      <c r="M4" s="5">
        <v>0.51100000000000001</v>
      </c>
      <c r="N4" s="6">
        <f t="shared" si="7"/>
        <v>16.778700000000001</v>
      </c>
      <c r="O4" s="21">
        <f t="shared" si="3"/>
        <v>47.369700000000002</v>
      </c>
      <c r="P4" s="8"/>
      <c r="Q4" s="8">
        <f t="shared" si="4"/>
        <v>67.848399999999998</v>
      </c>
      <c r="R4" s="6">
        <f t="shared" si="5"/>
        <v>24.851600000000001</v>
      </c>
      <c r="S4" s="6">
        <f t="shared" si="6"/>
        <v>7.4160000000000004</v>
      </c>
      <c r="T4" s="6">
        <f t="shared" si="8"/>
        <v>0.82160000000001077</v>
      </c>
      <c r="U4" s="6">
        <f t="shared" si="9"/>
        <v>-0.98730000000000118</v>
      </c>
      <c r="V4" s="6">
        <f t="shared" ref="V4:V6" si="13">E4-E3</f>
        <v>-1.2999999999999972</v>
      </c>
      <c r="W4" s="9">
        <f>Tabla1[[#This Row],[Protein]]/Tabla1[[#This Row],[Peso (Kg)]]</f>
        <v>0.26808629989212512</v>
      </c>
      <c r="X4" s="9">
        <f>Tabla1[[#This Row],[%Musculo]]</f>
        <v>0.26808629989212512</v>
      </c>
      <c r="Y4" s="6">
        <f t="shared" si="10"/>
        <v>45.330300000000008</v>
      </c>
      <c r="Z4" s="6">
        <f t="shared" si="11"/>
        <v>92.7</v>
      </c>
      <c r="AA4" s="6"/>
      <c r="AB4" s="6"/>
    </row>
    <row r="5" spans="1:39" x14ac:dyDescent="0.3">
      <c r="A5">
        <v>1</v>
      </c>
      <c r="B5">
        <v>1</v>
      </c>
      <c r="C5" t="s">
        <v>22</v>
      </c>
      <c r="D5" s="4">
        <f t="shared" si="12"/>
        <v>45113</v>
      </c>
      <c r="E5" s="6">
        <v>93.2</v>
      </c>
      <c r="F5" s="7">
        <f t="shared" si="0"/>
        <v>26.369397917609781</v>
      </c>
      <c r="G5" s="9">
        <v>0.189</v>
      </c>
      <c r="H5" s="6">
        <f t="shared" si="1"/>
        <v>75.5852</v>
      </c>
      <c r="I5" s="6">
        <f t="shared" si="2"/>
        <v>24.26</v>
      </c>
      <c r="J5">
        <v>3.7</v>
      </c>
      <c r="K5" s="5">
        <v>8.5000000000000006E-2</v>
      </c>
      <c r="L5" s="17">
        <v>2200</v>
      </c>
      <c r="M5" s="5">
        <v>0.51100000000000001</v>
      </c>
      <c r="N5" s="6">
        <f t="shared" si="7"/>
        <v>17.614799999999999</v>
      </c>
      <c r="O5" s="21">
        <f t="shared" si="3"/>
        <v>47.6252</v>
      </c>
      <c r="P5" s="8"/>
      <c r="Q5" s="8">
        <f t="shared" si="4"/>
        <v>68.94</v>
      </c>
      <c r="R5" s="6">
        <f t="shared" si="5"/>
        <v>24.26</v>
      </c>
      <c r="S5" s="6">
        <f t="shared" si="6"/>
        <v>7.9220000000000006</v>
      </c>
      <c r="T5" s="6">
        <f t="shared" si="8"/>
        <v>-0.59159999999999968</v>
      </c>
      <c r="U5" s="6">
        <f t="shared" si="9"/>
        <v>0.83609999999999829</v>
      </c>
      <c r="V5" s="6">
        <f t="shared" si="13"/>
        <v>0.5</v>
      </c>
      <c r="W5" s="9">
        <f>Tabla1[[#This Row],[Protein]]/Tabla1[[#This Row],[Peso (Kg)]]</f>
        <v>0.26030042918454938</v>
      </c>
      <c r="X5" s="9">
        <f>Tabla1[[#This Row],[%Musculo]]</f>
        <v>0.26030042918454938</v>
      </c>
      <c r="Y5" s="6">
        <f t="shared" si="10"/>
        <v>45.574800000000003</v>
      </c>
      <c r="Z5" s="6">
        <f t="shared" si="11"/>
        <v>93.2</v>
      </c>
      <c r="AA5" s="6"/>
      <c r="AB5" s="6"/>
    </row>
    <row r="6" spans="1:39" x14ac:dyDescent="0.3">
      <c r="A6">
        <v>1</v>
      </c>
      <c r="B6">
        <v>1</v>
      </c>
      <c r="C6" t="s">
        <v>20</v>
      </c>
      <c r="D6" s="4">
        <f t="shared" si="12"/>
        <v>45114</v>
      </c>
      <c r="E6" s="6">
        <v>93.05</v>
      </c>
      <c r="F6" s="7">
        <f t="shared" si="0"/>
        <v>26.326957899502037</v>
      </c>
      <c r="G6" s="9">
        <v>0.189</v>
      </c>
      <c r="H6" s="6">
        <f t="shared" si="1"/>
        <v>75.463549999999998</v>
      </c>
      <c r="I6" s="6">
        <f t="shared" si="2"/>
        <v>23.749749999999995</v>
      </c>
      <c r="J6">
        <v>3.7</v>
      </c>
      <c r="K6" s="5">
        <v>8.5000000000000006E-2</v>
      </c>
      <c r="L6" s="17">
        <v>2196</v>
      </c>
      <c r="M6" s="5">
        <v>0.51600000000000001</v>
      </c>
      <c r="N6" s="6">
        <f t="shared" si="7"/>
        <v>17.586449999999999</v>
      </c>
      <c r="O6" s="21">
        <f t="shared" si="3"/>
        <v>48.013800000000003</v>
      </c>
      <c r="P6" s="8"/>
      <c r="Q6" s="8">
        <f t="shared" si="4"/>
        <v>69.300250000000005</v>
      </c>
      <c r="R6" s="6">
        <f t="shared" si="5"/>
        <v>23.749749999999995</v>
      </c>
      <c r="S6" s="6">
        <f t="shared" si="6"/>
        <v>7.9092500000000001</v>
      </c>
      <c r="T6" s="6">
        <f t="shared" si="8"/>
        <v>-0.51025000000000631</v>
      </c>
      <c r="U6" s="6">
        <f t="shared" si="9"/>
        <v>-2.8349999999999653E-2</v>
      </c>
      <c r="V6" s="6">
        <f t="shared" si="13"/>
        <v>-0.15000000000000568</v>
      </c>
      <c r="W6" s="9">
        <f>Tabla1[[#This Row],[Protein]]/Tabla1[[#This Row],[Peso (Kg)]]</f>
        <v>0.25523643202579255</v>
      </c>
      <c r="X6" s="9">
        <f>Tabla1[[#This Row],[%Musculo]]</f>
        <v>0.25523643202579255</v>
      </c>
      <c r="Y6" s="6">
        <f t="shared" si="10"/>
        <v>45.036199999999994</v>
      </c>
      <c r="Z6" s="6">
        <f t="shared" si="11"/>
        <v>93.05</v>
      </c>
      <c r="AA6" s="6"/>
      <c r="AB6" s="6"/>
    </row>
    <row r="7" spans="1:39" x14ac:dyDescent="0.3">
      <c r="A7">
        <v>1</v>
      </c>
      <c r="B7">
        <v>1</v>
      </c>
      <c r="C7" t="s">
        <v>25</v>
      </c>
      <c r="D7" s="4">
        <f t="shared" si="12"/>
        <v>45115</v>
      </c>
      <c r="E7" s="6">
        <v>93.45</v>
      </c>
      <c r="F7" s="7">
        <f t="shared" ref="F7" si="14">E7/(1.88^2)</f>
        <v>26.440131281122682</v>
      </c>
      <c r="G7" s="9">
        <v>0.19</v>
      </c>
      <c r="H7" s="6">
        <f t="shared" ref="H7" si="15">E7-N7</f>
        <v>75.694500000000005</v>
      </c>
      <c r="I7" s="6">
        <f t="shared" ref="I7" si="16">E7-N7-O7-J7</f>
        <v>23.680850000000003</v>
      </c>
      <c r="J7">
        <v>3.7</v>
      </c>
      <c r="K7" s="5">
        <v>8.5000000000000006E-2</v>
      </c>
      <c r="L7" s="17">
        <v>2204</v>
      </c>
      <c r="M7" s="5">
        <v>0.51700000000000002</v>
      </c>
      <c r="N7" s="6">
        <f t="shared" si="7"/>
        <v>17.755500000000001</v>
      </c>
      <c r="O7" s="21">
        <f t="shared" ref="O7" si="17">M7*E7</f>
        <v>48.313650000000003</v>
      </c>
      <c r="P7" s="8"/>
      <c r="Q7" s="8">
        <f t="shared" ref="Q7" si="18">E7-R7</f>
        <v>69.769149999999996</v>
      </c>
      <c r="R7" s="6">
        <f t="shared" ref="R7" si="19">I7</f>
        <v>23.680850000000003</v>
      </c>
      <c r="S7" s="6">
        <f t="shared" ref="S7" si="20">K7*E7</f>
        <v>7.9432500000000008</v>
      </c>
      <c r="T7" s="6">
        <f t="shared" si="8"/>
        <v>-6.889999999999219E-2</v>
      </c>
      <c r="U7" s="6">
        <f t="shared" si="9"/>
        <v>0.16905000000000214</v>
      </c>
      <c r="V7" s="6">
        <f t="shared" ref="V7" si="21">E7-E6</f>
        <v>0.40000000000000568</v>
      </c>
      <c r="W7" s="9">
        <f>Tabla1[[#This Row],[Protein]]/Tabla1[[#This Row],[Peso (Kg)]]</f>
        <v>0.25340663456393797</v>
      </c>
      <c r="X7" s="9">
        <f t="shared" ref="X7" si="22">AVERAGE(W1:W7)</f>
        <v>0.25804757386546945</v>
      </c>
      <c r="Y7" s="6">
        <f t="shared" si="10"/>
        <v>45.136350000000007</v>
      </c>
      <c r="Z7" s="6">
        <f t="shared" si="11"/>
        <v>93.45</v>
      </c>
      <c r="AA7" s="6"/>
      <c r="AB7" s="6"/>
    </row>
    <row r="8" spans="1:39" x14ac:dyDescent="0.3">
      <c r="A8">
        <v>1</v>
      </c>
      <c r="B8">
        <v>1</v>
      </c>
      <c r="C8" t="s">
        <v>26</v>
      </c>
      <c r="D8" s="4">
        <f t="shared" si="12"/>
        <v>45116</v>
      </c>
      <c r="E8" s="6">
        <v>93.75</v>
      </c>
      <c r="F8" s="7">
        <f t="shared" ref="F8:F22" si="23">E8/(1.88^2)</f>
        <v>26.525011317338162</v>
      </c>
      <c r="G8" s="9">
        <v>0.192</v>
      </c>
      <c r="H8" s="6">
        <f t="shared" ref="H8:H15" si="24">E8-N8</f>
        <v>75.75</v>
      </c>
      <c r="I8" s="6">
        <f t="shared" ref="I8:I15" si="25">E8-N8-O8-J8</f>
        <v>23.862500000000001</v>
      </c>
      <c r="J8">
        <v>3.7</v>
      </c>
      <c r="K8" s="5">
        <v>8.5000000000000006E-2</v>
      </c>
      <c r="L8" s="17">
        <v>2206</v>
      </c>
      <c r="M8" s="5">
        <v>0.51400000000000001</v>
      </c>
      <c r="N8" s="6">
        <f t="shared" si="7"/>
        <v>18</v>
      </c>
      <c r="O8" s="21">
        <f t="shared" ref="O8:O9" si="26">M8*E8</f>
        <v>48.1875</v>
      </c>
      <c r="P8" s="8">
        <f>AVERAGE(O2:O8)</f>
        <v>48.07029285714286</v>
      </c>
      <c r="Q8" s="8">
        <f t="shared" ref="Q8" si="27">E8-R8</f>
        <v>69.887500000000003</v>
      </c>
      <c r="R8" s="6">
        <f t="shared" ref="R8" si="28">I8</f>
        <v>23.862500000000001</v>
      </c>
      <c r="S8" s="6">
        <f t="shared" ref="S8:S9" si="29">K8*E8</f>
        <v>7.9687500000000009</v>
      </c>
      <c r="T8" s="6">
        <f t="shared" si="8"/>
        <v>0.18164999999999765</v>
      </c>
      <c r="U8" s="6">
        <f t="shared" si="9"/>
        <v>0.24449999999999861</v>
      </c>
      <c r="V8" s="6">
        <f t="shared" ref="V8" si="30">E8-E7</f>
        <v>0.29999999999999716</v>
      </c>
      <c r="W8" s="9">
        <f>Tabla1[[#This Row],[Protein]]/Tabla1[[#This Row],[Peso (Kg)]]</f>
        <v>0.25453333333333333</v>
      </c>
      <c r="X8" s="9">
        <f>AVERAGE(W2:W8)</f>
        <v>0.25754553950373571</v>
      </c>
      <c r="Y8" s="6">
        <f t="shared" si="10"/>
        <v>45.5625</v>
      </c>
      <c r="Z8" s="6">
        <f>AVERAGE(E2:E8)</f>
        <v>93.44285714285715</v>
      </c>
      <c r="AA8" s="6">
        <f t="shared" ref="AA8:AA13" si="31">AVERAGE(N2:N8)</f>
        <v>17.608285714285714</v>
      </c>
      <c r="AB8" s="6">
        <f t="shared" ref="AB8:AB13" si="32">AVERAGE(I2:I8)</f>
        <v>24.06427857142857</v>
      </c>
      <c r="AD8" s="42">
        <f>Tabla1[[#This Row],[Avg Agua)]]/Tabla1[[#This Row],[Avg Musculo]]</f>
        <v>1.9975788060489186</v>
      </c>
    </row>
    <row r="9" spans="1:39" x14ac:dyDescent="0.3">
      <c r="A9">
        <v>1</v>
      </c>
      <c r="B9">
        <v>2</v>
      </c>
      <c r="C9" t="s">
        <v>21</v>
      </c>
      <c r="D9" s="4">
        <f t="shared" si="12"/>
        <v>45117</v>
      </c>
      <c r="E9" s="6">
        <v>93.85</v>
      </c>
      <c r="F9" s="7">
        <f t="shared" si="23"/>
        <v>26.553304662743322</v>
      </c>
      <c r="G9" s="9">
        <v>0.191</v>
      </c>
      <c r="H9" s="6">
        <f t="shared" si="24"/>
        <v>75.92465</v>
      </c>
      <c r="I9" s="6">
        <f t="shared" si="25"/>
        <v>23.516500000000004</v>
      </c>
      <c r="J9">
        <v>3.7</v>
      </c>
      <c r="K9" s="5">
        <v>8.5000000000000006E-2</v>
      </c>
      <c r="L9" s="17">
        <v>2211</v>
      </c>
      <c r="M9" s="5">
        <v>0.51900000000000002</v>
      </c>
      <c r="N9" s="6">
        <f t="shared" si="7"/>
        <v>17.925349999999998</v>
      </c>
      <c r="O9" s="21">
        <f t="shared" si="26"/>
        <v>48.708149999999996</v>
      </c>
      <c r="P9" s="8">
        <f t="shared" ref="P9:P72" si="33">AVERAGE(O3:O9)</f>
        <v>48.103142857142863</v>
      </c>
      <c r="Q9" s="8">
        <f t="shared" ref="Q9" si="34">E9-R9</f>
        <v>70.333499999999987</v>
      </c>
      <c r="R9" s="6">
        <f t="shared" ref="R9" si="35">I9</f>
        <v>23.516500000000004</v>
      </c>
      <c r="S9" s="6">
        <f t="shared" si="29"/>
        <v>7.9772499999999997</v>
      </c>
      <c r="T9" s="6">
        <f t="shared" si="8"/>
        <v>-0.34599999999999653</v>
      </c>
      <c r="U9" s="6">
        <f t="shared" si="9"/>
        <v>-7.4650000000001882E-2</v>
      </c>
      <c r="V9" s="6">
        <f t="shared" ref="V9" si="36">E9-E8</f>
        <v>9.9999999999994316E-2</v>
      </c>
      <c r="W9" s="9">
        <f>Tabla1[[#This Row],[Protein]]/Tabla1[[#This Row],[Peso (Kg)]]</f>
        <v>0.25057538625466175</v>
      </c>
      <c r="X9" s="9">
        <f t="shared" ref="X9:X72" si="37">AVERAGE(W3:W9)</f>
        <v>0.25682525901810577</v>
      </c>
      <c r="Y9" s="6">
        <f t="shared" ref="Y9" si="38">R9+N9+J9</f>
        <v>45.141850000000005</v>
      </c>
      <c r="Z9" s="6">
        <f t="shared" ref="Z9:Z72" si="39">AVERAGE(E3:E9)</f>
        <v>93.428571428571431</v>
      </c>
      <c r="AA9" s="6">
        <f t="shared" si="31"/>
        <v>17.632400000000001</v>
      </c>
      <c r="AB9" s="6">
        <f t="shared" si="32"/>
        <v>23.993028571428571</v>
      </c>
      <c r="AC9" s="6">
        <f>100*(AB9/AB8-1)</f>
        <v>-0.29608201130365552</v>
      </c>
      <c r="AD9" s="42">
        <f>Tabla1[[#This Row],[Avg Agua)]]/Tabla1[[#This Row],[Avg Musculo]]</f>
        <v>2.0048799889491713</v>
      </c>
    </row>
    <row r="10" spans="1:39" x14ac:dyDescent="0.3">
      <c r="A10">
        <v>1</v>
      </c>
      <c r="B10">
        <v>2</v>
      </c>
      <c r="C10" t="s">
        <v>23</v>
      </c>
      <c r="D10" s="4">
        <f t="shared" si="12"/>
        <v>45118</v>
      </c>
      <c r="E10" s="6">
        <v>93.6</v>
      </c>
      <c r="F10" s="7">
        <f t="shared" si="23"/>
        <v>26.482571299230422</v>
      </c>
      <c r="G10" s="9">
        <v>0.191</v>
      </c>
      <c r="H10" s="6">
        <f t="shared" si="24"/>
        <v>75.722399999999993</v>
      </c>
      <c r="I10" s="6">
        <f t="shared" si="25"/>
        <v>24.099199999999993</v>
      </c>
      <c r="J10">
        <v>3.7</v>
      </c>
      <c r="K10" s="5">
        <v>8.5000000000000006E-2</v>
      </c>
      <c r="L10" s="17">
        <v>2205</v>
      </c>
      <c r="M10" s="5">
        <v>0.51200000000000001</v>
      </c>
      <c r="N10" s="6">
        <f t="shared" si="7"/>
        <v>17.877599999999997</v>
      </c>
      <c r="O10" s="21">
        <f t="shared" ref="O10:O15" si="40">M10*E10</f>
        <v>47.923200000000001</v>
      </c>
      <c r="P10" s="8">
        <f t="shared" si="33"/>
        <v>48.02017142857143</v>
      </c>
      <c r="Q10" s="8">
        <f t="shared" ref="Q10" si="41">E10-R10</f>
        <v>69.500799999999998</v>
      </c>
      <c r="R10" s="6">
        <f t="shared" ref="R10" si="42">I10</f>
        <v>24.099199999999993</v>
      </c>
      <c r="S10" s="6">
        <f t="shared" ref="S10:S15" si="43">K10*E10</f>
        <v>7.9560000000000004</v>
      </c>
      <c r="T10" s="6">
        <f t="shared" ref="T10" si="44">I10-I9</f>
        <v>0.58269999999998845</v>
      </c>
      <c r="U10" s="6">
        <f t="shared" ref="U10" si="45">N10-N9</f>
        <v>-4.7750000000000625E-2</v>
      </c>
      <c r="V10" s="6">
        <f t="shared" ref="V10" si="46">E10-E9</f>
        <v>-0.25</v>
      </c>
      <c r="W10" s="9">
        <f>Tabla1[[#This Row],[Protein]]/Tabla1[[#This Row],[Peso (Kg)]]</f>
        <v>0.25747008547008543</v>
      </c>
      <c r="X10" s="9">
        <f t="shared" si="37"/>
        <v>0.25708694296064083</v>
      </c>
      <c r="Y10" s="6">
        <f t="shared" ref="Y10" si="47">R10+N10+J10</f>
        <v>45.676799999999993</v>
      </c>
      <c r="Z10" s="6">
        <f t="shared" si="39"/>
        <v>93.371428571428581</v>
      </c>
      <c r="AA10" s="6">
        <f t="shared" si="31"/>
        <v>17.648342857142858</v>
      </c>
      <c r="AB10" s="6">
        <f t="shared" si="32"/>
        <v>24.002914285714287</v>
      </c>
      <c r="AC10" s="6">
        <f t="shared" ref="AC10:AC22" si="48">100*(AB10/AB9-1)</f>
        <v>4.120244451959465E-2</v>
      </c>
      <c r="AD10" s="42">
        <f>Tabla1[[#This Row],[Avg Agua)]]/Tabla1[[#This Row],[Avg Musculo]]</f>
        <v>2.0005975464884025</v>
      </c>
    </row>
    <row r="11" spans="1:39" x14ac:dyDescent="0.3">
      <c r="A11">
        <v>1</v>
      </c>
      <c r="B11">
        <v>2</v>
      </c>
      <c r="C11" t="s">
        <v>24</v>
      </c>
      <c r="D11" s="4">
        <f t="shared" si="12"/>
        <v>45119</v>
      </c>
      <c r="E11" s="6">
        <v>93.65</v>
      </c>
      <c r="F11" s="7">
        <f t="shared" si="23"/>
        <v>26.496717971933005</v>
      </c>
      <c r="G11" s="9">
        <v>0.189</v>
      </c>
      <c r="H11" s="6">
        <f t="shared" si="24"/>
        <v>75.950150000000008</v>
      </c>
      <c r="I11" s="6">
        <f t="shared" si="25"/>
        <v>24.207700000000006</v>
      </c>
      <c r="J11">
        <v>3.7</v>
      </c>
      <c r="K11" s="5">
        <v>8.5000000000000006E-2</v>
      </c>
      <c r="L11" s="17">
        <v>2210</v>
      </c>
      <c r="M11" s="5">
        <v>0.51300000000000001</v>
      </c>
      <c r="N11" s="6">
        <f t="shared" si="7"/>
        <v>17.699850000000001</v>
      </c>
      <c r="O11" s="21">
        <f t="shared" si="40"/>
        <v>48.042450000000002</v>
      </c>
      <c r="P11" s="8">
        <f t="shared" si="33"/>
        <v>48.116278571428566</v>
      </c>
      <c r="Q11" s="8">
        <f t="shared" ref="Q11" si="49">E11-R11</f>
        <v>69.442300000000003</v>
      </c>
      <c r="R11" s="6">
        <f t="shared" ref="R11" si="50">I11</f>
        <v>24.207700000000006</v>
      </c>
      <c r="S11" s="6">
        <f t="shared" si="43"/>
        <v>7.9602500000000012</v>
      </c>
      <c r="T11" s="6">
        <f t="shared" ref="T11:T13" si="51">I11-I10</f>
        <v>0.10850000000001359</v>
      </c>
      <c r="U11" s="6">
        <f t="shared" ref="U11:U13" si="52">N11-N10</f>
        <v>-0.17774999999999608</v>
      </c>
      <c r="V11" s="6">
        <f t="shared" ref="V11:V13" si="53">E11-E10</f>
        <v>5.0000000000011369E-2</v>
      </c>
      <c r="W11" s="9">
        <f>Tabla1[[#This Row],[Protein]]/Tabla1[[#This Row],[Peso (Kg)]]</f>
        <v>0.25849119060331027</v>
      </c>
      <c r="X11" s="9">
        <f t="shared" si="37"/>
        <v>0.25571621306223868</v>
      </c>
      <c r="Y11" s="6">
        <f t="shared" ref="Y11:Y13" si="54">R11+N11+J11</f>
        <v>45.60755000000001</v>
      </c>
      <c r="Z11" s="6">
        <f t="shared" si="39"/>
        <v>93.507142857142853</v>
      </c>
      <c r="AA11" s="6">
        <f t="shared" si="31"/>
        <v>17.779935714285713</v>
      </c>
      <c r="AB11" s="6">
        <f t="shared" si="32"/>
        <v>23.910928571428574</v>
      </c>
      <c r="AC11" s="6">
        <f t="shared" si="48"/>
        <v>-0.38322727478329321</v>
      </c>
      <c r="AD11" s="42">
        <f>Tabla1[[#This Row],[Avg Agua)]]/Tabla1[[#This Row],[Avg Musculo]]</f>
        <v>2.0123132578348808</v>
      </c>
    </row>
    <row r="12" spans="1:39" x14ac:dyDescent="0.3">
      <c r="A12">
        <v>1</v>
      </c>
      <c r="B12">
        <v>2</v>
      </c>
      <c r="C12" t="s">
        <v>22</v>
      </c>
      <c r="D12" s="4">
        <f t="shared" si="12"/>
        <v>45120</v>
      </c>
      <c r="E12" s="6">
        <v>94.35</v>
      </c>
      <c r="F12" s="7">
        <f t="shared" si="23"/>
        <v>26.694771389769127</v>
      </c>
      <c r="G12" s="9">
        <v>0.193</v>
      </c>
      <c r="H12" s="6">
        <f t="shared" si="24"/>
        <v>76.140449999999987</v>
      </c>
      <c r="I12" s="6">
        <f t="shared" si="25"/>
        <v>24.510649999999988</v>
      </c>
      <c r="J12">
        <v>3.7</v>
      </c>
      <c r="K12" s="5">
        <v>8.5000000000000006E-2</v>
      </c>
      <c r="L12" s="17">
        <v>2219</v>
      </c>
      <c r="M12" s="5">
        <v>0.50800000000000001</v>
      </c>
      <c r="N12" s="6">
        <f t="shared" si="7"/>
        <v>18.20955</v>
      </c>
      <c r="O12" s="21">
        <f t="shared" si="40"/>
        <v>47.9298</v>
      </c>
      <c r="P12" s="8">
        <f t="shared" si="33"/>
        <v>48.159792857142861</v>
      </c>
      <c r="Q12" s="8">
        <f t="shared" ref="Q12:Q13" si="55">E12-R12</f>
        <v>69.83935000000001</v>
      </c>
      <c r="R12" s="6">
        <f t="shared" ref="R12:R13" si="56">I12</f>
        <v>24.510649999999988</v>
      </c>
      <c r="S12" s="6">
        <f t="shared" si="43"/>
        <v>8.0197500000000002</v>
      </c>
      <c r="T12" s="6">
        <f t="shared" si="51"/>
        <v>0.3029499999999814</v>
      </c>
      <c r="U12" s="6">
        <f t="shared" si="52"/>
        <v>0.50969999999999871</v>
      </c>
      <c r="V12" s="6">
        <f t="shared" si="53"/>
        <v>0.69999999999998863</v>
      </c>
      <c r="W12" s="9">
        <f>Tabla1[[#This Row],[Protein]]/Tabla1[[#This Row],[Peso (Kg)]]</f>
        <v>0.2597843137254901</v>
      </c>
      <c r="X12" s="9">
        <f t="shared" si="37"/>
        <v>0.25564248228237302</v>
      </c>
      <c r="Y12" s="6">
        <f t="shared" si="54"/>
        <v>46.420199999999994</v>
      </c>
      <c r="Z12" s="6">
        <f t="shared" si="39"/>
        <v>93.671428571428578</v>
      </c>
      <c r="AA12" s="6">
        <f t="shared" si="31"/>
        <v>17.864899999999999</v>
      </c>
      <c r="AB12" s="6">
        <f t="shared" si="32"/>
        <v>23.946735714285715</v>
      </c>
      <c r="AC12" s="6">
        <f t="shared" si="48"/>
        <v>0.14975220535737854</v>
      </c>
      <c r="AD12" s="42">
        <f>Tabla1[[#This Row],[Avg Agua)]]/Tabla1[[#This Row],[Avg Musculo]]</f>
        <v>2.0111214084353279</v>
      </c>
    </row>
    <row r="13" spans="1:39" x14ac:dyDescent="0.3">
      <c r="A13">
        <v>1</v>
      </c>
      <c r="B13">
        <v>2</v>
      </c>
      <c r="C13" t="s">
        <v>20</v>
      </c>
      <c r="D13" s="4">
        <f t="shared" si="12"/>
        <v>45121</v>
      </c>
      <c r="E13" s="6">
        <v>94.1</v>
      </c>
      <c r="F13" s="7">
        <f t="shared" si="23"/>
        <v>26.624038026256226</v>
      </c>
      <c r="G13" s="9">
        <v>0.193</v>
      </c>
      <c r="H13" s="6">
        <f t="shared" si="24"/>
        <v>75.938699999999997</v>
      </c>
      <c r="I13" s="6">
        <f t="shared" si="25"/>
        <v>23.6831</v>
      </c>
      <c r="J13">
        <v>3.7</v>
      </c>
      <c r="K13" s="5">
        <v>8.5000000000000006E-2</v>
      </c>
      <c r="L13" s="17">
        <v>2212</v>
      </c>
      <c r="M13" s="5">
        <v>0.51600000000000001</v>
      </c>
      <c r="N13" s="6">
        <f t="shared" si="7"/>
        <v>18.161300000000001</v>
      </c>
      <c r="O13" s="21">
        <f t="shared" si="40"/>
        <v>48.555599999999998</v>
      </c>
      <c r="P13" s="8">
        <f t="shared" si="33"/>
        <v>48.237192857142858</v>
      </c>
      <c r="Q13" s="8">
        <f t="shared" si="55"/>
        <v>70.416899999999998</v>
      </c>
      <c r="R13" s="6">
        <f t="shared" si="56"/>
        <v>23.6831</v>
      </c>
      <c r="S13" s="6">
        <f t="shared" si="43"/>
        <v>7.9984999999999999</v>
      </c>
      <c r="T13" s="6">
        <f t="shared" si="51"/>
        <v>-0.82754999999998802</v>
      </c>
      <c r="U13" s="6">
        <f t="shared" si="52"/>
        <v>-4.824999999999946E-2</v>
      </c>
      <c r="V13" s="6">
        <f t="shared" si="53"/>
        <v>-0.25</v>
      </c>
      <c r="W13" s="9">
        <f>Tabla1[[#This Row],[Protein]]/Tabla1[[#This Row],[Peso (Kg)]]</f>
        <v>0.25168012752391072</v>
      </c>
      <c r="X13" s="9">
        <f t="shared" si="37"/>
        <v>0.25513443878210423</v>
      </c>
      <c r="Y13" s="6">
        <f t="shared" si="54"/>
        <v>45.544400000000003</v>
      </c>
      <c r="Z13" s="6">
        <f t="shared" si="39"/>
        <v>93.821428571428569</v>
      </c>
      <c r="AA13" s="6">
        <f t="shared" si="31"/>
        <v>17.947021428571428</v>
      </c>
      <c r="AB13" s="6">
        <f t="shared" si="32"/>
        <v>23.937214285714283</v>
      </c>
      <c r="AC13" s="6">
        <f t="shared" si="48"/>
        <v>-3.9760862127657948E-2</v>
      </c>
      <c r="AD13" s="42">
        <f>Tabla1[[#This Row],[Avg Agua)]]/Tabla1[[#This Row],[Avg Musculo]]</f>
        <v>2.0151548246752666</v>
      </c>
    </row>
    <row r="14" spans="1:39" x14ac:dyDescent="0.3">
      <c r="A14">
        <v>1</v>
      </c>
      <c r="B14">
        <v>2</v>
      </c>
      <c r="C14" t="s">
        <v>25</v>
      </c>
      <c r="D14" s="4">
        <f t="shared" si="12"/>
        <v>45122</v>
      </c>
      <c r="E14" s="6">
        <v>94.2</v>
      </c>
      <c r="F14" s="7">
        <f t="shared" si="23"/>
        <v>26.652331371661386</v>
      </c>
      <c r="G14" s="9">
        <v>0.19400000000000001</v>
      </c>
      <c r="H14" s="6">
        <f t="shared" si="24"/>
        <v>75.925200000000004</v>
      </c>
      <c r="I14" s="6">
        <f t="shared" si="25"/>
        <v>23.900600000000001</v>
      </c>
      <c r="J14">
        <v>3.7</v>
      </c>
      <c r="K14" s="5">
        <v>8.5000000000000006E-2</v>
      </c>
      <c r="L14" s="17">
        <v>2212</v>
      </c>
      <c r="M14" s="5">
        <v>0.51300000000000001</v>
      </c>
      <c r="N14" s="6">
        <f t="shared" si="7"/>
        <v>18.274800000000003</v>
      </c>
      <c r="O14" s="21">
        <f t="shared" si="40"/>
        <v>48.324600000000004</v>
      </c>
      <c r="P14" s="8">
        <f t="shared" si="33"/>
        <v>48.238757142857139</v>
      </c>
      <c r="Q14" s="8">
        <f t="shared" ref="Q14" si="57">E14-R14</f>
        <v>70.299400000000006</v>
      </c>
      <c r="R14" s="6">
        <f t="shared" ref="R14" si="58">I14</f>
        <v>23.900600000000001</v>
      </c>
      <c r="S14" s="6">
        <f t="shared" si="43"/>
        <v>8.0070000000000014</v>
      </c>
      <c r="T14" s="6">
        <f t="shared" ref="T14" si="59">I14-I13</f>
        <v>0.21750000000000114</v>
      </c>
      <c r="U14" s="6">
        <f t="shared" ref="U14" si="60">N14-N13</f>
        <v>0.11350000000000193</v>
      </c>
      <c r="V14" s="6">
        <f t="shared" ref="V14" si="61">E14-E13</f>
        <v>0.10000000000000853</v>
      </c>
      <c r="W14" s="9">
        <f>Tabla1[[#This Row],[Protein]]/Tabla1[[#This Row],[Peso (Kg)]]</f>
        <v>0.25372186836518046</v>
      </c>
      <c r="X14" s="9">
        <f t="shared" si="37"/>
        <v>0.25517947218228171</v>
      </c>
      <c r="Y14" s="6">
        <f t="shared" ref="Y14" si="62">R14+N14+J14</f>
        <v>45.875400000000006</v>
      </c>
      <c r="Z14" s="6">
        <f t="shared" si="39"/>
        <v>93.928571428571445</v>
      </c>
      <c r="AA14" s="6">
        <f t="shared" ref="AA14" si="63">AVERAGE(N8:N14)</f>
        <v>18.02120714285714</v>
      </c>
      <c r="AB14" s="6">
        <f t="shared" ref="AB14" si="64">AVERAGE(I8:I14)</f>
        <v>23.968607142857142</v>
      </c>
      <c r="AC14" s="6">
        <f t="shared" si="48"/>
        <v>0.1311466604599687</v>
      </c>
      <c r="AD14" s="42">
        <f>Tabla1[[#This Row],[Avg Agua)]]/Tabla1[[#This Row],[Avg Musculo]]</f>
        <v>2.0125807417738382</v>
      </c>
    </row>
    <row r="15" spans="1:39" x14ac:dyDescent="0.3">
      <c r="A15">
        <v>1</v>
      </c>
      <c r="B15">
        <v>2</v>
      </c>
      <c r="C15" t="s">
        <v>26</v>
      </c>
      <c r="D15" s="4">
        <f t="shared" si="12"/>
        <v>45123</v>
      </c>
      <c r="E15" s="6">
        <v>93.3</v>
      </c>
      <c r="F15" s="7">
        <f t="shared" si="23"/>
        <v>26.397691263014941</v>
      </c>
      <c r="G15" s="9">
        <v>0.184</v>
      </c>
      <c r="H15" s="6">
        <f t="shared" si="24"/>
        <v>76.132800000000003</v>
      </c>
      <c r="I15" s="6">
        <f t="shared" si="25"/>
        <v>24.290000000000003</v>
      </c>
      <c r="J15">
        <v>3.7</v>
      </c>
      <c r="K15" s="5">
        <v>0.08</v>
      </c>
      <c r="L15" s="17">
        <v>2215</v>
      </c>
      <c r="M15" s="5">
        <v>0.51600000000000001</v>
      </c>
      <c r="N15" s="6">
        <f t="shared" si="7"/>
        <v>17.167199999999998</v>
      </c>
      <c r="O15" s="21">
        <f t="shared" si="40"/>
        <v>48.142800000000001</v>
      </c>
      <c r="P15" s="8">
        <f t="shared" si="33"/>
        <v>48.232371428571426</v>
      </c>
      <c r="Q15" s="8">
        <f t="shared" ref="Q15" si="65">E15-R15</f>
        <v>69.009999999999991</v>
      </c>
      <c r="R15" s="6">
        <f t="shared" ref="R15" si="66">I15</f>
        <v>24.290000000000003</v>
      </c>
      <c r="S15" s="6">
        <f t="shared" si="43"/>
        <v>7.4639999999999995</v>
      </c>
      <c r="T15" s="6">
        <f t="shared" ref="T15" si="67">I15-I14</f>
        <v>0.38940000000000197</v>
      </c>
      <c r="U15" s="6">
        <f t="shared" ref="U15" si="68">N15-N14</f>
        <v>-1.107600000000005</v>
      </c>
      <c r="V15" s="6">
        <f t="shared" ref="V15" si="69">E15-E14</f>
        <v>-0.90000000000000568</v>
      </c>
      <c r="W15" s="9">
        <f>Tabla1[[#This Row],[Protein]]/Tabla1[[#This Row],[Peso (Kg)]]</f>
        <v>0.26034297963558417</v>
      </c>
      <c r="X15" s="9">
        <f t="shared" si="37"/>
        <v>0.25600942165403184</v>
      </c>
      <c r="Y15" s="6">
        <f t="shared" ref="Y15" si="70">R15+N15+J15</f>
        <v>45.157200000000003</v>
      </c>
      <c r="Z15" s="6">
        <f t="shared" si="39"/>
        <v>93.864285714285728</v>
      </c>
      <c r="AA15" s="6">
        <f t="shared" ref="AA15" si="71">AVERAGE(N9:N15)</f>
        <v>17.902235714285712</v>
      </c>
      <c r="AB15" s="6">
        <f t="shared" ref="AB15" si="72">AVERAGE(I9:I15)</f>
        <v>24.029678571428569</v>
      </c>
      <c r="AC15" s="6">
        <f t="shared" si="48"/>
        <v>0.25479757003579184</v>
      </c>
      <c r="AD15" s="42">
        <f>Tabla1[[#This Row],[Avg Agua)]]/Tabla1[[#This Row],[Avg Musculo]]</f>
        <v>2.0072000249691233</v>
      </c>
    </row>
    <row r="16" spans="1:39" x14ac:dyDescent="0.3">
      <c r="A16">
        <v>1</v>
      </c>
      <c r="B16">
        <v>3</v>
      </c>
      <c r="C16" t="s">
        <v>21</v>
      </c>
      <c r="D16" s="4">
        <f t="shared" si="12"/>
        <v>45124</v>
      </c>
      <c r="E16" s="6">
        <v>93.75</v>
      </c>
      <c r="F16" s="7">
        <f t="shared" si="23"/>
        <v>26.525011317338162</v>
      </c>
      <c r="G16" s="9">
        <v>0.191</v>
      </c>
      <c r="H16" s="6">
        <f t="shared" ref="H16:H22" si="73">E16-N16</f>
        <v>75.84375</v>
      </c>
      <c r="I16" s="6">
        <f t="shared" ref="I16:I22" si="74">E16-N16-O16-J16</f>
        <v>23.862500000000001</v>
      </c>
      <c r="J16">
        <v>3.7</v>
      </c>
      <c r="K16" s="5">
        <v>8.5000000000000006E-2</v>
      </c>
      <c r="L16" s="17">
        <v>2208</v>
      </c>
      <c r="M16" s="5">
        <v>0.51500000000000001</v>
      </c>
      <c r="N16" s="6">
        <f t="shared" si="7"/>
        <v>17.90625</v>
      </c>
      <c r="O16" s="21">
        <f t="shared" ref="O16:O22" si="75">M16*E16</f>
        <v>48.28125</v>
      </c>
      <c r="P16" s="8">
        <f t="shared" si="33"/>
        <v>48.171385714285712</v>
      </c>
      <c r="Q16" s="8">
        <f t="shared" ref="Q16:Q22" si="76">E16-R16</f>
        <v>69.887500000000003</v>
      </c>
      <c r="R16" s="6">
        <f t="shared" ref="R16:R22" si="77">I16</f>
        <v>23.862500000000001</v>
      </c>
      <c r="S16" s="6">
        <f t="shared" ref="S16:S22" si="78">K16*E16</f>
        <v>7.9687500000000009</v>
      </c>
      <c r="T16" s="6">
        <f t="shared" ref="T16:T22" si="79">I16-I15</f>
        <v>-0.42750000000000199</v>
      </c>
      <c r="U16" s="6">
        <f t="shared" ref="U16:U22" si="80">N16-N15</f>
        <v>0.73905000000000243</v>
      </c>
      <c r="V16" s="6">
        <f t="shared" ref="V16:V22" si="81">E16-E15</f>
        <v>0.45000000000000284</v>
      </c>
      <c r="W16" s="9">
        <f>Tabla1[[#This Row],[Protein]]/Tabla1[[#This Row],[Peso (Kg)]]</f>
        <v>0.25453333333333333</v>
      </c>
      <c r="X16" s="9">
        <f t="shared" si="37"/>
        <v>0.25657484266527064</v>
      </c>
      <c r="Y16" s="6">
        <f t="shared" ref="Y16:Y22" si="82">R16+N16+J16</f>
        <v>45.46875</v>
      </c>
      <c r="Z16" s="6">
        <f t="shared" si="39"/>
        <v>93.850000000000009</v>
      </c>
      <c r="AA16" s="6">
        <f t="shared" ref="AA16:AA18" si="83">AVERAGE(N10:N16)</f>
        <v>17.899507142857143</v>
      </c>
      <c r="AB16" s="6">
        <f t="shared" ref="AB16:AB18" si="84">AVERAGE(I10:I16)</f>
        <v>24.07910714285714</v>
      </c>
      <c r="AC16" s="6">
        <f t="shared" si="48"/>
        <v>0.20569801331984383</v>
      </c>
      <c r="AD16" s="42">
        <f>Tabla1[[#This Row],[Avg Agua)]]/Tabla1[[#This Row],[Avg Musculo]]</f>
        <v>2.0005470065186923</v>
      </c>
    </row>
    <row r="17" spans="1:39" x14ac:dyDescent="0.3">
      <c r="A17">
        <v>1</v>
      </c>
      <c r="B17">
        <v>3</v>
      </c>
      <c r="C17" t="s">
        <v>23</v>
      </c>
      <c r="D17" s="4">
        <f t="shared" si="12"/>
        <v>45125</v>
      </c>
      <c r="E17" s="6">
        <v>93.45</v>
      </c>
      <c r="F17" s="7">
        <f t="shared" si="23"/>
        <v>26.440131281122682</v>
      </c>
      <c r="G17" s="9">
        <v>0.186</v>
      </c>
      <c r="H17" s="6">
        <f t="shared" si="73"/>
        <v>76.068299999999994</v>
      </c>
      <c r="I17" s="6">
        <f t="shared" si="74"/>
        <v>24.33499999999999</v>
      </c>
      <c r="J17">
        <v>3.7</v>
      </c>
      <c r="K17" s="5">
        <v>8.5000000000000006E-2</v>
      </c>
      <c r="L17" s="17">
        <v>2213</v>
      </c>
      <c r="M17" s="5">
        <v>0.51400000000000001</v>
      </c>
      <c r="N17" s="6">
        <f t="shared" si="7"/>
        <v>17.381700000000002</v>
      </c>
      <c r="O17" s="21">
        <f t="shared" si="75"/>
        <v>48.033300000000004</v>
      </c>
      <c r="P17" s="8">
        <f t="shared" si="33"/>
        <v>48.187114285714287</v>
      </c>
      <c r="Q17" s="8">
        <f t="shared" si="76"/>
        <v>69.115000000000009</v>
      </c>
      <c r="R17" s="6">
        <f t="shared" si="77"/>
        <v>24.33499999999999</v>
      </c>
      <c r="S17" s="6">
        <f t="shared" si="78"/>
        <v>7.9432500000000008</v>
      </c>
      <c r="T17" s="6">
        <f t="shared" si="79"/>
        <v>0.47249999999998948</v>
      </c>
      <c r="U17" s="6">
        <f t="shared" si="80"/>
        <v>-0.52454999999999785</v>
      </c>
      <c r="V17" s="6">
        <f t="shared" si="81"/>
        <v>-0.29999999999999716</v>
      </c>
      <c r="W17" s="9">
        <f>Tabla1[[#This Row],[Protein]]/Tabla1[[#This Row],[Peso (Kg)]]</f>
        <v>0.26040663456393781</v>
      </c>
      <c r="X17" s="9">
        <f t="shared" si="37"/>
        <v>0.25699434967867807</v>
      </c>
      <c r="Y17" s="6">
        <f t="shared" si="82"/>
        <v>45.416699999999992</v>
      </c>
      <c r="Z17" s="6">
        <f t="shared" si="39"/>
        <v>93.828571428571436</v>
      </c>
      <c r="AA17" s="6">
        <f t="shared" si="83"/>
        <v>17.828664285714286</v>
      </c>
      <c r="AB17" s="6">
        <f t="shared" si="84"/>
        <v>24.112792857142857</v>
      </c>
      <c r="AC17" s="6">
        <f t="shared" si="48"/>
        <v>0.13989602723167849</v>
      </c>
      <c r="AD17" s="42">
        <f>Tabla1[[#This Row],[Avg Agua)]]/Tabla1[[#This Row],[Avg Musculo]]</f>
        <v>1.998404522080899</v>
      </c>
    </row>
    <row r="18" spans="1:39" x14ac:dyDescent="0.3">
      <c r="A18">
        <v>1</v>
      </c>
      <c r="B18">
        <v>3</v>
      </c>
      <c r="C18" t="s">
        <v>24</v>
      </c>
      <c r="D18" s="4">
        <f t="shared" si="12"/>
        <v>45126</v>
      </c>
      <c r="E18" s="6">
        <v>93.75</v>
      </c>
      <c r="F18" s="7">
        <f t="shared" si="23"/>
        <v>26.525011317338162</v>
      </c>
      <c r="G18" s="9">
        <v>0.192</v>
      </c>
      <c r="H18" s="6">
        <f t="shared" si="73"/>
        <v>75.75</v>
      </c>
      <c r="I18" s="6">
        <f t="shared" si="74"/>
        <v>23.675000000000001</v>
      </c>
      <c r="J18">
        <v>3.7</v>
      </c>
      <c r="K18" s="5">
        <v>8.5000000000000006E-2</v>
      </c>
      <c r="L18" s="17">
        <v>2207</v>
      </c>
      <c r="M18" s="5">
        <v>0.51600000000000001</v>
      </c>
      <c r="N18" s="6">
        <f t="shared" si="7"/>
        <v>18</v>
      </c>
      <c r="O18" s="21">
        <f t="shared" si="75"/>
        <v>48.375</v>
      </c>
      <c r="P18" s="8">
        <f t="shared" si="33"/>
        <v>48.23462142857143</v>
      </c>
      <c r="Q18" s="8">
        <f t="shared" si="76"/>
        <v>70.075000000000003</v>
      </c>
      <c r="R18" s="6">
        <f t="shared" si="77"/>
        <v>23.675000000000001</v>
      </c>
      <c r="S18" s="6">
        <f t="shared" si="78"/>
        <v>7.9687500000000009</v>
      </c>
      <c r="T18" s="6">
        <f t="shared" si="79"/>
        <v>-0.65999999999998948</v>
      </c>
      <c r="U18" s="6">
        <f t="shared" si="80"/>
        <v>0.61829999999999785</v>
      </c>
      <c r="V18" s="6">
        <f t="shared" si="81"/>
        <v>0.29999999999999716</v>
      </c>
      <c r="W18" s="9">
        <f>Tabla1[[#This Row],[Protein]]/Tabla1[[#This Row],[Peso (Kg)]]</f>
        <v>0.25253333333333333</v>
      </c>
      <c r="X18" s="9">
        <f t="shared" si="37"/>
        <v>0.25614322721153854</v>
      </c>
      <c r="Y18" s="6">
        <f t="shared" si="82"/>
        <v>45.375</v>
      </c>
      <c r="Z18" s="6">
        <f t="shared" si="39"/>
        <v>93.842857142857142</v>
      </c>
      <c r="AA18" s="6">
        <f t="shared" si="83"/>
        <v>17.871542857142856</v>
      </c>
      <c r="AB18" s="6">
        <f t="shared" si="84"/>
        <v>24.036692857142857</v>
      </c>
      <c r="AC18" s="6">
        <f t="shared" si="48"/>
        <v>-0.31560010676016104</v>
      </c>
      <c r="AD18" s="42">
        <f>Tabla1[[#This Row],[Avg Agua)]]/Tabla1[[#This Row],[Avg Musculo]]</f>
        <v>2.0067078992623482</v>
      </c>
    </row>
    <row r="19" spans="1:39" x14ac:dyDescent="0.3">
      <c r="A19">
        <v>1</v>
      </c>
      <c r="B19">
        <v>4</v>
      </c>
      <c r="C19" t="s">
        <v>22</v>
      </c>
      <c r="D19" s="4">
        <v>45134</v>
      </c>
      <c r="E19" s="6">
        <v>94</v>
      </c>
      <c r="F19" s="7">
        <f t="shared" si="23"/>
        <v>26.595744680851066</v>
      </c>
      <c r="G19" s="9">
        <v>0.192</v>
      </c>
      <c r="H19" s="6">
        <f t="shared" si="73"/>
        <v>75.951999999999998</v>
      </c>
      <c r="I19" s="6">
        <f t="shared" si="74"/>
        <v>23.56</v>
      </c>
      <c r="J19">
        <v>3.7</v>
      </c>
      <c r="K19" s="5">
        <v>8.5000000000000006E-2</v>
      </c>
      <c r="L19" s="17">
        <v>2211</v>
      </c>
      <c r="M19" s="5">
        <v>0.51800000000000002</v>
      </c>
      <c r="N19" s="6">
        <f t="shared" si="7"/>
        <v>18.048000000000002</v>
      </c>
      <c r="O19" s="21">
        <f t="shared" si="75"/>
        <v>48.692</v>
      </c>
      <c r="P19" s="8">
        <f t="shared" si="33"/>
        <v>48.343507142857142</v>
      </c>
      <c r="Q19" s="8">
        <f t="shared" si="76"/>
        <v>70.44</v>
      </c>
      <c r="R19" s="6">
        <f t="shared" si="77"/>
        <v>23.56</v>
      </c>
      <c r="S19" s="6">
        <f t="shared" si="78"/>
        <v>7.99</v>
      </c>
      <c r="T19" s="6">
        <f t="shared" si="79"/>
        <v>-0.11500000000000199</v>
      </c>
      <c r="U19" s="6">
        <f t="shared" si="80"/>
        <v>4.8000000000001819E-2</v>
      </c>
      <c r="V19" s="6">
        <f t="shared" si="81"/>
        <v>0.25</v>
      </c>
      <c r="W19" s="9">
        <f>Tabla1[[#This Row],[Protein]]/Tabla1[[#This Row],[Peso (Kg)]]</f>
        <v>0.25063829787234043</v>
      </c>
      <c r="X19" s="9">
        <f t="shared" si="37"/>
        <v>0.25483665351823148</v>
      </c>
      <c r="Y19" s="6">
        <f t="shared" si="82"/>
        <v>45.308000000000007</v>
      </c>
      <c r="Z19" s="6">
        <f t="shared" si="39"/>
        <v>93.79285714285713</v>
      </c>
      <c r="AA19" s="6">
        <f>N19</f>
        <v>18.048000000000002</v>
      </c>
      <c r="AB19" s="6">
        <f>R19</f>
        <v>23.56</v>
      </c>
      <c r="AC19" s="6">
        <f t="shared" si="48"/>
        <v>-1.9831882030360126</v>
      </c>
      <c r="AD19" s="42">
        <f>Tabla1[[#This Row],[Avg Agua)]]/Tabla1[[#This Row],[Avg Musculo]]</f>
        <v>2.0519315425660927</v>
      </c>
    </row>
    <row r="20" spans="1:39" x14ac:dyDescent="0.3">
      <c r="A20">
        <v>1</v>
      </c>
      <c r="B20">
        <v>4</v>
      </c>
      <c r="C20" t="s">
        <v>20</v>
      </c>
      <c r="D20" s="4">
        <f t="shared" si="12"/>
        <v>45135</v>
      </c>
      <c r="E20" s="6">
        <v>94</v>
      </c>
      <c r="F20" s="7">
        <f t="shared" si="23"/>
        <v>26.595744680851066</v>
      </c>
      <c r="G20" s="9">
        <v>0.189</v>
      </c>
      <c r="H20" s="6">
        <f t="shared" si="73"/>
        <v>76.233999999999995</v>
      </c>
      <c r="I20" s="6">
        <f t="shared" si="74"/>
        <v>24.02999999999999</v>
      </c>
      <c r="J20">
        <v>3.7</v>
      </c>
      <c r="K20" s="5">
        <v>8.5000000000000006E-2</v>
      </c>
      <c r="L20" s="17">
        <v>2220</v>
      </c>
      <c r="M20" s="5">
        <v>0.51600000000000001</v>
      </c>
      <c r="N20" s="6">
        <f t="shared" si="7"/>
        <v>17.766000000000002</v>
      </c>
      <c r="O20" s="21">
        <f t="shared" si="75"/>
        <v>48.504000000000005</v>
      </c>
      <c r="P20" s="8">
        <f t="shared" si="33"/>
        <v>48.336135714285717</v>
      </c>
      <c r="Q20" s="8">
        <f t="shared" si="76"/>
        <v>69.970000000000013</v>
      </c>
      <c r="R20" s="6">
        <f t="shared" si="77"/>
        <v>24.02999999999999</v>
      </c>
      <c r="S20" s="6">
        <f t="shared" si="78"/>
        <v>7.99</v>
      </c>
      <c r="T20" s="6">
        <f t="shared" si="79"/>
        <v>0.46999999999999176</v>
      </c>
      <c r="U20" s="6">
        <f t="shared" si="80"/>
        <v>-0.28200000000000003</v>
      </c>
      <c r="V20" s="6">
        <f t="shared" si="81"/>
        <v>0</v>
      </c>
      <c r="W20" s="9">
        <f>Tabla1[[#This Row],[Protein]]/Tabla1[[#This Row],[Peso (Kg)]]</f>
        <v>0.25563829787234033</v>
      </c>
      <c r="X20" s="9">
        <f t="shared" si="37"/>
        <v>0.25540210642514999</v>
      </c>
      <c r="Y20" s="6">
        <f t="shared" si="82"/>
        <v>45.495999999999995</v>
      </c>
      <c r="Z20" s="6">
        <f t="shared" si="39"/>
        <v>93.778571428571439</v>
      </c>
      <c r="AA20" s="6">
        <f>AVERAGE(N19:N20)</f>
        <v>17.907000000000004</v>
      </c>
      <c r="AB20" s="6">
        <f>AVERAGE(I19:I20)</f>
        <v>23.794999999999995</v>
      </c>
      <c r="AC20" s="6">
        <f t="shared" si="48"/>
        <v>0.99745331069607257</v>
      </c>
      <c r="AD20" s="42">
        <f>Tabla1[[#This Row],[Avg Agua)]]/Tabla1[[#This Row],[Avg Musculo]]</f>
        <v>2.0313568276648764</v>
      </c>
    </row>
    <row r="21" spans="1:39" x14ac:dyDescent="0.3">
      <c r="A21">
        <v>1</v>
      </c>
      <c r="B21">
        <v>4</v>
      </c>
      <c r="C21" t="s">
        <v>25</v>
      </c>
      <c r="D21" s="4">
        <f t="shared" si="12"/>
        <v>45136</v>
      </c>
      <c r="E21" s="6">
        <v>93.3</v>
      </c>
      <c r="F21" s="7">
        <f t="shared" si="23"/>
        <v>26.397691263014941</v>
      </c>
      <c r="G21" s="9">
        <v>0.186</v>
      </c>
      <c r="H21" s="6">
        <f t="shared" si="73"/>
        <v>75.946200000000005</v>
      </c>
      <c r="I21" s="6">
        <f t="shared" si="74"/>
        <v>24.663200000000007</v>
      </c>
      <c r="J21">
        <v>3.7</v>
      </c>
      <c r="K21" s="5">
        <v>8.5000000000000006E-2</v>
      </c>
      <c r="L21" s="17">
        <v>2210</v>
      </c>
      <c r="M21" s="5">
        <v>0.51</v>
      </c>
      <c r="N21" s="6">
        <f t="shared" si="7"/>
        <v>17.3538</v>
      </c>
      <c r="O21" s="21">
        <f t="shared" si="75"/>
        <v>47.582999999999998</v>
      </c>
      <c r="P21" s="8">
        <f t="shared" si="33"/>
        <v>48.23019285714286</v>
      </c>
      <c r="Q21" s="8">
        <f t="shared" si="76"/>
        <v>68.636799999999994</v>
      </c>
      <c r="R21" s="6">
        <f t="shared" si="77"/>
        <v>24.663200000000007</v>
      </c>
      <c r="S21" s="6">
        <f t="shared" si="78"/>
        <v>7.9305000000000003</v>
      </c>
      <c r="T21" s="6">
        <f t="shared" si="79"/>
        <v>0.63320000000001642</v>
      </c>
      <c r="U21" s="6">
        <f t="shared" si="80"/>
        <v>-0.41220000000000212</v>
      </c>
      <c r="V21" s="6">
        <f t="shared" si="81"/>
        <v>-0.70000000000000284</v>
      </c>
      <c r="W21" s="9">
        <f>Tabla1[[#This Row],[Protein]]/Tabla1[[#This Row],[Peso (Kg)]]</f>
        <v>0.26434297963558423</v>
      </c>
      <c r="X21" s="9">
        <f t="shared" si="37"/>
        <v>0.25691940803520769</v>
      </c>
      <c r="Y21" s="6">
        <f t="shared" si="82"/>
        <v>45.717000000000013</v>
      </c>
      <c r="Z21" s="6">
        <f t="shared" si="39"/>
        <v>93.649999999999991</v>
      </c>
      <c r="AA21" s="6">
        <f>AVERAGE(N19:N21)</f>
        <v>17.722600000000003</v>
      </c>
      <c r="AB21" s="6">
        <f>AVERAGE(I19:I21)</f>
        <v>24.084399999999999</v>
      </c>
      <c r="AC21" s="6">
        <f t="shared" si="48"/>
        <v>1.2162218953561954</v>
      </c>
      <c r="AD21" s="42">
        <f>Tabla1[[#This Row],[Avg Agua)]]/Tabla1[[#This Row],[Avg Musculo]]</f>
        <v>2.0025490714795828</v>
      </c>
    </row>
    <row r="22" spans="1:39" x14ac:dyDescent="0.3">
      <c r="A22">
        <v>1</v>
      </c>
      <c r="B22">
        <v>4</v>
      </c>
      <c r="C22" t="s">
        <v>26</v>
      </c>
      <c r="D22" s="4">
        <f t="shared" si="12"/>
        <v>45137</v>
      </c>
      <c r="E22" s="6">
        <v>92.95</v>
      </c>
      <c r="F22" s="7">
        <f t="shared" si="23"/>
        <v>26.298664554096877</v>
      </c>
      <c r="G22" s="9">
        <v>0.182</v>
      </c>
      <c r="H22" s="6">
        <f t="shared" si="73"/>
        <v>76.033100000000005</v>
      </c>
      <c r="I22" s="6">
        <f t="shared" si="74"/>
        <v>24.277950000000001</v>
      </c>
      <c r="J22">
        <f>J21</f>
        <v>3.7</v>
      </c>
      <c r="K22" s="5">
        <v>0.08</v>
      </c>
      <c r="L22" s="17">
        <f>L21</f>
        <v>2210</v>
      </c>
      <c r="M22" s="5">
        <v>0.51700000000000002</v>
      </c>
      <c r="N22" s="6">
        <f t="shared" si="7"/>
        <v>16.916900000000002</v>
      </c>
      <c r="O22" s="21">
        <f t="shared" si="75"/>
        <v>48.055150000000005</v>
      </c>
      <c r="P22" s="8">
        <f t="shared" si="33"/>
        <v>48.217671428571443</v>
      </c>
      <c r="Q22" s="8">
        <f t="shared" si="76"/>
        <v>68.672049999999999</v>
      </c>
      <c r="R22" s="6">
        <f t="shared" si="77"/>
        <v>24.277950000000001</v>
      </c>
      <c r="S22" s="6">
        <f t="shared" si="78"/>
        <v>7.4359999999999999</v>
      </c>
      <c r="T22" s="6">
        <f t="shared" si="79"/>
        <v>-0.38525000000000631</v>
      </c>
      <c r="U22" s="6">
        <f t="shared" si="80"/>
        <v>-0.43689999999999785</v>
      </c>
      <c r="V22" s="6">
        <f t="shared" si="81"/>
        <v>-0.34999999999999432</v>
      </c>
      <c r="W22" s="9">
        <f>Tabla1[[#This Row],[Protein]]/Tabla1[[#This Row],[Peso (Kg)]]</f>
        <v>0.2611936525013448</v>
      </c>
      <c r="X22" s="9">
        <f t="shared" si="37"/>
        <v>0.25704093273031636</v>
      </c>
      <c r="Y22" s="6">
        <f t="shared" si="82"/>
        <v>44.894850000000005</v>
      </c>
      <c r="Z22" s="6">
        <f t="shared" si="39"/>
        <v>93.600000000000009</v>
      </c>
      <c r="AA22" s="6">
        <f>AVERAGE(N19:N22)</f>
        <v>17.521175000000003</v>
      </c>
      <c r="AB22" s="6">
        <f>AVERAGE(I19:I22)</f>
        <v>24.132787499999999</v>
      </c>
      <c r="AC22" s="6">
        <f t="shared" si="48"/>
        <v>0.20090805666739264</v>
      </c>
      <c r="AD22" s="42">
        <f>Tabla1[[#This Row],[Avg Agua)]]/Tabla1[[#This Row],[Avg Musculo]]</f>
        <v>1.9980150004872601</v>
      </c>
    </row>
    <row r="23" spans="1:39" x14ac:dyDescent="0.3">
      <c r="A23">
        <v>1</v>
      </c>
      <c r="B23">
        <v>5</v>
      </c>
      <c r="C23" t="s">
        <v>21</v>
      </c>
      <c r="D23" s="4">
        <f t="shared" si="12"/>
        <v>45138</v>
      </c>
      <c r="E23" s="6">
        <v>93.25</v>
      </c>
      <c r="F23" s="7">
        <f t="shared" ref="F23:F277" si="85">E23/(1.88^2)</f>
        <v>26.383544590312361</v>
      </c>
      <c r="G23" s="9">
        <v>0.188</v>
      </c>
      <c r="H23" s="6">
        <f t="shared" ref="H23:H64" si="86">E23-N23</f>
        <v>75.718999999999994</v>
      </c>
      <c r="I23" s="6">
        <f t="shared" ref="I23:I64" si="87">E23-N23-O23-J23</f>
        <v>23.715499999999995</v>
      </c>
      <c r="J23">
        <v>3.7</v>
      </c>
      <c r="K23" s="5">
        <v>8.5000000000000006E-2</v>
      </c>
      <c r="L23" s="17">
        <v>2203</v>
      </c>
      <c r="M23" s="5">
        <v>0.51800000000000002</v>
      </c>
      <c r="N23" s="6">
        <f t="shared" si="7"/>
        <v>17.530999999999999</v>
      </c>
      <c r="O23" s="21">
        <f t="shared" ref="O23:O64" si="88">M23*E23</f>
        <v>48.3035</v>
      </c>
      <c r="P23" s="8">
        <f t="shared" si="33"/>
        <v>48.220849999999999</v>
      </c>
      <c r="Q23" s="8">
        <f t="shared" ref="Q23:Q38" si="89">E23-R23</f>
        <v>69.534500000000008</v>
      </c>
      <c r="R23" s="6">
        <f t="shared" ref="R23:R38" si="90">I23</f>
        <v>23.715499999999995</v>
      </c>
      <c r="S23" s="6">
        <f t="shared" ref="S23:S53" si="91">K23*E23</f>
        <v>7.9262500000000005</v>
      </c>
      <c r="T23" s="6">
        <f t="shared" ref="T23:T29" si="92">I23-I22</f>
        <v>-0.56245000000000545</v>
      </c>
      <c r="U23" s="6">
        <f t="shared" ref="U23:U29" si="93">N23-N22</f>
        <v>0.61409999999999698</v>
      </c>
      <c r="V23" s="6">
        <f t="shared" ref="V23:V29" si="94">E23-E22</f>
        <v>0.29999999999999716</v>
      </c>
      <c r="W23" s="9">
        <f>Tabla1[[#This Row],[Protein]]/Tabla1[[#This Row],[Peso (Kg)]]</f>
        <v>0.2543217158176943</v>
      </c>
      <c r="X23" s="9">
        <f t="shared" si="37"/>
        <v>0.25701070165665357</v>
      </c>
      <c r="Y23" s="6">
        <f t="shared" ref="Y23:Y29" si="95">R23+N23+J23</f>
        <v>44.9465</v>
      </c>
      <c r="Z23" s="6">
        <f t="shared" si="39"/>
        <v>93.528571428571439</v>
      </c>
      <c r="AA23" s="6">
        <f>AVERAGE(N19:N23)</f>
        <v>17.523140000000001</v>
      </c>
      <c r="AB23" s="6">
        <f>AVERAGE(I19:I23)</f>
        <v>24.049329999999998</v>
      </c>
      <c r="AC23" s="6">
        <f t="shared" ref="AC23:AC46" si="96">100*(AB23/AB22-1)</f>
        <v>-0.34582619185621333</v>
      </c>
      <c r="AD23" s="42">
        <f>Tabla1[[#This Row],[Avg Agua)]]/Tabla1[[#This Row],[Avg Musculo]]</f>
        <v>2.0050808068249721</v>
      </c>
      <c r="AG23" s="10">
        <f>E23-E2</f>
        <v>-0.70000000000000284</v>
      </c>
      <c r="AH23" s="10">
        <f>I23-I2</f>
        <v>-0.29975000000000307</v>
      </c>
      <c r="AI23" s="10">
        <f>N23-N2</f>
        <v>-0.22555000000000192</v>
      </c>
      <c r="AJ23" s="10">
        <f>O23-O2</f>
        <v>-0.17470000000000141</v>
      </c>
      <c r="AK23" s="10">
        <f>S23-S2</f>
        <v>-5.9500000000000774E-2</v>
      </c>
      <c r="AL23" s="10">
        <f>Y23-Y2</f>
        <v>-0.52530000000000143</v>
      </c>
      <c r="AM23">
        <v>1</v>
      </c>
    </row>
    <row r="24" spans="1:39" x14ac:dyDescent="0.3">
      <c r="A24">
        <v>2</v>
      </c>
      <c r="B24">
        <v>5</v>
      </c>
      <c r="C24" t="s">
        <v>23</v>
      </c>
      <c r="D24" s="4">
        <f t="shared" si="12"/>
        <v>45139</v>
      </c>
      <c r="E24" s="6">
        <v>94.25</v>
      </c>
      <c r="F24" s="7">
        <f t="shared" si="85"/>
        <v>26.666478044363966</v>
      </c>
      <c r="G24" s="9">
        <v>0.19700000000000001</v>
      </c>
      <c r="H24" s="6">
        <f t="shared" si="86"/>
        <v>75.682749999999999</v>
      </c>
      <c r="I24" s="6">
        <f t="shared" si="87"/>
        <v>22.784249999999997</v>
      </c>
      <c r="J24">
        <v>3.7</v>
      </c>
      <c r="K24" s="5">
        <v>8.5000000000000006E-2</v>
      </c>
      <c r="L24" s="17">
        <v>2204</v>
      </c>
      <c r="M24" s="5">
        <v>0.52200000000000002</v>
      </c>
      <c r="N24" s="6">
        <f t="shared" si="7"/>
        <v>18.567250000000001</v>
      </c>
      <c r="O24" s="21">
        <f t="shared" si="88"/>
        <v>49.198500000000003</v>
      </c>
      <c r="P24" s="8">
        <f t="shared" si="33"/>
        <v>48.387307142857146</v>
      </c>
      <c r="Q24" s="8">
        <f t="shared" si="89"/>
        <v>71.46575</v>
      </c>
      <c r="R24" s="6">
        <f t="shared" si="90"/>
        <v>22.784249999999997</v>
      </c>
      <c r="S24" s="6">
        <f t="shared" si="91"/>
        <v>8.0112500000000004</v>
      </c>
      <c r="T24" s="6">
        <f t="shared" si="92"/>
        <v>-0.93124999999999858</v>
      </c>
      <c r="U24" s="6">
        <f t="shared" si="93"/>
        <v>1.0362500000000026</v>
      </c>
      <c r="V24" s="6">
        <f t="shared" si="94"/>
        <v>1</v>
      </c>
      <c r="W24" s="9">
        <f>Tabla1[[#This Row],[Protein]]/Tabla1[[#This Row],[Peso (Kg)]]</f>
        <v>0.24174270557029173</v>
      </c>
      <c r="X24" s="9">
        <f t="shared" si="37"/>
        <v>0.25434442608613272</v>
      </c>
      <c r="Y24" s="6">
        <f t="shared" si="95"/>
        <v>45.051500000000004</v>
      </c>
      <c r="Z24" s="6">
        <f t="shared" si="39"/>
        <v>93.642857142857139</v>
      </c>
      <c r="AA24" s="6">
        <f>AVERAGE(N19:N24)</f>
        <v>17.697158333333334</v>
      </c>
      <c r="AB24" s="6">
        <f>AVERAGE(I19:I24)</f>
        <v>23.838483333333329</v>
      </c>
      <c r="AC24" s="6">
        <f t="shared" si="96"/>
        <v>-0.87672574107747758</v>
      </c>
      <c r="AD24" s="42">
        <f>Tabla1[[#This Row],[Avg Agua)]]/Tabla1[[#This Row],[Avg Musculo]]</f>
        <v>2.0297980566237293</v>
      </c>
      <c r="AG24" s="10">
        <f>E24</f>
        <v>94.25</v>
      </c>
      <c r="AH24" s="10">
        <f>I24</f>
        <v>22.784249999999997</v>
      </c>
      <c r="AI24" s="10">
        <f>N24</f>
        <v>18.567250000000001</v>
      </c>
      <c r="AJ24" s="10">
        <f>O24</f>
        <v>49.198500000000003</v>
      </c>
      <c r="AK24" s="10">
        <f>S24</f>
        <v>8.0112500000000004</v>
      </c>
      <c r="AL24" s="10">
        <f>Y24</f>
        <v>45.051500000000004</v>
      </c>
      <c r="AM24">
        <f>A24</f>
        <v>2</v>
      </c>
    </row>
    <row r="25" spans="1:39" x14ac:dyDescent="0.3">
      <c r="A25">
        <v>2</v>
      </c>
      <c r="B25">
        <v>5</v>
      </c>
      <c r="C25" t="s">
        <v>24</v>
      </c>
      <c r="D25" s="4">
        <f t="shared" si="12"/>
        <v>45140</v>
      </c>
      <c r="E25" s="6">
        <v>93.2</v>
      </c>
      <c r="F25" s="7">
        <f t="shared" si="85"/>
        <v>26.369397917609781</v>
      </c>
      <c r="G25" s="9">
        <v>0.185</v>
      </c>
      <c r="H25" s="6">
        <f t="shared" si="86"/>
        <v>75.957999999999998</v>
      </c>
      <c r="I25" s="6">
        <f t="shared" si="87"/>
        <v>23.887199999999996</v>
      </c>
      <c r="J25">
        <v>3.7</v>
      </c>
      <c r="K25" s="5">
        <v>0.08</v>
      </c>
      <c r="L25" s="17">
        <v>2210</v>
      </c>
      <c r="M25" s="5">
        <v>0.51900000000000002</v>
      </c>
      <c r="N25" s="6">
        <f t="shared" si="7"/>
        <v>17.242000000000001</v>
      </c>
      <c r="O25" s="21">
        <f t="shared" si="88"/>
        <v>48.370800000000003</v>
      </c>
      <c r="P25" s="8">
        <f t="shared" si="33"/>
        <v>48.386707142857141</v>
      </c>
      <c r="Q25" s="8">
        <f t="shared" si="89"/>
        <v>69.31280000000001</v>
      </c>
      <c r="R25" s="6">
        <f t="shared" si="90"/>
        <v>23.887199999999996</v>
      </c>
      <c r="S25" s="6">
        <f t="shared" si="91"/>
        <v>7.4560000000000004</v>
      </c>
      <c r="T25" s="6">
        <f t="shared" si="92"/>
        <v>1.1029499999999999</v>
      </c>
      <c r="U25" s="6">
        <f t="shared" si="93"/>
        <v>-1.3252500000000005</v>
      </c>
      <c r="V25" s="6">
        <f t="shared" si="94"/>
        <v>-1.0499999999999972</v>
      </c>
      <c r="W25" s="9">
        <f>Tabla1[[#This Row],[Protein]]/Tabla1[[#This Row],[Peso (Kg)]]</f>
        <v>0.25630042918454932</v>
      </c>
      <c r="X25" s="9">
        <f t="shared" si="37"/>
        <v>0.25488258263630642</v>
      </c>
      <c r="Y25" s="6">
        <f t="shared" si="95"/>
        <v>44.8292</v>
      </c>
      <c r="Z25" s="6">
        <f t="shared" si="39"/>
        <v>93.564285714285717</v>
      </c>
      <c r="AA25" s="6">
        <f t="shared" ref="AA25" si="97">AVERAGE(N19:N25)</f>
        <v>17.632135714285717</v>
      </c>
      <c r="AB25" s="6">
        <f t="shared" ref="AB25" si="98">AVERAGE(I19:I25)</f>
        <v>23.845442857142853</v>
      </c>
      <c r="AC25" s="6">
        <f t="shared" si="96"/>
        <v>2.9194490740902523E-2</v>
      </c>
      <c r="AD25" s="42">
        <f>Tabla1[[#This Row],[Avg Agua)]]/Tabla1[[#This Row],[Avg Musculo]]</f>
        <v>2.0291804783303911</v>
      </c>
    </row>
    <row r="26" spans="1:39" x14ac:dyDescent="0.3">
      <c r="A26">
        <v>2</v>
      </c>
      <c r="B26">
        <v>5</v>
      </c>
      <c r="C26" t="s">
        <v>22</v>
      </c>
      <c r="D26" s="4">
        <f t="shared" si="12"/>
        <v>45141</v>
      </c>
      <c r="E26" s="6">
        <v>93.35</v>
      </c>
      <c r="F26" s="7">
        <f t="shared" si="85"/>
        <v>26.411837935717518</v>
      </c>
      <c r="G26" s="9">
        <v>0.19600000000000001</v>
      </c>
      <c r="H26" s="6">
        <f t="shared" si="86"/>
        <v>75.053399999999996</v>
      </c>
      <c r="I26" s="6">
        <f t="shared" si="87"/>
        <v>23.27815</v>
      </c>
      <c r="J26">
        <v>3.7</v>
      </c>
      <c r="K26" s="5">
        <v>8.5000000000000006E-2</v>
      </c>
      <c r="L26" s="17">
        <v>2186</v>
      </c>
      <c r="M26" s="5">
        <v>0.51500000000000001</v>
      </c>
      <c r="N26" s="6">
        <f t="shared" si="7"/>
        <v>18.296599999999998</v>
      </c>
      <c r="O26" s="21">
        <f t="shared" si="88"/>
        <v>48.075249999999997</v>
      </c>
      <c r="P26" s="8">
        <f t="shared" si="33"/>
        <v>48.2986</v>
      </c>
      <c r="Q26" s="8">
        <f t="shared" si="89"/>
        <v>70.071849999999998</v>
      </c>
      <c r="R26" s="6">
        <f t="shared" si="90"/>
        <v>23.27815</v>
      </c>
      <c r="S26" s="6">
        <f t="shared" si="91"/>
        <v>7.9347500000000002</v>
      </c>
      <c r="T26" s="6">
        <f t="shared" si="92"/>
        <v>-0.60904999999999632</v>
      </c>
      <c r="U26" s="6">
        <f t="shared" si="93"/>
        <v>1.0545999999999971</v>
      </c>
      <c r="V26" s="6">
        <f t="shared" si="94"/>
        <v>0.14999999999999147</v>
      </c>
      <c r="W26" s="9">
        <f>Tabla1[[#This Row],[Protein]]/Tabla1[[#This Row],[Peso (Kg)]]</f>
        <v>0.24936422067487951</v>
      </c>
      <c r="X26" s="9">
        <f t="shared" si="37"/>
        <v>0.25470057160809778</v>
      </c>
      <c r="Y26" s="6">
        <f t="shared" si="95"/>
        <v>45.274749999999997</v>
      </c>
      <c r="Z26" s="6">
        <f t="shared" si="39"/>
        <v>93.471428571428575</v>
      </c>
      <c r="AA26" s="6">
        <f>AVERAGE(N20:N26)</f>
        <v>17.667650000000002</v>
      </c>
      <c r="AB26" s="6">
        <f>AVERAGE(I20:I26)</f>
        <v>23.80517857142857</v>
      </c>
      <c r="AC26" s="6">
        <f t="shared" si="96"/>
        <v>-0.16885526494728742</v>
      </c>
      <c r="AD26" s="42">
        <f>Tabla1[[#This Row],[Avg Agua)]]/Tabla1[[#This Row],[Avg Musculo]]</f>
        <v>2.0289114763444331</v>
      </c>
    </row>
    <row r="27" spans="1:39" x14ac:dyDescent="0.3">
      <c r="A27">
        <v>2</v>
      </c>
      <c r="B27">
        <v>5</v>
      </c>
      <c r="C27" t="s">
        <v>20</v>
      </c>
      <c r="D27" s="4">
        <f t="shared" si="12"/>
        <v>45142</v>
      </c>
      <c r="E27" s="6">
        <v>93.8</v>
      </c>
      <c r="F27" s="7">
        <f t="shared" si="85"/>
        <v>26.539157990040742</v>
      </c>
      <c r="G27" s="9">
        <v>0.192</v>
      </c>
      <c r="H27" s="6">
        <f t="shared" si="86"/>
        <v>75.790400000000005</v>
      </c>
      <c r="I27" s="6">
        <f t="shared" si="87"/>
        <v>23.314400000000003</v>
      </c>
      <c r="J27">
        <v>3.7</v>
      </c>
      <c r="K27" s="5">
        <v>8.5000000000000006E-2</v>
      </c>
      <c r="L27" s="17">
        <v>2208</v>
      </c>
      <c r="M27" s="5">
        <v>0.52</v>
      </c>
      <c r="N27" s="6">
        <f t="shared" si="7"/>
        <v>18.009599999999999</v>
      </c>
      <c r="O27" s="21">
        <f t="shared" si="88"/>
        <v>48.776000000000003</v>
      </c>
      <c r="P27" s="8">
        <f t="shared" si="33"/>
        <v>48.33745714285714</v>
      </c>
      <c r="Q27" s="8">
        <f t="shared" si="89"/>
        <v>70.485599999999991</v>
      </c>
      <c r="R27" s="6">
        <f t="shared" si="90"/>
        <v>23.314400000000003</v>
      </c>
      <c r="S27" s="6">
        <f t="shared" si="91"/>
        <v>7.9730000000000008</v>
      </c>
      <c r="T27" s="6">
        <f t="shared" si="92"/>
        <v>3.6250000000002558E-2</v>
      </c>
      <c r="U27" s="6">
        <f t="shared" si="93"/>
        <v>-0.28699999999999903</v>
      </c>
      <c r="V27" s="6">
        <f t="shared" si="94"/>
        <v>0.45000000000000284</v>
      </c>
      <c r="W27" s="9">
        <f>Tabla1[[#This Row],[Protein]]/Tabla1[[#This Row],[Peso (Kg)]]</f>
        <v>0.24855437100213224</v>
      </c>
      <c r="X27" s="9">
        <f t="shared" si="37"/>
        <v>0.25368858205521089</v>
      </c>
      <c r="Y27" s="6">
        <f t="shared" si="95"/>
        <v>45.024000000000001</v>
      </c>
      <c r="Z27" s="6">
        <f t="shared" si="39"/>
        <v>93.442857142857136</v>
      </c>
      <c r="AA27" s="6">
        <f>AVERAGE(N21:N27)</f>
        <v>17.702450000000002</v>
      </c>
      <c r="AB27" s="6">
        <f>AVERAGE(I21:I27)</f>
        <v>23.702949999999998</v>
      </c>
      <c r="AC27" s="6">
        <f t="shared" si="96"/>
        <v>-0.42943837250298822</v>
      </c>
      <c r="AD27" s="42">
        <f>Tabla1[[#This Row],[Avg Agua)]]/Tabla1[[#This Row],[Avg Musculo]]</f>
        <v>2.0393013166233378</v>
      </c>
    </row>
    <row r="28" spans="1:39" x14ac:dyDescent="0.3">
      <c r="A28">
        <v>2</v>
      </c>
      <c r="B28">
        <v>5</v>
      </c>
      <c r="C28" t="s">
        <v>25</v>
      </c>
      <c r="D28" s="4">
        <f t="shared" si="12"/>
        <v>45143</v>
      </c>
      <c r="E28" s="6">
        <v>93.2</v>
      </c>
      <c r="F28" s="7">
        <f t="shared" si="85"/>
        <v>26.369397917609781</v>
      </c>
      <c r="G28" s="9">
        <v>0.191</v>
      </c>
      <c r="H28" s="6">
        <f t="shared" si="86"/>
        <v>75.398799999999994</v>
      </c>
      <c r="I28" s="6">
        <f t="shared" si="87"/>
        <v>23.607599999999994</v>
      </c>
      <c r="J28">
        <v>3.7</v>
      </c>
      <c r="K28" s="5">
        <v>8.5000000000000006E-2</v>
      </c>
      <c r="L28" s="17">
        <v>2195</v>
      </c>
      <c r="M28" s="5">
        <v>0.51600000000000001</v>
      </c>
      <c r="N28" s="6">
        <f t="shared" si="7"/>
        <v>17.801200000000001</v>
      </c>
      <c r="O28" s="21">
        <f t="shared" si="88"/>
        <v>48.091200000000001</v>
      </c>
      <c r="P28" s="8">
        <f t="shared" si="33"/>
        <v>48.410057142857148</v>
      </c>
      <c r="Q28" s="8">
        <f t="shared" si="89"/>
        <v>69.592400000000012</v>
      </c>
      <c r="R28" s="6">
        <f t="shared" si="90"/>
        <v>23.607599999999994</v>
      </c>
      <c r="S28" s="6">
        <f t="shared" si="91"/>
        <v>7.9220000000000006</v>
      </c>
      <c r="T28" s="6">
        <f t="shared" si="92"/>
        <v>0.29319999999999169</v>
      </c>
      <c r="U28" s="6">
        <f t="shared" si="93"/>
        <v>-0.20839999999999748</v>
      </c>
      <c r="V28" s="6">
        <f t="shared" si="94"/>
        <v>-0.59999999999999432</v>
      </c>
      <c r="W28" s="9">
        <f>Tabla1[[#This Row],[Protein]]/Tabla1[[#This Row],[Peso (Kg)]]</f>
        <v>0.25330042918454931</v>
      </c>
      <c r="X28" s="9">
        <f t="shared" si="37"/>
        <v>0.25211107484792017</v>
      </c>
      <c r="Y28" s="6">
        <f t="shared" si="95"/>
        <v>45.108800000000002</v>
      </c>
      <c r="Z28" s="6">
        <f t="shared" si="39"/>
        <v>93.428571428571431</v>
      </c>
      <c r="AA28" s="6">
        <f>AVERAGE(N22:N28)</f>
        <v>17.766364285714285</v>
      </c>
      <c r="AB28" s="6">
        <f>AVERAGE(I22:I28)</f>
        <v>23.552149999999994</v>
      </c>
      <c r="AC28" s="6">
        <f t="shared" si="96"/>
        <v>-0.63620772941765935</v>
      </c>
      <c r="AD28" s="42">
        <f>Tabla1[[#This Row],[Avg Agua)]]/Tabla1[[#This Row],[Avg Musculo]]</f>
        <v>2.0554411016767964</v>
      </c>
    </row>
    <row r="29" spans="1:39" x14ac:dyDescent="0.3">
      <c r="A29">
        <v>2</v>
      </c>
      <c r="B29">
        <v>5</v>
      </c>
      <c r="C29" t="s">
        <v>26</v>
      </c>
      <c r="D29" s="4">
        <f t="shared" si="12"/>
        <v>45144</v>
      </c>
      <c r="E29" s="6">
        <v>92.7</v>
      </c>
      <c r="F29" s="7">
        <f t="shared" si="85"/>
        <v>26.227931190583977</v>
      </c>
      <c r="G29" s="9">
        <v>0.188</v>
      </c>
      <c r="H29" s="6">
        <f t="shared" si="86"/>
        <v>75.272400000000005</v>
      </c>
      <c r="I29" s="6">
        <f t="shared" si="87"/>
        <v>23.831900000000001</v>
      </c>
      <c r="J29">
        <v>3.7</v>
      </c>
      <c r="K29" s="5">
        <v>8.5000000000000006E-2</v>
      </c>
      <c r="L29" s="17">
        <v>2188</v>
      </c>
      <c r="M29" s="5">
        <v>0.51500000000000001</v>
      </c>
      <c r="N29" s="6">
        <f t="shared" si="7"/>
        <v>17.427600000000002</v>
      </c>
      <c r="O29" s="21">
        <f t="shared" si="88"/>
        <v>47.740500000000004</v>
      </c>
      <c r="P29" s="8">
        <f t="shared" si="33"/>
        <v>48.365107142857148</v>
      </c>
      <c r="Q29" s="8">
        <f t="shared" si="89"/>
        <v>68.868099999999998</v>
      </c>
      <c r="R29" s="6">
        <f t="shared" si="90"/>
        <v>23.831900000000001</v>
      </c>
      <c r="S29" s="6">
        <f t="shared" si="91"/>
        <v>7.8795000000000011</v>
      </c>
      <c r="T29" s="6">
        <f t="shared" si="92"/>
        <v>0.22430000000000661</v>
      </c>
      <c r="U29" s="6">
        <f t="shared" si="93"/>
        <v>-0.37359999999999971</v>
      </c>
      <c r="V29" s="6">
        <f t="shared" si="94"/>
        <v>-0.5</v>
      </c>
      <c r="W29" s="9">
        <f>Tabla1[[#This Row],[Protein]]/Tabla1[[#This Row],[Peso (Kg)]]</f>
        <v>0.25708629989212511</v>
      </c>
      <c r="X29" s="9">
        <f t="shared" si="37"/>
        <v>0.2515243101894602</v>
      </c>
      <c r="Y29" s="6">
        <f t="shared" si="95"/>
        <v>44.959500000000006</v>
      </c>
      <c r="Z29" s="6">
        <f t="shared" si="39"/>
        <v>93.392857142857139</v>
      </c>
      <c r="AA29" s="6">
        <f>AVERAGE(N23:N29)</f>
        <v>17.839321428571427</v>
      </c>
      <c r="AB29" s="6">
        <f>AVERAGE(I23:I29)</f>
        <v>23.488428571428567</v>
      </c>
      <c r="AC29" s="6">
        <f t="shared" si="96"/>
        <v>-0.27055461421324756</v>
      </c>
      <c r="AD29" s="42">
        <f>Tabla1[[#This Row],[Avg Agua)]]/Tabla1[[#This Row],[Avg Musculo]]</f>
        <v>2.0591035707552052</v>
      </c>
    </row>
    <row r="30" spans="1:39" x14ac:dyDescent="0.3">
      <c r="A30">
        <v>2</v>
      </c>
      <c r="B30">
        <v>6</v>
      </c>
      <c r="C30" t="s">
        <v>21</v>
      </c>
      <c r="D30" s="4">
        <v>45145</v>
      </c>
      <c r="E30" s="6">
        <v>93.45</v>
      </c>
      <c r="F30" s="7">
        <f t="shared" si="85"/>
        <v>26.440131281122682</v>
      </c>
      <c r="G30" s="9">
        <v>0.184</v>
      </c>
      <c r="H30" s="6">
        <f t="shared" si="86"/>
        <v>76.255200000000002</v>
      </c>
      <c r="I30" s="6">
        <f t="shared" si="87"/>
        <v>23.680849999999996</v>
      </c>
      <c r="J30">
        <v>3.7</v>
      </c>
      <c r="K30" s="5">
        <v>0.08</v>
      </c>
      <c r="L30" s="17">
        <v>2218</v>
      </c>
      <c r="M30" s="5">
        <v>0.52300000000000002</v>
      </c>
      <c r="N30" s="6">
        <f t="shared" si="7"/>
        <v>17.194800000000001</v>
      </c>
      <c r="O30" s="21">
        <f t="shared" si="88"/>
        <v>48.874350000000007</v>
      </c>
      <c r="P30" s="8">
        <f t="shared" si="33"/>
        <v>48.446657142857141</v>
      </c>
      <c r="Q30" s="8">
        <f t="shared" si="89"/>
        <v>69.76915000000001</v>
      </c>
      <c r="R30" s="6">
        <f t="shared" si="90"/>
        <v>23.680849999999996</v>
      </c>
      <c r="S30" s="6">
        <f t="shared" si="91"/>
        <v>7.476</v>
      </c>
      <c r="T30" s="6">
        <f t="shared" ref="T30" si="99">I30-I29</f>
        <v>-0.15105000000000501</v>
      </c>
      <c r="U30" s="6">
        <f t="shared" ref="U30" si="100">N30-N29</f>
        <v>-0.23280000000000101</v>
      </c>
      <c r="V30" s="6">
        <f t="shared" ref="V30" si="101">E30-E29</f>
        <v>0.75</v>
      </c>
      <c r="W30" s="9">
        <f>Tabla1[[#This Row],[Protein]]/Tabla1[[#This Row],[Peso (Kg)]]</f>
        <v>0.25340663456393786</v>
      </c>
      <c r="X30" s="9">
        <f t="shared" si="37"/>
        <v>0.25139358429606645</v>
      </c>
      <c r="Y30" s="6">
        <f t="shared" ref="Y30:Y37" si="102">R30+N30+J30</f>
        <v>44.575649999999996</v>
      </c>
      <c r="Z30" s="6">
        <f t="shared" si="39"/>
        <v>93.421428571428578</v>
      </c>
      <c r="AA30" s="6">
        <f>AVERAGE(N24:N30)</f>
        <v>17.791292857142857</v>
      </c>
      <c r="AB30" s="6">
        <f>AVERAGE(I24:I30)</f>
        <v>23.48347857142857</v>
      </c>
      <c r="AC30" s="6">
        <f t="shared" si="96"/>
        <v>-2.107420675224736E-2</v>
      </c>
      <c r="AD30" s="42">
        <f>Tabla1[[#This Row],[Avg Agua)]]/Tabla1[[#This Row],[Avg Musculo]]</f>
        <v>2.0630102561466468</v>
      </c>
    </row>
    <row r="31" spans="1:39" x14ac:dyDescent="0.3">
      <c r="A31">
        <v>2</v>
      </c>
      <c r="B31">
        <v>7</v>
      </c>
      <c r="C31" t="s">
        <v>23</v>
      </c>
      <c r="D31" s="4">
        <v>45153</v>
      </c>
      <c r="E31" s="6">
        <v>94.05</v>
      </c>
      <c r="F31" s="7">
        <f t="shared" si="85"/>
        <v>26.609891353553646</v>
      </c>
      <c r="G31" s="9">
        <v>0.188</v>
      </c>
      <c r="H31" s="6">
        <f t="shared" si="86"/>
        <v>76.368600000000001</v>
      </c>
      <c r="I31" s="6">
        <f t="shared" si="87"/>
        <v>23.568549999999998</v>
      </c>
      <c r="J31">
        <v>3.8</v>
      </c>
      <c r="K31" s="5">
        <v>8.5000000000000006E-2</v>
      </c>
      <c r="L31" s="17">
        <v>2223</v>
      </c>
      <c r="M31" s="5">
        <v>0.52100000000000002</v>
      </c>
      <c r="N31" s="6">
        <f t="shared" si="7"/>
        <v>17.6814</v>
      </c>
      <c r="O31" s="21">
        <f t="shared" si="88"/>
        <v>49.000050000000002</v>
      </c>
      <c r="P31" s="8">
        <f t="shared" si="33"/>
        <v>48.418307142857138</v>
      </c>
      <c r="Q31" s="8">
        <f t="shared" si="89"/>
        <v>70.481449999999995</v>
      </c>
      <c r="R31" s="6">
        <f t="shared" si="90"/>
        <v>23.568549999999998</v>
      </c>
      <c r="S31" s="6">
        <f t="shared" si="91"/>
        <v>7.9942500000000001</v>
      </c>
      <c r="T31" s="6">
        <f t="shared" ref="T31:T32" si="103">I31-I30</f>
        <v>-0.11229999999999762</v>
      </c>
      <c r="U31" s="6">
        <f t="shared" ref="U31:U32" si="104">N31-N30</f>
        <v>0.48659999999999926</v>
      </c>
      <c r="V31" s="6">
        <f t="shared" ref="V31:V32" si="105">E31-E30</f>
        <v>0.59999999999999432</v>
      </c>
      <c r="W31" s="9">
        <f>Tabla1[[#This Row],[Protein]]/Tabla1[[#This Row],[Peso (Kg)]]</f>
        <v>0.25059595959595959</v>
      </c>
      <c r="X31" s="9">
        <f t="shared" si="37"/>
        <v>0.25265833487116185</v>
      </c>
      <c r="Y31" s="6">
        <f t="shared" si="102"/>
        <v>45.049949999999995</v>
      </c>
      <c r="Z31" s="6">
        <f t="shared" si="39"/>
        <v>93.392857142857139</v>
      </c>
      <c r="AA31" s="6">
        <f>N31</f>
        <v>17.6814</v>
      </c>
      <c r="AB31" s="6">
        <f>R31</f>
        <v>23.568549999999998</v>
      </c>
      <c r="AC31" s="6">
        <f t="shared" si="96"/>
        <v>0.3622607626577512</v>
      </c>
      <c r="AD31" s="42">
        <f>Tabla1[[#This Row],[Avg Agua)]]/Tabla1[[#This Row],[Avg Musculo]]</f>
        <v>2.0543608810409268</v>
      </c>
    </row>
    <row r="32" spans="1:39" x14ac:dyDescent="0.3">
      <c r="A32">
        <v>2</v>
      </c>
      <c r="B32">
        <v>7</v>
      </c>
      <c r="C32" t="s">
        <v>24</v>
      </c>
      <c r="D32" s="4">
        <v>45154</v>
      </c>
      <c r="E32" s="6">
        <v>94.1</v>
      </c>
      <c r="F32" s="7">
        <f t="shared" si="85"/>
        <v>26.624038026256226</v>
      </c>
      <c r="G32" s="9">
        <v>0.19</v>
      </c>
      <c r="H32" s="6">
        <f t="shared" si="86"/>
        <v>76.221000000000004</v>
      </c>
      <c r="I32" s="6">
        <f t="shared" si="87"/>
        <v>23.677200000000003</v>
      </c>
      <c r="J32">
        <v>3.8</v>
      </c>
      <c r="K32" s="5">
        <v>8.5000000000000006E-2</v>
      </c>
      <c r="L32" s="17">
        <v>2221</v>
      </c>
      <c r="M32" s="5">
        <v>0.51800000000000002</v>
      </c>
      <c r="N32" s="6">
        <f t="shared" si="7"/>
        <v>17.878999999999998</v>
      </c>
      <c r="O32" s="21">
        <f t="shared" si="88"/>
        <v>48.7438</v>
      </c>
      <c r="P32" s="8">
        <f t="shared" si="33"/>
        <v>48.471592857142859</v>
      </c>
      <c r="Q32" s="8">
        <f t="shared" si="89"/>
        <v>70.422799999999995</v>
      </c>
      <c r="R32" s="6">
        <f t="shared" si="90"/>
        <v>23.677200000000003</v>
      </c>
      <c r="S32" s="6">
        <f t="shared" si="91"/>
        <v>7.9984999999999999</v>
      </c>
      <c r="T32" s="6">
        <f t="shared" si="103"/>
        <v>0.10865000000000435</v>
      </c>
      <c r="U32" s="6">
        <f t="shared" si="104"/>
        <v>0.19759999999999778</v>
      </c>
      <c r="V32" s="6">
        <f t="shared" si="105"/>
        <v>4.9999999999997158E-2</v>
      </c>
      <c r="W32" s="9">
        <f>Tabla1[[#This Row],[Protein]]/Tabla1[[#This Row],[Peso (Kg)]]</f>
        <v>0.25161742826780026</v>
      </c>
      <c r="X32" s="9">
        <f t="shared" si="37"/>
        <v>0.25198933474019769</v>
      </c>
      <c r="Y32" s="6">
        <f t="shared" si="102"/>
        <v>45.356200000000001</v>
      </c>
      <c r="Z32" s="6">
        <f t="shared" si="39"/>
        <v>93.521428571428572</v>
      </c>
      <c r="AA32" s="6">
        <f>AVERAGE(N31:N32)</f>
        <v>17.780200000000001</v>
      </c>
      <c r="AB32" s="6">
        <f>AVERAGE(R31:R32)</f>
        <v>23.622875000000001</v>
      </c>
      <c r="AC32" s="6">
        <f t="shared" si="96"/>
        <v>0.23049784564601605</v>
      </c>
      <c r="AD32" s="42">
        <f>Tabla1[[#This Row],[Avg Agua)]]/Tabla1[[#This Row],[Avg Musculo]]</f>
        <v>2.0518921958966829</v>
      </c>
    </row>
    <row r="33" spans="1:39" x14ac:dyDescent="0.3">
      <c r="A33">
        <v>2</v>
      </c>
      <c r="B33">
        <v>7</v>
      </c>
      <c r="C33" t="s">
        <v>22</v>
      </c>
      <c r="D33" s="4">
        <v>45155</v>
      </c>
      <c r="E33" s="6">
        <v>93.85</v>
      </c>
      <c r="F33" s="7">
        <f t="shared" si="85"/>
        <v>26.553304662743322</v>
      </c>
      <c r="G33" s="9">
        <v>0.188</v>
      </c>
      <c r="H33" s="6">
        <f t="shared" si="86"/>
        <v>76.206199999999995</v>
      </c>
      <c r="I33" s="6">
        <f t="shared" si="87"/>
        <v>23.985749999999999</v>
      </c>
      <c r="J33">
        <v>3.7</v>
      </c>
      <c r="K33" s="5">
        <v>8.5000000000000006E-2</v>
      </c>
      <c r="L33" s="17">
        <v>2219</v>
      </c>
      <c r="M33" s="5">
        <v>0.51700000000000002</v>
      </c>
      <c r="N33" s="6">
        <f t="shared" si="7"/>
        <v>17.643799999999999</v>
      </c>
      <c r="O33" s="21">
        <f t="shared" si="88"/>
        <v>48.520449999999997</v>
      </c>
      <c r="P33" s="8">
        <f t="shared" si="33"/>
        <v>48.53519285714286</v>
      </c>
      <c r="Q33" s="8">
        <f t="shared" si="89"/>
        <v>69.864249999999998</v>
      </c>
      <c r="R33" s="6">
        <f t="shared" si="90"/>
        <v>23.985749999999999</v>
      </c>
      <c r="S33" s="6">
        <f t="shared" si="91"/>
        <v>7.9772499999999997</v>
      </c>
      <c r="T33" s="6">
        <f t="shared" ref="T33" si="106">I33-I32</f>
        <v>0.30854999999999677</v>
      </c>
      <c r="U33" s="6">
        <f t="shared" ref="U33" si="107">N33-N32</f>
        <v>-0.23519999999999897</v>
      </c>
      <c r="V33" s="6">
        <f t="shared" ref="V33" si="108">E33-E32</f>
        <v>-0.25</v>
      </c>
      <c r="W33" s="9">
        <f>Tabla1[[#This Row],[Protein]]/Tabla1[[#This Row],[Peso (Kg)]]</f>
        <v>0.2555753862546617</v>
      </c>
      <c r="X33" s="9">
        <f t="shared" si="37"/>
        <v>0.25287664410873806</v>
      </c>
      <c r="Y33" s="6">
        <f t="shared" si="102"/>
        <v>45.329549999999998</v>
      </c>
      <c r="Z33" s="6">
        <f t="shared" si="39"/>
        <v>93.592857142857142</v>
      </c>
      <c r="AA33" s="6">
        <f>AVERAGE(N31:N33)</f>
        <v>17.734733333333335</v>
      </c>
      <c r="AB33" s="6">
        <f>AVERAGE(R31:R33)</f>
        <v>23.743833333333331</v>
      </c>
      <c r="AC33" s="6">
        <f t="shared" si="96"/>
        <v>0.51203900174441319</v>
      </c>
      <c r="AD33" s="42">
        <f>Tabla1[[#This Row],[Avg Agua)]]/Tabla1[[#This Row],[Avg Musculo]]</f>
        <v>2.044117821068328</v>
      </c>
    </row>
    <row r="34" spans="1:39" x14ac:dyDescent="0.3">
      <c r="A34">
        <v>2</v>
      </c>
      <c r="B34">
        <v>7</v>
      </c>
      <c r="C34" t="s">
        <v>20</v>
      </c>
      <c r="D34" s="4">
        <v>45156</v>
      </c>
      <c r="E34" s="6">
        <v>93.7</v>
      </c>
      <c r="F34" s="7">
        <f t="shared" si="85"/>
        <v>26.510864644635586</v>
      </c>
      <c r="G34" s="9">
        <v>0.188</v>
      </c>
      <c r="H34" s="6">
        <f t="shared" si="86"/>
        <v>76.084400000000002</v>
      </c>
      <c r="I34" s="6">
        <f t="shared" si="87"/>
        <v>23.941500000000001</v>
      </c>
      <c r="J34">
        <v>3.7</v>
      </c>
      <c r="K34" s="5">
        <v>8.5000000000000006E-2</v>
      </c>
      <c r="L34" s="17">
        <v>2215</v>
      </c>
      <c r="M34" s="5">
        <v>0.51700000000000002</v>
      </c>
      <c r="N34" s="6">
        <f t="shared" si="7"/>
        <v>17.615600000000001</v>
      </c>
      <c r="O34" s="21">
        <f t="shared" si="88"/>
        <v>48.442900000000002</v>
      </c>
      <c r="P34" s="8">
        <f t="shared" si="33"/>
        <v>48.487607142857144</v>
      </c>
      <c r="Q34" s="8">
        <f t="shared" si="89"/>
        <v>69.758499999999998</v>
      </c>
      <c r="R34" s="6">
        <f t="shared" si="90"/>
        <v>23.941500000000001</v>
      </c>
      <c r="S34" s="6">
        <f t="shared" si="91"/>
        <v>7.964500000000001</v>
      </c>
      <c r="T34" s="6">
        <f t="shared" ref="T34" si="109">I34-I33</f>
        <v>-4.4249999999998124E-2</v>
      </c>
      <c r="U34" s="6">
        <f t="shared" ref="U34" si="110">N34-N33</f>
        <v>-2.8199999999998226E-2</v>
      </c>
      <c r="V34" s="6">
        <f t="shared" ref="V34" si="111">E34-E33</f>
        <v>-0.14999999999999147</v>
      </c>
      <c r="W34" s="9">
        <f>Tabla1[[#This Row],[Protein]]/Tabla1[[#This Row],[Peso (Kg)]]</f>
        <v>0.25551227321237996</v>
      </c>
      <c r="X34" s="9">
        <f t="shared" si="37"/>
        <v>0.25387063013877337</v>
      </c>
      <c r="Y34" s="6">
        <f t="shared" si="102"/>
        <v>45.257100000000008</v>
      </c>
      <c r="Z34" s="6">
        <f t="shared" si="39"/>
        <v>93.578571428571436</v>
      </c>
      <c r="AA34" s="6">
        <f>AVERAGE(N31:N34)</f>
        <v>17.70495</v>
      </c>
      <c r="AB34" s="6">
        <f>AVERAGE(R31:R34)</f>
        <v>23.79325</v>
      </c>
      <c r="AC34" s="6">
        <f t="shared" si="96"/>
        <v>0.20812421470839393</v>
      </c>
      <c r="AD34" s="42">
        <f>Tabla1[[#This Row],[Avg Agua)]]/Tabla1[[#This Row],[Avg Musculo]]</f>
        <v>2.0378723857756778</v>
      </c>
    </row>
    <row r="35" spans="1:39" x14ac:dyDescent="0.3">
      <c r="A35">
        <v>2</v>
      </c>
      <c r="B35">
        <v>7</v>
      </c>
      <c r="C35" t="s">
        <v>25</v>
      </c>
      <c r="D35" s="4">
        <v>45157</v>
      </c>
      <c r="E35" s="6">
        <v>93.25</v>
      </c>
      <c r="F35" s="7">
        <f t="shared" si="85"/>
        <v>26.383544590312361</v>
      </c>
      <c r="G35" s="9">
        <v>0.185</v>
      </c>
      <c r="H35" s="6">
        <f t="shared" si="86"/>
        <v>75.998750000000001</v>
      </c>
      <c r="I35" s="6">
        <f t="shared" si="87"/>
        <v>24.181749999999997</v>
      </c>
      <c r="J35">
        <v>3.7</v>
      </c>
      <c r="K35" s="5">
        <v>0.08</v>
      </c>
      <c r="L35" s="17">
        <v>2212</v>
      </c>
      <c r="M35" s="5">
        <v>0.51600000000000001</v>
      </c>
      <c r="N35" s="6">
        <f t="shared" si="7"/>
        <v>17.251249999999999</v>
      </c>
      <c r="O35" s="21">
        <f t="shared" si="88"/>
        <v>48.117000000000004</v>
      </c>
      <c r="P35" s="8">
        <f t="shared" si="33"/>
        <v>48.491292857142867</v>
      </c>
      <c r="Q35" s="8">
        <f t="shared" si="89"/>
        <v>69.068250000000006</v>
      </c>
      <c r="R35" s="6">
        <f t="shared" si="90"/>
        <v>24.181749999999997</v>
      </c>
      <c r="S35" s="6">
        <f t="shared" si="91"/>
        <v>7.46</v>
      </c>
      <c r="T35" s="6">
        <f t="shared" ref="T35" si="112">I35-I34</f>
        <v>0.24024999999999608</v>
      </c>
      <c r="U35" s="6">
        <f t="shared" ref="U35" si="113">N35-N34</f>
        <v>-0.36435000000000173</v>
      </c>
      <c r="V35" s="6">
        <f t="shared" ref="V35" si="114">E35-E34</f>
        <v>-0.45000000000000284</v>
      </c>
      <c r="W35" s="9">
        <f>Tabla1[[#This Row],[Protein]]/Tabla1[[#This Row],[Peso (Kg)]]</f>
        <v>0.25932171581769436</v>
      </c>
      <c r="X35" s="9">
        <f t="shared" si="37"/>
        <v>0.25473081394350838</v>
      </c>
      <c r="Y35" s="6">
        <f t="shared" si="102"/>
        <v>45.132999999999996</v>
      </c>
      <c r="Z35" s="6">
        <f t="shared" si="39"/>
        <v>93.585714285714289</v>
      </c>
      <c r="AA35" s="6">
        <f>AVERAGE(N31:N35)</f>
        <v>17.61421</v>
      </c>
      <c r="AB35" s="6">
        <f>AVERAGE(R31:R35)</f>
        <v>23.870950000000001</v>
      </c>
      <c r="AC35" s="6">
        <f t="shared" si="96"/>
        <v>0.32656320595125798</v>
      </c>
      <c r="AD35" s="42">
        <f>Tabla1[[#This Row],[Avg Agua)]]/Tabla1[[#This Row],[Avg Musculo]]</f>
        <v>2.0313935078889975</v>
      </c>
    </row>
    <row r="36" spans="1:39" x14ac:dyDescent="0.3">
      <c r="A36">
        <v>2</v>
      </c>
      <c r="B36">
        <v>7</v>
      </c>
      <c r="C36" t="s">
        <v>26</v>
      </c>
      <c r="D36" s="4">
        <v>45158</v>
      </c>
      <c r="E36" s="6">
        <v>92.6</v>
      </c>
      <c r="F36" s="7">
        <f t="shared" si="85"/>
        <v>26.199637845178813</v>
      </c>
      <c r="G36" s="9">
        <v>0.183</v>
      </c>
      <c r="H36" s="6">
        <f t="shared" si="86"/>
        <v>75.654200000000003</v>
      </c>
      <c r="I36" s="6">
        <f t="shared" si="87"/>
        <v>24.450400000000005</v>
      </c>
      <c r="J36">
        <v>3.7</v>
      </c>
      <c r="K36" s="5">
        <v>0.08</v>
      </c>
      <c r="L36" s="17">
        <v>2197</v>
      </c>
      <c r="M36" s="5">
        <v>0.51300000000000001</v>
      </c>
      <c r="N36" s="6">
        <f t="shared" si="7"/>
        <v>16.945799999999998</v>
      </c>
      <c r="O36" s="21">
        <f t="shared" si="88"/>
        <v>47.503799999999998</v>
      </c>
      <c r="P36" s="8">
        <f t="shared" si="33"/>
        <v>48.457478571428574</v>
      </c>
      <c r="Q36" s="8">
        <f t="shared" si="89"/>
        <v>68.149599999999992</v>
      </c>
      <c r="R36" s="6">
        <f t="shared" si="90"/>
        <v>24.450400000000005</v>
      </c>
      <c r="S36" s="6">
        <f t="shared" si="91"/>
        <v>7.4079999999999995</v>
      </c>
      <c r="T36" s="6">
        <f t="shared" ref="T36" si="115">I36-I35</f>
        <v>0.26865000000000805</v>
      </c>
      <c r="U36" s="6">
        <f t="shared" ref="U36" si="116">N36-N35</f>
        <v>-0.30545000000000044</v>
      </c>
      <c r="V36" s="6">
        <f t="shared" ref="V36" si="117">E36-E35</f>
        <v>-0.65000000000000568</v>
      </c>
      <c r="W36" s="9">
        <f>Tabla1[[#This Row],[Protein]]/Tabla1[[#This Row],[Peso (Kg)]]</f>
        <v>0.26404319654427655</v>
      </c>
      <c r="X36" s="9">
        <f t="shared" si="37"/>
        <v>0.25572465632238722</v>
      </c>
      <c r="Y36" s="6">
        <f t="shared" si="102"/>
        <v>45.09620000000001</v>
      </c>
      <c r="Z36" s="6">
        <f t="shared" si="39"/>
        <v>93.571428571428584</v>
      </c>
      <c r="AA36" s="6">
        <f>AVERAGE(N31:N36)</f>
        <v>17.502808333333334</v>
      </c>
      <c r="AB36" s="6">
        <f>AVERAGE(R31:R36)</f>
        <v>23.967524999999998</v>
      </c>
      <c r="AC36" s="6">
        <f t="shared" si="96"/>
        <v>0.40457124664077249</v>
      </c>
      <c r="AD36" s="42">
        <f>Tabla1[[#This Row],[Avg Agua)]]/Tabla1[[#This Row],[Avg Musculo]]</f>
        <v>2.0217973516843553</v>
      </c>
    </row>
    <row r="37" spans="1:39" x14ac:dyDescent="0.3">
      <c r="A37">
        <v>2</v>
      </c>
      <c r="B37">
        <v>8</v>
      </c>
      <c r="C37" t="s">
        <v>21</v>
      </c>
      <c r="D37" s="4">
        <v>45159</v>
      </c>
      <c r="E37" s="6">
        <v>91.3</v>
      </c>
      <c r="F37" s="7">
        <f t="shared" si="85"/>
        <v>25.831824354911724</v>
      </c>
      <c r="G37" s="9">
        <v>0.17</v>
      </c>
      <c r="H37" s="6">
        <f t="shared" si="86"/>
        <v>75.778999999999996</v>
      </c>
      <c r="I37" s="6">
        <f t="shared" si="87"/>
        <v>24.9682</v>
      </c>
      <c r="J37">
        <v>3.7</v>
      </c>
      <c r="K37" s="5">
        <v>7.4999999999999997E-2</v>
      </c>
      <c r="L37" s="17">
        <v>2196</v>
      </c>
      <c r="M37" s="5">
        <v>0.51600000000000001</v>
      </c>
      <c r="N37" s="6">
        <f t="shared" si="7"/>
        <v>15.521000000000001</v>
      </c>
      <c r="O37" s="21">
        <f t="shared" si="88"/>
        <v>47.110799999999998</v>
      </c>
      <c r="P37" s="8">
        <f t="shared" si="33"/>
        <v>48.205542857142859</v>
      </c>
      <c r="Q37" s="8">
        <f t="shared" si="89"/>
        <v>66.331800000000001</v>
      </c>
      <c r="R37" s="6">
        <f t="shared" si="90"/>
        <v>24.9682</v>
      </c>
      <c r="S37" s="6">
        <f t="shared" si="91"/>
        <v>6.8474999999999993</v>
      </c>
      <c r="T37" s="6">
        <f t="shared" ref="T37" si="118">I37-I36</f>
        <v>0.51779999999999404</v>
      </c>
      <c r="U37" s="6">
        <f t="shared" ref="U37" si="119">N37-N36</f>
        <v>-1.4247999999999976</v>
      </c>
      <c r="V37" s="6">
        <f t="shared" ref="V37" si="120">E37-E36</f>
        <v>-1.2999999999999972</v>
      </c>
      <c r="W37" s="9">
        <f>Tabla1[[#This Row],[Protein]]/Tabla1[[#This Row],[Peso (Kg)]]</f>
        <v>0.27347426067907998</v>
      </c>
      <c r="X37" s="9">
        <f t="shared" si="37"/>
        <v>0.25859146005312178</v>
      </c>
      <c r="Y37" s="6">
        <f t="shared" si="102"/>
        <v>44.1892</v>
      </c>
      <c r="Z37" s="6">
        <f t="shared" si="39"/>
        <v>93.264285714285705</v>
      </c>
      <c r="AA37" s="6">
        <f t="shared" ref="AA37:AA42" si="121">AVERAGE(N31:N37)</f>
        <v>17.219692857142856</v>
      </c>
      <c r="AB37" s="6">
        <f t="shared" ref="AB37:AB42" si="122">AVERAGE(R31:R37)</f>
        <v>24.110478571428569</v>
      </c>
      <c r="AC37" s="6">
        <f t="shared" si="96"/>
        <v>0.59644694822920119</v>
      </c>
      <c r="AD37" s="42">
        <f>Tabla1[[#This Row],[Avg Agua)]]/Tabla1[[#This Row],[Avg Musculo]]</f>
        <v>1.9993606810553921</v>
      </c>
      <c r="AE37" t="s">
        <v>32</v>
      </c>
    </row>
    <row r="38" spans="1:39" x14ac:dyDescent="0.3">
      <c r="A38">
        <v>2</v>
      </c>
      <c r="B38">
        <v>8</v>
      </c>
      <c r="C38" t="s">
        <v>23</v>
      </c>
      <c r="D38" s="4">
        <v>45160</v>
      </c>
      <c r="E38" s="6">
        <v>91.65</v>
      </c>
      <c r="F38" s="7">
        <f t="shared" si="85"/>
        <v>25.930851063829792</v>
      </c>
      <c r="G38" s="9">
        <v>0.182</v>
      </c>
      <c r="H38" s="6">
        <f t="shared" si="86"/>
        <v>74.969700000000003</v>
      </c>
      <c r="I38" s="6">
        <f t="shared" si="87"/>
        <v>24.253249999999998</v>
      </c>
      <c r="J38">
        <v>3.7</v>
      </c>
      <c r="K38" s="5">
        <v>0.08</v>
      </c>
      <c r="L38" s="17">
        <v>2177</v>
      </c>
      <c r="M38" s="5">
        <v>0.51300000000000001</v>
      </c>
      <c r="N38" s="6">
        <f t="shared" si="7"/>
        <v>16.680299999999999</v>
      </c>
      <c r="O38" s="21">
        <f t="shared" si="88"/>
        <v>47.016450000000006</v>
      </c>
      <c r="P38" s="8">
        <f t="shared" si="33"/>
        <v>47.922171428571438</v>
      </c>
      <c r="Q38" s="8">
        <f t="shared" si="89"/>
        <v>67.396750000000011</v>
      </c>
      <c r="R38" s="6">
        <f t="shared" si="90"/>
        <v>24.253249999999998</v>
      </c>
      <c r="S38" s="6">
        <f t="shared" si="91"/>
        <v>7.3320000000000007</v>
      </c>
      <c r="T38" s="6">
        <f t="shared" ref="T38" si="123">I38-I37</f>
        <v>-0.71495000000000175</v>
      </c>
      <c r="U38" s="6">
        <f t="shared" ref="U38" si="124">N38-N37</f>
        <v>1.1592999999999982</v>
      </c>
      <c r="V38" s="6">
        <f t="shared" ref="V38" si="125">E38-E37</f>
        <v>0.35000000000000853</v>
      </c>
      <c r="W38" s="9">
        <f>Tabla1[[#This Row],[Protein]]/Tabla1[[#This Row],[Peso (Kg)]]</f>
        <v>0.26462902345881067</v>
      </c>
      <c r="X38" s="9">
        <f t="shared" si="37"/>
        <v>0.26059618346210051</v>
      </c>
      <c r="Y38" s="6">
        <f t="shared" ref="Y38" si="126">R38+N38+J38</f>
        <v>44.63355</v>
      </c>
      <c r="Z38" s="6">
        <f t="shared" si="39"/>
        <v>92.921428571428564</v>
      </c>
      <c r="AA38" s="6">
        <f t="shared" si="121"/>
        <v>17.07667857142857</v>
      </c>
      <c r="AB38" s="6">
        <f t="shared" si="122"/>
        <v>24.208292857142858</v>
      </c>
      <c r="AC38" s="6">
        <f t="shared" si="96"/>
        <v>0.40569201239415431</v>
      </c>
      <c r="AD38" s="42">
        <f>Tabla1[[#This Row],[Avg Agua)]]/Tabla1[[#This Row],[Avg Musculo]]</f>
        <v>1.9795766562875003</v>
      </c>
    </row>
    <row r="39" spans="1:39" x14ac:dyDescent="0.3">
      <c r="A39">
        <v>2</v>
      </c>
      <c r="B39">
        <v>8</v>
      </c>
      <c r="C39" t="s">
        <v>24</v>
      </c>
      <c r="D39" s="4">
        <v>45161</v>
      </c>
      <c r="E39" s="6">
        <v>91.9</v>
      </c>
      <c r="F39" s="7">
        <f t="shared" si="85"/>
        <v>26.001584427342692</v>
      </c>
      <c r="G39" s="9">
        <v>0.17799999999999999</v>
      </c>
      <c r="H39" s="6">
        <f t="shared" si="86"/>
        <v>75.541800000000009</v>
      </c>
      <c r="I39" s="6">
        <f t="shared" si="87"/>
        <v>24.145700000000009</v>
      </c>
      <c r="J39">
        <v>3.7</v>
      </c>
      <c r="K39" s="5">
        <v>0.08</v>
      </c>
      <c r="L39" s="17">
        <v>2193</v>
      </c>
      <c r="M39" s="5">
        <v>0.51900000000000002</v>
      </c>
      <c r="N39" s="6">
        <f t="shared" si="7"/>
        <v>16.3582</v>
      </c>
      <c r="O39" s="21">
        <f t="shared" si="88"/>
        <v>47.696100000000001</v>
      </c>
      <c r="P39" s="8">
        <f t="shared" si="33"/>
        <v>47.772500000000001</v>
      </c>
      <c r="Q39" s="8">
        <f t="shared" ref="Q39:Q41" si="127">E39-R39</f>
        <v>67.754300000000001</v>
      </c>
      <c r="R39" s="6">
        <f t="shared" ref="R39:R41" si="128">I39</f>
        <v>24.145700000000009</v>
      </c>
      <c r="S39" s="6">
        <f t="shared" si="91"/>
        <v>7.3520000000000003</v>
      </c>
      <c r="T39" s="6">
        <f t="shared" ref="T39" si="129">I39-I38</f>
        <v>-0.10754999999998915</v>
      </c>
      <c r="U39" s="6">
        <f t="shared" ref="U39" si="130">N39-N38</f>
        <v>-0.32209999999999894</v>
      </c>
      <c r="V39" s="6">
        <f t="shared" ref="V39" si="131">E39-E38</f>
        <v>0.25</v>
      </c>
      <c r="W39" s="9">
        <f>Tabla1[[#This Row],[Protein]]/Tabla1[[#This Row],[Peso (Kg)]]</f>
        <v>0.26273884657236135</v>
      </c>
      <c r="X39" s="9">
        <f t="shared" si="37"/>
        <v>0.26218495750560916</v>
      </c>
      <c r="Y39" s="6">
        <f t="shared" ref="Y39" si="132">R39+N39+J39</f>
        <v>44.203900000000012</v>
      </c>
      <c r="Z39" s="6">
        <f t="shared" si="39"/>
        <v>92.607142857142861</v>
      </c>
      <c r="AA39" s="6">
        <f t="shared" si="121"/>
        <v>16.859421428571427</v>
      </c>
      <c r="AB39" s="6">
        <f t="shared" si="122"/>
        <v>24.275221428571427</v>
      </c>
      <c r="AC39" s="6">
        <f t="shared" si="96"/>
        <v>0.27646960412914812</v>
      </c>
      <c r="AD39" s="42">
        <f>Tabla1[[#This Row],[Avg Agua)]]/Tabla1[[#This Row],[Avg Musculo]]</f>
        <v>1.9679532127263222</v>
      </c>
    </row>
    <row r="40" spans="1:39" x14ac:dyDescent="0.3">
      <c r="A40">
        <v>2</v>
      </c>
      <c r="B40">
        <v>8</v>
      </c>
      <c r="C40" t="s">
        <v>20</v>
      </c>
      <c r="D40" s="4">
        <v>45163</v>
      </c>
      <c r="E40" s="6">
        <v>92.25</v>
      </c>
      <c r="F40" s="7">
        <f t="shared" si="85"/>
        <v>26.100611136260753</v>
      </c>
      <c r="G40" s="9">
        <v>0.19</v>
      </c>
      <c r="H40" s="6">
        <f t="shared" si="86"/>
        <v>74.722499999999997</v>
      </c>
      <c r="I40" s="6">
        <f t="shared" si="87"/>
        <v>22.867999999999999</v>
      </c>
      <c r="J40">
        <v>3.7</v>
      </c>
      <c r="K40" s="5">
        <v>8.5000000000000006E-2</v>
      </c>
      <c r="L40" s="17">
        <v>2172</v>
      </c>
      <c r="M40" s="5">
        <v>0.52200000000000002</v>
      </c>
      <c r="N40" s="6">
        <f t="shared" si="7"/>
        <v>17.5275</v>
      </c>
      <c r="O40" s="21">
        <f t="shared" si="88"/>
        <v>48.154499999999999</v>
      </c>
      <c r="P40" s="8">
        <f t="shared" si="33"/>
        <v>47.720221428571428</v>
      </c>
      <c r="Q40" s="8">
        <f t="shared" si="127"/>
        <v>69.382000000000005</v>
      </c>
      <c r="R40" s="6">
        <f t="shared" si="128"/>
        <v>22.867999999999999</v>
      </c>
      <c r="S40" s="6">
        <f t="shared" si="91"/>
        <v>7.8412500000000005</v>
      </c>
      <c r="T40" s="6">
        <f t="shared" ref="T40" si="133">I40-I39</f>
        <v>-1.27770000000001</v>
      </c>
      <c r="U40" s="6">
        <f t="shared" ref="U40" si="134">N40-N39</f>
        <v>1.1692999999999998</v>
      </c>
      <c r="V40" s="6">
        <f t="shared" ref="V40" si="135">E40-E39</f>
        <v>0.34999999999999432</v>
      </c>
      <c r="W40" s="9">
        <f>Tabla1[[#This Row],[Protein]]/Tabla1[[#This Row],[Peso (Kg)]]</f>
        <v>0.24789159891598914</v>
      </c>
      <c r="X40" s="9">
        <f t="shared" si="37"/>
        <v>0.26108727360008455</v>
      </c>
      <c r="Y40" s="6">
        <f t="shared" ref="Y40" si="136">R40+N40+J40</f>
        <v>44.095500000000001</v>
      </c>
      <c r="Z40" s="6">
        <f t="shared" si="39"/>
        <v>92.378571428571419</v>
      </c>
      <c r="AA40" s="6">
        <f t="shared" si="121"/>
        <v>16.842807142857144</v>
      </c>
      <c r="AB40" s="6">
        <f t="shared" si="122"/>
        <v>24.115542857142856</v>
      </c>
      <c r="AC40" s="6">
        <f t="shared" si="96"/>
        <v>-0.65778420146822558</v>
      </c>
      <c r="AD40" s="42">
        <f>Tabla1[[#This Row],[Avg Agua)]]/Tabla1[[#This Row],[Avg Musculo]]</f>
        <v>1.9788159740487463</v>
      </c>
    </row>
    <row r="41" spans="1:39" x14ac:dyDescent="0.3">
      <c r="A41">
        <v>2</v>
      </c>
      <c r="B41">
        <v>8</v>
      </c>
      <c r="C41" t="s">
        <v>25</v>
      </c>
      <c r="D41" s="4">
        <v>45164</v>
      </c>
      <c r="E41" s="6">
        <v>92.25</v>
      </c>
      <c r="F41" s="7">
        <f t="shared" si="85"/>
        <v>26.100611136260753</v>
      </c>
      <c r="G41" s="9">
        <v>0.189</v>
      </c>
      <c r="H41" s="6">
        <f t="shared" si="86"/>
        <v>74.814750000000004</v>
      </c>
      <c r="I41" s="6">
        <f t="shared" si="87"/>
        <v>23.606000000000005</v>
      </c>
      <c r="J41">
        <v>3.7</v>
      </c>
      <c r="K41" s="5">
        <v>8.5000000000000006E-2</v>
      </c>
      <c r="L41" s="17">
        <v>2175</v>
      </c>
      <c r="M41" s="5">
        <v>0.51500000000000001</v>
      </c>
      <c r="N41" s="6">
        <f t="shared" si="7"/>
        <v>17.43525</v>
      </c>
      <c r="O41" s="21">
        <f t="shared" si="88"/>
        <v>47.508749999999999</v>
      </c>
      <c r="P41" s="8">
        <f t="shared" si="33"/>
        <v>47.586771428571431</v>
      </c>
      <c r="Q41" s="8">
        <f t="shared" si="127"/>
        <v>68.643999999999991</v>
      </c>
      <c r="R41" s="6">
        <f t="shared" si="128"/>
        <v>23.606000000000005</v>
      </c>
      <c r="S41" s="6">
        <f t="shared" si="91"/>
        <v>7.8412500000000005</v>
      </c>
      <c r="T41" s="6">
        <f t="shared" ref="T41" si="137">I41-I40</f>
        <v>0.73800000000000665</v>
      </c>
      <c r="U41" s="6">
        <f t="shared" ref="U41" si="138">N41-N40</f>
        <v>-9.2249999999999943E-2</v>
      </c>
      <c r="V41" s="6">
        <f t="shared" ref="V41" si="139">E41-E40</f>
        <v>0</v>
      </c>
      <c r="W41" s="9">
        <f>Tabla1[[#This Row],[Protein]]/Tabla1[[#This Row],[Peso (Kg)]]</f>
        <v>0.25589159891598923</v>
      </c>
      <c r="X41" s="9">
        <f t="shared" si="37"/>
        <v>0.26114146298631447</v>
      </c>
      <c r="Y41" s="6">
        <f t="shared" ref="Y41" si="140">R41+N41+J41</f>
        <v>44.741250000000008</v>
      </c>
      <c r="Z41" s="6">
        <f t="shared" si="39"/>
        <v>92.171428571428564</v>
      </c>
      <c r="AA41" s="6">
        <f t="shared" si="121"/>
        <v>16.817042857142855</v>
      </c>
      <c r="AB41" s="6">
        <f t="shared" si="122"/>
        <v>24.067614285714285</v>
      </c>
      <c r="AC41" s="6">
        <f t="shared" si="96"/>
        <v>-0.19874556302751367</v>
      </c>
      <c r="AD41" s="42">
        <f>Tabla1[[#This Row],[Avg Agua)]]/Tabla1[[#This Row],[Avg Musculo]]</f>
        <v>1.9772118193209252</v>
      </c>
    </row>
    <row r="42" spans="1:39" x14ac:dyDescent="0.3">
      <c r="A42">
        <v>2</v>
      </c>
      <c r="B42">
        <v>8</v>
      </c>
      <c r="C42" t="s">
        <v>26</v>
      </c>
      <c r="D42" s="4">
        <v>45165</v>
      </c>
      <c r="E42" s="6">
        <v>92.25</v>
      </c>
      <c r="F42" s="7">
        <f t="shared" si="85"/>
        <v>26.100611136260753</v>
      </c>
      <c r="G42" s="9">
        <v>0.189</v>
      </c>
      <c r="H42" s="6">
        <f t="shared" si="86"/>
        <v>74.814750000000004</v>
      </c>
      <c r="I42" s="6">
        <f t="shared" si="87"/>
        <v>23.421500000000005</v>
      </c>
      <c r="J42">
        <v>3.7</v>
      </c>
      <c r="K42" s="5">
        <v>8.5000000000000006E-2</v>
      </c>
      <c r="L42" s="17">
        <v>2175</v>
      </c>
      <c r="M42" s="5">
        <v>0.51700000000000002</v>
      </c>
      <c r="N42" s="6">
        <f t="shared" si="7"/>
        <v>17.43525</v>
      </c>
      <c r="O42" s="21">
        <f t="shared" si="88"/>
        <v>47.693249999999999</v>
      </c>
      <c r="P42" s="8">
        <f t="shared" si="33"/>
        <v>47.526235714285711</v>
      </c>
      <c r="Q42" s="8">
        <f t="shared" ref="Q42:Q43" si="141">E42-R42</f>
        <v>68.828499999999991</v>
      </c>
      <c r="R42" s="6">
        <f t="shared" ref="R42:R43" si="142">I42</f>
        <v>23.421500000000005</v>
      </c>
      <c r="S42" s="6">
        <f t="shared" si="91"/>
        <v>7.8412500000000005</v>
      </c>
      <c r="T42" s="6">
        <f t="shared" ref="T42" si="143">I42-I41</f>
        <v>-0.18449999999999989</v>
      </c>
      <c r="U42" s="6">
        <f t="shared" ref="U42" si="144">N42-N41</f>
        <v>0</v>
      </c>
      <c r="V42" s="6">
        <f t="shared" ref="V42" si="145">E42-E41</f>
        <v>0</v>
      </c>
      <c r="W42" s="9">
        <f>Tabla1[[#This Row],[Protein]]/Tabla1[[#This Row],[Peso (Kg)]]</f>
        <v>0.25389159891598923</v>
      </c>
      <c r="X42" s="9">
        <f t="shared" si="37"/>
        <v>0.26036573200035656</v>
      </c>
      <c r="Y42" s="6">
        <f t="shared" ref="Y42:Y43" si="146">R42+N42+J42</f>
        <v>44.556750000000008</v>
      </c>
      <c r="Z42" s="6">
        <f t="shared" si="39"/>
        <v>92.028571428571425</v>
      </c>
      <c r="AA42" s="6">
        <f t="shared" si="121"/>
        <v>16.843328571428568</v>
      </c>
      <c r="AB42" s="6">
        <f t="shared" si="122"/>
        <v>23.959007142857143</v>
      </c>
      <c r="AC42" s="6">
        <f t="shared" si="96"/>
        <v>-0.4512584486681237</v>
      </c>
      <c r="AD42" s="42">
        <f>Tabla1[[#This Row],[Avg Agua)]]/Tabla1[[#This Row],[Avg Musculo]]</f>
        <v>1.983647962993935</v>
      </c>
    </row>
    <row r="43" spans="1:39" x14ac:dyDescent="0.3">
      <c r="A43">
        <v>2</v>
      </c>
      <c r="B43">
        <v>9</v>
      </c>
      <c r="C43" t="s">
        <v>21</v>
      </c>
      <c r="D43" s="4">
        <v>45166</v>
      </c>
      <c r="E43" s="6">
        <v>92.15</v>
      </c>
      <c r="F43" s="7">
        <f t="shared" si="85"/>
        <v>26.072317790855593</v>
      </c>
      <c r="G43" s="9">
        <v>0.186</v>
      </c>
      <c r="H43" s="6">
        <f t="shared" si="86"/>
        <v>75.010100000000008</v>
      </c>
      <c r="I43" s="6">
        <f t="shared" si="87"/>
        <v>23.576400000000003</v>
      </c>
      <c r="J43">
        <v>3.7</v>
      </c>
      <c r="K43" s="5">
        <v>0.08</v>
      </c>
      <c r="L43" s="17">
        <v>2179</v>
      </c>
      <c r="M43" s="5">
        <v>0.51800000000000002</v>
      </c>
      <c r="N43" s="6">
        <f t="shared" si="7"/>
        <v>17.139900000000001</v>
      </c>
      <c r="O43" s="21">
        <f t="shared" si="88"/>
        <v>47.733700000000006</v>
      </c>
      <c r="P43" s="8">
        <f t="shared" si="33"/>
        <v>47.559078571428572</v>
      </c>
      <c r="Q43" s="8">
        <f t="shared" si="141"/>
        <v>68.573599999999999</v>
      </c>
      <c r="R43" s="6">
        <f t="shared" si="142"/>
        <v>23.576400000000003</v>
      </c>
      <c r="S43" s="6">
        <f t="shared" si="91"/>
        <v>7.3720000000000008</v>
      </c>
      <c r="T43" s="6">
        <f t="shared" ref="T43" si="147">I43-I42</f>
        <v>0.15489999999999782</v>
      </c>
      <c r="U43" s="6">
        <f t="shared" ref="U43" si="148">N43-N42</f>
        <v>-0.29534999999999911</v>
      </c>
      <c r="V43" s="6">
        <f t="shared" ref="V43" si="149">E43-E42</f>
        <v>-9.9999999999994316E-2</v>
      </c>
      <c r="W43" s="9">
        <f>Tabla1[[#This Row],[Protein]]/Tabla1[[#This Row],[Peso (Kg)]]</f>
        <v>0.25584807379272928</v>
      </c>
      <c r="X43" s="9">
        <f t="shared" si="37"/>
        <v>0.259195000178707</v>
      </c>
      <c r="Y43" s="6">
        <f t="shared" si="146"/>
        <v>44.416300000000007</v>
      </c>
      <c r="Z43" s="6">
        <f t="shared" si="39"/>
        <v>91.964285714285708</v>
      </c>
      <c r="AA43" s="6">
        <f t="shared" ref="AA43" si="150">AVERAGE(N37:N43)</f>
        <v>16.871057142857143</v>
      </c>
      <c r="AB43" s="6">
        <f t="shared" ref="AB43" si="151">AVERAGE(R37:R43)</f>
        <v>23.834150000000001</v>
      </c>
      <c r="AC43" s="6">
        <f t="shared" si="96"/>
        <v>-0.52112820081681166</v>
      </c>
      <c r="AD43" s="42">
        <f>Tabla1[[#This Row],[Avg Agua)]]/Tabla1[[#This Row],[Avg Musculo]]</f>
        <v>1.9954174397420747</v>
      </c>
    </row>
    <row r="44" spans="1:39" x14ac:dyDescent="0.3">
      <c r="A44">
        <v>2</v>
      </c>
      <c r="B44">
        <v>9</v>
      </c>
      <c r="C44" t="s">
        <v>23</v>
      </c>
      <c r="D44" s="4">
        <v>45167</v>
      </c>
      <c r="E44" s="6">
        <v>91.45</v>
      </c>
      <c r="F44" s="7">
        <f t="shared" si="85"/>
        <v>25.874264373019468</v>
      </c>
      <c r="G44" s="9">
        <v>0.186</v>
      </c>
      <c r="H44" s="6">
        <f t="shared" si="86"/>
        <v>74.440300000000008</v>
      </c>
      <c r="I44" s="6">
        <f t="shared" si="87"/>
        <v>23.735000000000003</v>
      </c>
      <c r="J44">
        <v>3.7</v>
      </c>
      <c r="K44" s="5">
        <v>0.08</v>
      </c>
      <c r="L44" s="17">
        <v>2167</v>
      </c>
      <c r="M44" s="5">
        <v>0.51400000000000001</v>
      </c>
      <c r="N44" s="6">
        <f t="shared" si="7"/>
        <v>17.009699999999999</v>
      </c>
      <c r="O44" s="21">
        <f t="shared" si="88"/>
        <v>47.005300000000005</v>
      </c>
      <c r="P44" s="8">
        <f t="shared" si="33"/>
        <v>47.54400714285714</v>
      </c>
      <c r="Q44" s="8">
        <f t="shared" ref="Q44:Q64" si="152">E44-R44</f>
        <v>67.715000000000003</v>
      </c>
      <c r="R44" s="6">
        <f t="shared" ref="R44:R64" si="153">I44</f>
        <v>23.735000000000003</v>
      </c>
      <c r="S44" s="6">
        <f t="shared" si="91"/>
        <v>7.3160000000000007</v>
      </c>
      <c r="T44" s="6">
        <f t="shared" ref="T44" si="154">I44-I43</f>
        <v>0.15859999999999985</v>
      </c>
      <c r="U44" s="6">
        <f t="shared" ref="U44" si="155">N44-N43</f>
        <v>-0.13020000000000209</v>
      </c>
      <c r="V44" s="6">
        <f t="shared" ref="V44" si="156">E44-E43</f>
        <v>-0.70000000000000284</v>
      </c>
      <c r="W44" s="9">
        <f>Tabla1[[#This Row],[Protein]]/Tabla1[[#This Row],[Peso (Kg)]]</f>
        <v>0.25954073264078736</v>
      </c>
      <c r="X44" s="9">
        <f t="shared" si="37"/>
        <v>0.2572044961732366</v>
      </c>
      <c r="Y44" s="6">
        <f t="shared" ref="Y44:Y45" si="157">R44+N44+J44</f>
        <v>44.444700000000005</v>
      </c>
      <c r="Z44" s="6">
        <f t="shared" si="39"/>
        <v>91.985714285714295</v>
      </c>
      <c r="AA44" s="6">
        <f t="shared" ref="AA44" si="158">AVERAGE(N38:N44)</f>
        <v>17.083728571428569</v>
      </c>
      <c r="AB44" s="6">
        <f t="shared" ref="AB44" si="159">AVERAGE(R38:R44)</f>
        <v>23.657978571428576</v>
      </c>
      <c r="AC44" s="6">
        <f t="shared" si="96"/>
        <v>-0.73915549147515192</v>
      </c>
      <c r="AD44" s="42">
        <f>Tabla1[[#This Row],[Avg Agua)]]/Tabla1[[#This Row],[Avg Musculo]]</f>
        <v>2.0096394541617939</v>
      </c>
    </row>
    <row r="45" spans="1:39" x14ac:dyDescent="0.3">
      <c r="A45">
        <v>2</v>
      </c>
      <c r="B45">
        <v>9</v>
      </c>
      <c r="C45" t="s">
        <v>24</v>
      </c>
      <c r="D45" s="4">
        <v>45168</v>
      </c>
      <c r="E45" s="6">
        <v>90.85</v>
      </c>
      <c r="F45" s="7">
        <f t="shared" si="85"/>
        <v>25.704504300588503</v>
      </c>
      <c r="G45" s="9">
        <v>0.18</v>
      </c>
      <c r="H45" s="6">
        <f t="shared" si="86"/>
        <v>74.497</v>
      </c>
      <c r="I45" s="6">
        <f t="shared" si="87"/>
        <v>23.645849999999999</v>
      </c>
      <c r="J45">
        <v>3.7</v>
      </c>
      <c r="K45" s="5">
        <v>0.08</v>
      </c>
      <c r="L45" s="17">
        <v>2160</v>
      </c>
      <c r="M45" s="5">
        <v>0.51900000000000002</v>
      </c>
      <c r="N45" s="6">
        <f t="shared" si="7"/>
        <v>16.352999999999998</v>
      </c>
      <c r="O45" s="21">
        <f t="shared" si="88"/>
        <v>47.151150000000001</v>
      </c>
      <c r="P45" s="8">
        <f t="shared" si="33"/>
        <v>47.563250000000004</v>
      </c>
      <c r="Q45" s="8">
        <f t="shared" si="152"/>
        <v>67.204149999999998</v>
      </c>
      <c r="R45" s="6">
        <f t="shared" si="153"/>
        <v>23.645849999999999</v>
      </c>
      <c r="S45" s="6">
        <f t="shared" si="91"/>
        <v>7.2679999999999998</v>
      </c>
      <c r="T45" s="6">
        <f t="shared" ref="T45" si="160">I45-I44</f>
        <v>-8.9150000000003615E-2</v>
      </c>
      <c r="U45" s="6">
        <f t="shared" ref="U45" si="161">N45-N44</f>
        <v>-0.65670000000000073</v>
      </c>
      <c r="V45" s="6">
        <f t="shared" ref="V45" si="162">E45-E44</f>
        <v>-0.60000000000000853</v>
      </c>
      <c r="W45" s="9">
        <f>Tabla1[[#This Row],[Protein]]/Tabla1[[#This Row],[Peso (Kg)]]</f>
        <v>0.26027352779306551</v>
      </c>
      <c r="X45" s="9">
        <f t="shared" si="37"/>
        <v>0.25658228250670156</v>
      </c>
      <c r="Y45" s="6">
        <f t="shared" si="157"/>
        <v>43.69885</v>
      </c>
      <c r="Z45" s="6">
        <f t="shared" si="39"/>
        <v>91.871428571428581</v>
      </c>
      <c r="AA45" s="6">
        <f t="shared" ref="AA45" si="163">AVERAGE(N39:N45)</f>
        <v>17.036971428571427</v>
      </c>
      <c r="AB45" s="6">
        <f t="shared" ref="AB45" si="164">AVERAGE(R39:R45)</f>
        <v>23.571207142857144</v>
      </c>
      <c r="AC45" s="6">
        <f t="shared" si="96"/>
        <v>-0.36677448290626247</v>
      </c>
      <c r="AD45" s="42">
        <f>Tabla1[[#This Row],[Avg Agua)]]/Tabla1[[#This Row],[Avg Musculo]]</f>
        <v>2.0178538040811898</v>
      </c>
    </row>
    <row r="46" spans="1:39" x14ac:dyDescent="0.3">
      <c r="A46">
        <v>2</v>
      </c>
      <c r="B46">
        <v>9</v>
      </c>
      <c r="C46" t="s">
        <v>22</v>
      </c>
      <c r="D46" s="4">
        <v>45169</v>
      </c>
      <c r="E46" s="6">
        <v>91.75</v>
      </c>
      <c r="F46" s="7">
        <f t="shared" si="85"/>
        <v>25.959144409234948</v>
      </c>
      <c r="G46" s="9">
        <v>0.187</v>
      </c>
      <c r="H46" s="6">
        <f t="shared" si="86"/>
        <v>74.592749999999995</v>
      </c>
      <c r="I46" s="6">
        <f t="shared" si="87"/>
        <v>22.907499999999995</v>
      </c>
      <c r="J46">
        <v>3.7</v>
      </c>
      <c r="K46" s="5">
        <v>0.08</v>
      </c>
      <c r="L46" s="17">
        <v>2167</v>
      </c>
      <c r="M46" s="5">
        <v>0.52300000000000002</v>
      </c>
      <c r="N46" s="6">
        <f t="shared" si="7"/>
        <v>17.157250000000001</v>
      </c>
      <c r="O46" s="21">
        <f t="shared" si="88"/>
        <v>47.985250000000001</v>
      </c>
      <c r="P46" s="8">
        <f t="shared" si="33"/>
        <v>47.604557142857153</v>
      </c>
      <c r="Q46" s="8">
        <f t="shared" si="152"/>
        <v>68.842500000000001</v>
      </c>
      <c r="R46" s="6">
        <f t="shared" si="153"/>
        <v>22.907499999999995</v>
      </c>
      <c r="S46" s="6">
        <f t="shared" si="91"/>
        <v>7.34</v>
      </c>
      <c r="T46" s="6">
        <f t="shared" ref="T46" si="165">I46-I45</f>
        <v>-0.73835000000000406</v>
      </c>
      <c r="U46" s="6">
        <f t="shared" ref="U46" si="166">N46-N45</f>
        <v>0.80425000000000324</v>
      </c>
      <c r="V46" s="6">
        <f t="shared" ref="V46" si="167">E46-E45</f>
        <v>0.90000000000000568</v>
      </c>
      <c r="W46" s="9">
        <f>Tabla1[[#This Row],[Protein]]/Tabla1[[#This Row],[Peso (Kg)]]</f>
        <v>0.2496730245231607</v>
      </c>
      <c r="X46" s="9">
        <f t="shared" si="37"/>
        <v>0.25471573649967294</v>
      </c>
      <c r="Y46" s="6">
        <f t="shared" ref="Y46:Y47" si="168">R46+N46+J46</f>
        <v>43.764749999999999</v>
      </c>
      <c r="Z46" s="6">
        <f t="shared" si="39"/>
        <v>91.85</v>
      </c>
      <c r="AA46" s="6">
        <f t="shared" ref="AA46" si="169">AVERAGE(N40:N46)</f>
        <v>17.151121428571425</v>
      </c>
      <c r="AB46" s="6">
        <f t="shared" ref="AB46" si="170">AVERAGE(R40:R46)</f>
        <v>23.39432142857143</v>
      </c>
      <c r="AC46" s="6">
        <f t="shared" si="96"/>
        <v>-0.75043129193032021</v>
      </c>
      <c r="AD46" s="42">
        <f>Tabla1[[#This Row],[Avg Agua)]]/Tabla1[[#This Row],[Avg Musculo]]</f>
        <v>2.0348765955108155</v>
      </c>
      <c r="AG46" s="10">
        <f>E46-E24</f>
        <v>-2.5</v>
      </c>
      <c r="AH46" s="10">
        <f>I46-I24</f>
        <v>0.12324999999999875</v>
      </c>
      <c r="AI46" s="10">
        <f>N46-N24</f>
        <v>-1.4100000000000001</v>
      </c>
      <c r="AJ46" s="10">
        <f>O46-O24</f>
        <v>-1.2132500000000022</v>
      </c>
      <c r="AK46" s="10">
        <f>S46-S24</f>
        <v>-0.67125000000000057</v>
      </c>
      <c r="AL46" s="10">
        <f>Y46-Y24</f>
        <v>-1.2867500000000049</v>
      </c>
      <c r="AM46">
        <v>2</v>
      </c>
    </row>
    <row r="47" spans="1:39" x14ac:dyDescent="0.3">
      <c r="A47">
        <v>2</v>
      </c>
      <c r="B47">
        <v>9</v>
      </c>
      <c r="C47" t="s">
        <v>20</v>
      </c>
      <c r="D47" s="4">
        <v>45170</v>
      </c>
      <c r="E47" s="6">
        <v>91.25</v>
      </c>
      <c r="F47" s="7">
        <f t="shared" si="85"/>
        <v>25.817677682209148</v>
      </c>
      <c r="G47" s="9">
        <v>0.18</v>
      </c>
      <c r="H47" s="6">
        <f t="shared" si="86"/>
        <v>74.825000000000003</v>
      </c>
      <c r="I47" s="6">
        <f t="shared" si="87"/>
        <v>23.583749999999998</v>
      </c>
      <c r="J47">
        <v>3.7</v>
      </c>
      <c r="K47" s="5">
        <v>0.08</v>
      </c>
      <c r="L47" s="17">
        <v>2171</v>
      </c>
      <c r="M47" s="5">
        <v>0.52100000000000002</v>
      </c>
      <c r="N47" s="6">
        <f t="shared" si="7"/>
        <v>16.425000000000001</v>
      </c>
      <c r="O47" s="21">
        <f t="shared" si="88"/>
        <v>47.541250000000005</v>
      </c>
      <c r="P47" s="8">
        <f t="shared" si="33"/>
        <v>47.516950000000001</v>
      </c>
      <c r="Q47" s="8">
        <f t="shared" si="152"/>
        <v>67.666250000000005</v>
      </c>
      <c r="R47" s="6">
        <f t="shared" si="153"/>
        <v>23.583749999999998</v>
      </c>
      <c r="S47" s="6">
        <f t="shared" si="91"/>
        <v>7.3</v>
      </c>
      <c r="T47" s="6">
        <f t="shared" ref="T47" si="171">I47-I46</f>
        <v>0.67625000000000313</v>
      </c>
      <c r="U47" s="6">
        <f t="shared" ref="U47" si="172">N47-N46</f>
        <v>-0.73225000000000051</v>
      </c>
      <c r="V47" s="6">
        <f t="shared" ref="V47" si="173">E47-E46</f>
        <v>-0.5</v>
      </c>
      <c r="W47" s="9">
        <f>Tabla1[[#This Row],[Protein]]/Tabla1[[#This Row],[Peso (Kg)]]</f>
        <v>0.25845205479452055</v>
      </c>
      <c r="X47" s="9">
        <f t="shared" si="37"/>
        <v>0.25622437305374884</v>
      </c>
      <c r="Y47" s="6">
        <f t="shared" si="168"/>
        <v>43.708750000000002</v>
      </c>
      <c r="Z47" s="6">
        <f t="shared" si="39"/>
        <v>91.707142857142841</v>
      </c>
      <c r="AA47" s="6">
        <f t="shared" ref="AA47" si="174">AVERAGE(N41:N47)</f>
        <v>16.993621428571426</v>
      </c>
      <c r="AB47" s="6">
        <f t="shared" ref="AB47" si="175">AVERAGE(R41:R47)</f>
        <v>23.496571428571428</v>
      </c>
      <c r="AC47" s="6">
        <f t="shared" ref="AC47" si="176">100*(AB47/AB46-1)</f>
        <v>0.43707187794350677</v>
      </c>
      <c r="AD47" s="42">
        <f>Tabla1[[#This Row],[Avg Agua)]]/Tabla1[[#This Row],[Avg Musculo]]</f>
        <v>2.022292918115713</v>
      </c>
      <c r="AG47" s="10"/>
      <c r="AH47" s="10"/>
      <c r="AI47" s="10"/>
      <c r="AJ47" s="10"/>
      <c r="AK47" s="10"/>
      <c r="AL47" s="10"/>
    </row>
    <row r="48" spans="1:39" x14ac:dyDescent="0.3">
      <c r="A48">
        <v>2</v>
      </c>
      <c r="B48">
        <v>9</v>
      </c>
      <c r="C48" t="s">
        <v>25</v>
      </c>
      <c r="D48" s="4">
        <v>45171</v>
      </c>
      <c r="E48" s="6">
        <v>91.1</v>
      </c>
      <c r="F48" s="7">
        <f t="shared" si="85"/>
        <v>25.775237664101404</v>
      </c>
      <c r="G48" s="9">
        <v>0.18</v>
      </c>
      <c r="H48" s="6">
        <f t="shared" si="86"/>
        <v>74.701999999999998</v>
      </c>
      <c r="I48" s="6">
        <f t="shared" si="87"/>
        <v>23.994400000000002</v>
      </c>
      <c r="J48">
        <v>3.7</v>
      </c>
      <c r="K48" s="5">
        <v>0.08</v>
      </c>
      <c r="L48" s="17">
        <v>2166</v>
      </c>
      <c r="M48" s="5">
        <v>0.51600000000000001</v>
      </c>
      <c r="N48" s="6">
        <f t="shared" si="7"/>
        <v>16.398</v>
      </c>
      <c r="O48" s="21">
        <f t="shared" si="88"/>
        <v>47.007599999999996</v>
      </c>
      <c r="P48" s="8">
        <f t="shared" si="33"/>
        <v>47.445357142857155</v>
      </c>
      <c r="Q48" s="8">
        <f t="shared" si="152"/>
        <v>67.105599999999995</v>
      </c>
      <c r="R48" s="6">
        <f t="shared" si="153"/>
        <v>23.994400000000002</v>
      </c>
      <c r="S48" s="6">
        <f t="shared" si="91"/>
        <v>7.2879999999999994</v>
      </c>
      <c r="T48" s="6">
        <f t="shared" ref="T48" si="177">I48-I47</f>
        <v>0.41065000000000396</v>
      </c>
      <c r="U48" s="6">
        <f t="shared" ref="U48" si="178">N48-N47</f>
        <v>-2.7000000000001023E-2</v>
      </c>
      <c r="V48" s="6">
        <f t="shared" ref="V48" si="179">E48-E47</f>
        <v>-0.15000000000000568</v>
      </c>
      <c r="W48" s="9">
        <f>Tabla1[[#This Row],[Protein]]/Tabla1[[#This Row],[Peso (Kg)]]</f>
        <v>0.26338529088913287</v>
      </c>
      <c r="X48" s="9">
        <f t="shared" si="37"/>
        <v>0.25729490047848363</v>
      </c>
      <c r="Y48" s="6">
        <f t="shared" ref="Y48" si="180">R48+N48+J48</f>
        <v>44.092400000000005</v>
      </c>
      <c r="Z48" s="6">
        <f t="shared" si="39"/>
        <v>91.542857142857159</v>
      </c>
      <c r="AA48" s="6">
        <f t="shared" ref="AA48" si="181">AVERAGE(N42:N48)</f>
        <v>16.845442857142856</v>
      </c>
      <c r="AB48" s="6">
        <f t="shared" ref="AB48" si="182">AVERAGE(R42:R48)</f>
        <v>23.552057142857144</v>
      </c>
      <c r="AC48" s="6">
        <f t="shared" ref="AC48" si="183">100*(AB48/AB47-1)</f>
        <v>0.23614387509425239</v>
      </c>
      <c r="AD48" s="42">
        <f>Tabla1[[#This Row],[Avg Agua)]]/Tabla1[[#This Row],[Avg Musculo]]</f>
        <v>2.0144888769194567</v>
      </c>
      <c r="AG48" s="10"/>
      <c r="AH48" s="10"/>
      <c r="AI48" s="10"/>
      <c r="AJ48" s="10"/>
      <c r="AK48" s="10"/>
      <c r="AL48" s="10"/>
    </row>
    <row r="49" spans="1:38" x14ac:dyDescent="0.3">
      <c r="A49">
        <v>2</v>
      </c>
      <c r="B49">
        <v>9</v>
      </c>
      <c r="C49" t="s">
        <v>26</v>
      </c>
      <c r="D49" s="4">
        <v>45172</v>
      </c>
      <c r="E49" s="6">
        <v>91</v>
      </c>
      <c r="F49" s="7">
        <f t="shared" si="85"/>
        <v>25.746944318696244</v>
      </c>
      <c r="G49" s="9">
        <v>0.17699999999999999</v>
      </c>
      <c r="H49" s="6">
        <f t="shared" si="86"/>
        <v>74.893000000000001</v>
      </c>
      <c r="I49" s="6">
        <f t="shared" si="87"/>
        <v>23.964000000000002</v>
      </c>
      <c r="J49">
        <v>3.7</v>
      </c>
      <c r="K49" s="5">
        <v>0.08</v>
      </c>
      <c r="L49" s="17">
        <v>2171</v>
      </c>
      <c r="M49" s="5">
        <v>0.51900000000000002</v>
      </c>
      <c r="N49" s="6">
        <f t="shared" si="7"/>
        <v>16.106999999999999</v>
      </c>
      <c r="O49" s="21">
        <f t="shared" si="88"/>
        <v>47.228999999999999</v>
      </c>
      <c r="P49" s="8">
        <f t="shared" si="33"/>
        <v>47.379035714285713</v>
      </c>
      <c r="Q49" s="8">
        <f t="shared" si="152"/>
        <v>67.036000000000001</v>
      </c>
      <c r="R49" s="6">
        <f t="shared" si="153"/>
        <v>23.964000000000002</v>
      </c>
      <c r="S49" s="6">
        <f t="shared" si="91"/>
        <v>7.28</v>
      </c>
      <c r="T49" s="6">
        <f t="shared" ref="T49" si="184">I49-I48</f>
        <v>-3.0400000000000205E-2</v>
      </c>
      <c r="U49" s="6">
        <f t="shared" ref="U49" si="185">N49-N48</f>
        <v>-0.29100000000000037</v>
      </c>
      <c r="V49" s="6">
        <f t="shared" ref="V49" si="186">E49-E48</f>
        <v>-9.9999999999994316E-2</v>
      </c>
      <c r="W49" s="9">
        <f>Tabla1[[#This Row],[Protein]]/Tabla1[[#This Row],[Peso (Kg)]]</f>
        <v>0.26334065934065937</v>
      </c>
      <c r="X49" s="9">
        <f t="shared" si="37"/>
        <v>0.25864476625343652</v>
      </c>
      <c r="Y49" s="6">
        <f t="shared" ref="Y49:Y52" si="187">R49+N49+J49</f>
        <v>43.771000000000001</v>
      </c>
      <c r="Z49" s="6">
        <f t="shared" si="39"/>
        <v>91.364285714285728</v>
      </c>
      <c r="AA49" s="6">
        <f t="shared" ref="AA49" si="188">AVERAGE(N43:N49)</f>
        <v>16.655692857142856</v>
      </c>
      <c r="AB49" s="6">
        <f t="shared" ref="AB49" si="189">AVERAGE(R43:R49)</f>
        <v>23.629557142857145</v>
      </c>
      <c r="AC49" s="6">
        <f t="shared" ref="AC49:AC50" si="190">100*(AB49/AB48-1)</f>
        <v>0.32905830488572096</v>
      </c>
      <c r="AD49" s="42">
        <f>Tabla1[[#This Row],[Avg Agua)]]/Tabla1[[#This Row],[Avg Musculo]]</f>
        <v>2.00507506035117</v>
      </c>
      <c r="AG49" s="10"/>
      <c r="AH49" s="10"/>
      <c r="AI49" s="10"/>
      <c r="AJ49" s="10"/>
      <c r="AK49" s="10"/>
      <c r="AL49" s="10"/>
    </row>
    <row r="50" spans="1:38" x14ac:dyDescent="0.3">
      <c r="A50">
        <v>2</v>
      </c>
      <c r="B50">
        <v>10</v>
      </c>
      <c r="C50" t="s">
        <v>21</v>
      </c>
      <c r="D50" s="4">
        <v>45173</v>
      </c>
      <c r="E50" s="6">
        <v>91.2</v>
      </c>
      <c r="F50" s="7">
        <f t="shared" si="85"/>
        <v>25.803531009506568</v>
      </c>
      <c r="G50" s="9">
        <v>0.17799999999999999</v>
      </c>
      <c r="H50" s="6">
        <f t="shared" si="86"/>
        <v>74.966400000000007</v>
      </c>
      <c r="I50" s="6">
        <f t="shared" si="87"/>
        <v>23.386400000000005</v>
      </c>
      <c r="J50">
        <v>3.7</v>
      </c>
      <c r="K50" s="5">
        <v>0.08</v>
      </c>
      <c r="L50" s="17">
        <v>2176</v>
      </c>
      <c r="M50" s="5">
        <v>0.52500000000000002</v>
      </c>
      <c r="N50" s="6">
        <f t="shared" si="7"/>
        <v>16.233599999999999</v>
      </c>
      <c r="O50" s="21">
        <f t="shared" si="88"/>
        <v>47.88</v>
      </c>
      <c r="P50" s="8">
        <f t="shared" si="33"/>
        <v>47.399935714285718</v>
      </c>
      <c r="Q50" s="8">
        <f t="shared" si="152"/>
        <v>67.813599999999994</v>
      </c>
      <c r="R50" s="6">
        <f t="shared" si="153"/>
        <v>23.386400000000005</v>
      </c>
      <c r="S50" s="6">
        <f t="shared" si="91"/>
        <v>7.2960000000000003</v>
      </c>
      <c r="T50" s="6">
        <f t="shared" ref="T50" si="191">I50-I49</f>
        <v>-0.57759999999999678</v>
      </c>
      <c r="U50" s="6">
        <f t="shared" ref="U50" si="192">N50-N49</f>
        <v>0.12659999999999982</v>
      </c>
      <c r="V50" s="6">
        <f t="shared" ref="V50" si="193">E50-E49</f>
        <v>0.20000000000000284</v>
      </c>
      <c r="W50" s="9">
        <f>Tabla1[[#This Row],[Protein]]/Tabla1[[#This Row],[Peso (Kg)]]</f>
        <v>0.25642982456140356</v>
      </c>
      <c r="X50" s="9">
        <f t="shared" si="37"/>
        <v>0.25872787350610432</v>
      </c>
      <c r="Y50" s="6">
        <f t="shared" si="187"/>
        <v>43.320000000000007</v>
      </c>
      <c r="Z50" s="6">
        <f t="shared" si="39"/>
        <v>91.228571428571428</v>
      </c>
      <c r="AA50" s="6">
        <f t="shared" ref="AA50" si="194">AVERAGE(N44:N50)</f>
        <v>16.526221428571425</v>
      </c>
      <c r="AB50" s="6">
        <f t="shared" ref="AB50" si="195">AVERAGE(R44:R50)</f>
        <v>23.602414285714286</v>
      </c>
      <c r="AC50" s="6">
        <f t="shared" si="190"/>
        <v>-0.11486824310231736</v>
      </c>
      <c r="AD50" s="42">
        <f>Tabla1[[#This Row],[Avg Agua)]]/Tabla1[[#This Row],[Avg Musculo]]</f>
        <v>2.008266406160629</v>
      </c>
      <c r="AG50" s="10"/>
      <c r="AH50" s="10"/>
      <c r="AI50" s="10"/>
      <c r="AJ50" s="10"/>
      <c r="AK50" s="10"/>
      <c r="AL50" s="10"/>
    </row>
    <row r="51" spans="1:38" x14ac:dyDescent="0.3">
      <c r="A51">
        <v>2</v>
      </c>
      <c r="B51">
        <v>10</v>
      </c>
      <c r="C51" t="s">
        <v>23</v>
      </c>
      <c r="D51" s="4">
        <v>45174</v>
      </c>
      <c r="E51" s="6">
        <v>90.9</v>
      </c>
      <c r="F51" s="7">
        <f t="shared" si="85"/>
        <v>25.718650973291084</v>
      </c>
      <c r="G51" s="9">
        <v>0.17499999999999999</v>
      </c>
      <c r="H51" s="6">
        <f t="shared" si="86"/>
        <v>74.992500000000007</v>
      </c>
      <c r="I51" s="6">
        <f t="shared" si="87"/>
        <v>23.842700000000004</v>
      </c>
      <c r="J51">
        <v>3.7</v>
      </c>
      <c r="K51" s="5">
        <v>7.4999999999999997E-2</v>
      </c>
      <c r="L51" s="17">
        <v>2173</v>
      </c>
      <c r="M51" s="5">
        <v>0.52200000000000002</v>
      </c>
      <c r="N51" s="6">
        <f t="shared" si="7"/>
        <v>15.907500000000001</v>
      </c>
      <c r="O51" s="21">
        <f t="shared" si="88"/>
        <v>47.449800000000003</v>
      </c>
      <c r="P51" s="8">
        <f t="shared" si="33"/>
        <v>47.463435714285716</v>
      </c>
      <c r="Q51" s="8">
        <f t="shared" si="152"/>
        <v>67.057299999999998</v>
      </c>
      <c r="R51" s="6">
        <f t="shared" si="153"/>
        <v>23.842700000000004</v>
      </c>
      <c r="S51" s="6">
        <f t="shared" si="91"/>
        <v>6.8174999999999999</v>
      </c>
      <c r="T51" s="6">
        <f t="shared" ref="T51" si="196">I51-I50</f>
        <v>0.45629999999999882</v>
      </c>
      <c r="U51" s="6">
        <f t="shared" ref="U51" si="197">N51-N50</f>
        <v>-0.3260999999999985</v>
      </c>
      <c r="V51" s="6">
        <f t="shared" ref="V51" si="198">E51-E50</f>
        <v>-0.29999999999999716</v>
      </c>
      <c r="W51" s="9">
        <f>Tabla1[[#This Row],[Protein]]/Tabla1[[#This Row],[Peso (Kg)]]</f>
        <v>0.26229592959295933</v>
      </c>
      <c r="X51" s="9">
        <f t="shared" si="37"/>
        <v>0.25912147307070027</v>
      </c>
      <c r="Y51" s="6">
        <f t="shared" si="187"/>
        <v>43.450200000000009</v>
      </c>
      <c r="Z51" s="6">
        <f t="shared" si="39"/>
        <v>91.15</v>
      </c>
      <c r="AA51" s="6">
        <f t="shared" ref="AA51" si="199">AVERAGE(N45:N51)</f>
        <v>16.368764285714285</v>
      </c>
      <c r="AB51" s="6">
        <f t="shared" ref="AB51" si="200">AVERAGE(R45:R51)</f>
        <v>23.617799999999999</v>
      </c>
      <c r="AC51" s="6">
        <f t="shared" ref="AC51" si="201">100*(AB51/AB50-1)</f>
        <v>6.51870359509088E-2</v>
      </c>
      <c r="AD51" s="42">
        <f>Tabla1[[#This Row],[Avg Agua)]]/Tabla1[[#This Row],[Avg Musculo]]</f>
        <v>2.0096467797290907</v>
      </c>
      <c r="AG51" s="10"/>
      <c r="AH51" s="10"/>
      <c r="AI51" s="10"/>
      <c r="AJ51" s="10"/>
      <c r="AK51" s="10"/>
      <c r="AL51" s="10"/>
    </row>
    <row r="52" spans="1:38" x14ac:dyDescent="0.3">
      <c r="A52">
        <v>2</v>
      </c>
      <c r="B52">
        <v>10</v>
      </c>
      <c r="C52" t="s">
        <v>24</v>
      </c>
      <c r="D52" s="4">
        <v>45175</v>
      </c>
      <c r="E52" s="6">
        <v>91.2</v>
      </c>
      <c r="F52" s="7">
        <f t="shared" si="85"/>
        <v>25.803531009506568</v>
      </c>
      <c r="G52" s="9">
        <v>0.17399999999999999</v>
      </c>
      <c r="H52" s="6">
        <f t="shared" si="86"/>
        <v>75.331199999999995</v>
      </c>
      <c r="I52" s="6">
        <f t="shared" si="87"/>
        <v>23.842399999999994</v>
      </c>
      <c r="J52">
        <v>3.7</v>
      </c>
      <c r="K52" s="5">
        <v>7.4999999999999997E-2</v>
      </c>
      <c r="L52" s="17">
        <v>2184</v>
      </c>
      <c r="M52" s="5">
        <v>0.52400000000000002</v>
      </c>
      <c r="N52" s="6">
        <f t="shared" si="7"/>
        <v>15.8688</v>
      </c>
      <c r="O52" s="21">
        <f t="shared" si="88"/>
        <v>47.788800000000002</v>
      </c>
      <c r="P52" s="8">
        <f t="shared" si="33"/>
        <v>47.55452857142857</v>
      </c>
      <c r="Q52" s="8">
        <f t="shared" si="152"/>
        <v>67.357600000000005</v>
      </c>
      <c r="R52" s="6">
        <f t="shared" si="153"/>
        <v>23.842399999999994</v>
      </c>
      <c r="S52" s="6">
        <f t="shared" si="91"/>
        <v>6.84</v>
      </c>
      <c r="T52" s="6">
        <f t="shared" ref="T52" si="202">I52-I51</f>
        <v>-3.0000000000995897E-4</v>
      </c>
      <c r="U52" s="6">
        <f t="shared" ref="U52" si="203">N52-N51</f>
        <v>-3.8700000000000401E-2</v>
      </c>
      <c r="V52" s="6">
        <f t="shared" ref="V52" si="204">E52-E51</f>
        <v>0.29999999999999716</v>
      </c>
      <c r="W52" s="9">
        <f>Tabla1[[#This Row],[Protein]]/Tabla1[[#This Row],[Peso (Kg)]]</f>
        <v>0.26142982456140346</v>
      </c>
      <c r="X52" s="9">
        <f t="shared" si="37"/>
        <v>0.25928665832331999</v>
      </c>
      <c r="Y52" s="6">
        <f t="shared" si="187"/>
        <v>43.411199999999994</v>
      </c>
      <c r="Z52" s="6">
        <f t="shared" si="39"/>
        <v>91.200000000000017</v>
      </c>
      <c r="AA52" s="6">
        <f t="shared" ref="AA52" si="205">AVERAGE(N46:N52)</f>
        <v>16.299592857142859</v>
      </c>
      <c r="AB52" s="6">
        <f t="shared" ref="AB52" si="206">AVERAGE(R46:R52)</f>
        <v>23.645878571428572</v>
      </c>
      <c r="AC52" s="6">
        <f t="shared" ref="AC52" si="207">100*(AB52/AB51-1)</f>
        <v>0.11888732832259219</v>
      </c>
      <c r="AD52" s="42">
        <f>Tabla1[[#This Row],[Avg Agua)]]/Tabla1[[#This Row],[Avg Musculo]]</f>
        <v>2.0111127792430152</v>
      </c>
      <c r="AG52" s="10"/>
      <c r="AH52" s="10"/>
      <c r="AI52" s="10"/>
      <c r="AJ52" s="10"/>
      <c r="AK52" s="10"/>
      <c r="AL52" s="10"/>
    </row>
    <row r="53" spans="1:38" x14ac:dyDescent="0.3">
      <c r="A53">
        <v>2</v>
      </c>
      <c r="B53">
        <v>10</v>
      </c>
      <c r="C53" t="s">
        <v>22</v>
      </c>
      <c r="D53" s="4">
        <v>45176</v>
      </c>
      <c r="E53" s="6">
        <v>91.4</v>
      </c>
      <c r="F53" s="7">
        <f t="shared" si="85"/>
        <v>25.860117700316888</v>
      </c>
      <c r="G53" s="9">
        <v>0.18099999999999999</v>
      </c>
      <c r="H53" s="6">
        <f t="shared" si="86"/>
        <v>74.8566</v>
      </c>
      <c r="I53" s="6">
        <f t="shared" si="87"/>
        <v>23.445799999999995</v>
      </c>
      <c r="J53">
        <v>3.7</v>
      </c>
      <c r="K53" s="5">
        <v>0.08</v>
      </c>
      <c r="L53" s="17">
        <v>2173</v>
      </c>
      <c r="M53" s="5">
        <v>0.52200000000000002</v>
      </c>
      <c r="N53" s="6">
        <f t="shared" si="7"/>
        <v>16.543400000000002</v>
      </c>
      <c r="O53" s="21">
        <f t="shared" si="88"/>
        <v>47.710800000000006</v>
      </c>
      <c r="P53" s="8">
        <f t="shared" si="33"/>
        <v>47.515321428571433</v>
      </c>
      <c r="Q53" s="8">
        <f t="shared" si="152"/>
        <v>67.954200000000014</v>
      </c>
      <c r="R53" s="6">
        <f t="shared" si="153"/>
        <v>23.445799999999995</v>
      </c>
      <c r="S53" s="6">
        <f t="shared" si="91"/>
        <v>7.3120000000000003</v>
      </c>
      <c r="T53" s="6">
        <f t="shared" ref="T53" si="208">I53-I52</f>
        <v>-0.3965999999999994</v>
      </c>
      <c r="U53" s="6">
        <f t="shared" ref="U53" si="209">N53-N52</f>
        <v>0.67460000000000164</v>
      </c>
      <c r="V53" s="6">
        <f t="shared" ref="V53" si="210">E53-E52</f>
        <v>0.20000000000000284</v>
      </c>
      <c r="W53" s="9">
        <f>Tabla1[[#This Row],[Protein]]/Tabla1[[#This Row],[Peso (Kg)]]</f>
        <v>0.25651859956236317</v>
      </c>
      <c r="X53" s="9">
        <f t="shared" si="37"/>
        <v>0.26026459761463461</v>
      </c>
      <c r="Y53" s="6">
        <f t="shared" ref="Y53" si="211">R53+N53+J53</f>
        <v>43.6892</v>
      </c>
      <c r="Z53" s="6">
        <f t="shared" si="39"/>
        <v>91.15</v>
      </c>
      <c r="AA53" s="6">
        <f t="shared" ref="AA53" si="212">AVERAGE(N47:N53)</f>
        <v>16.2119</v>
      </c>
      <c r="AB53" s="6">
        <f t="shared" ref="AB53" si="213">AVERAGE(R47:R53)</f>
        <v>23.72277857142857</v>
      </c>
      <c r="AC53" s="6">
        <f t="shared" ref="AC53" si="214">100*(AB53/AB52-1)</f>
        <v>0.32521523684434506</v>
      </c>
      <c r="AD53" s="42">
        <f>Tabla1[[#This Row],[Avg Agua)]]/Tabla1[[#This Row],[Avg Musculo]]</f>
        <v>2.0029408142686251</v>
      </c>
      <c r="AG53" s="10"/>
      <c r="AH53" s="10"/>
      <c r="AI53" s="10"/>
      <c r="AJ53" s="10"/>
      <c r="AK53" s="10"/>
      <c r="AL53" s="10"/>
    </row>
    <row r="54" spans="1:38" x14ac:dyDescent="0.3">
      <c r="A54">
        <v>2</v>
      </c>
      <c r="B54">
        <v>10</v>
      </c>
      <c r="C54" t="s">
        <v>20</v>
      </c>
      <c r="D54" s="4">
        <v>45177</v>
      </c>
      <c r="E54" s="6">
        <v>90.95</v>
      </c>
      <c r="F54" s="7">
        <f t="shared" si="85"/>
        <v>25.732797645993664</v>
      </c>
      <c r="G54" s="9">
        <v>0.17299999999999999</v>
      </c>
      <c r="H54" s="6">
        <f t="shared" si="86"/>
        <v>75.215650000000011</v>
      </c>
      <c r="I54" s="6">
        <f t="shared" si="87"/>
        <v>24.039750000000009</v>
      </c>
      <c r="J54">
        <v>3.7</v>
      </c>
      <c r="K54" s="5">
        <v>7.4999999999999997E-2</v>
      </c>
      <c r="L54" s="17">
        <v>2180</v>
      </c>
      <c r="M54" s="5">
        <v>0.52200000000000002</v>
      </c>
      <c r="N54" s="6">
        <f t="shared" si="7"/>
        <v>15.734349999999999</v>
      </c>
      <c r="O54" s="21">
        <f t="shared" si="88"/>
        <v>47.475900000000003</v>
      </c>
      <c r="P54" s="8">
        <f t="shared" si="33"/>
        <v>47.505985714285721</v>
      </c>
      <c r="Q54" s="8">
        <f t="shared" si="152"/>
        <v>66.910249999999991</v>
      </c>
      <c r="R54" s="6">
        <f t="shared" si="153"/>
        <v>24.039750000000009</v>
      </c>
      <c r="S54" s="6">
        <f t="shared" ref="S54:S60" si="215">K54*E54</f>
        <v>6.82125</v>
      </c>
      <c r="T54" s="6">
        <f t="shared" ref="T54" si="216">I54-I53</f>
        <v>0.59395000000001374</v>
      </c>
      <c r="U54" s="6">
        <f t="shared" ref="U54" si="217">N54-N53</f>
        <v>-0.80905000000000271</v>
      </c>
      <c r="V54" s="6">
        <f t="shared" ref="V54" si="218">E54-E53</f>
        <v>-0.45000000000000284</v>
      </c>
      <c r="W54" s="9">
        <f>Tabla1[[#This Row],[Protein]]/Tabla1[[#This Row],[Peso (Kg)]]</f>
        <v>0.26431830676195722</v>
      </c>
      <c r="X54" s="9">
        <f t="shared" si="37"/>
        <v>0.26110263360998276</v>
      </c>
      <c r="Y54" s="6">
        <f t="shared" ref="Y54:Y56" si="219">R54+N54+J54</f>
        <v>43.474100000000007</v>
      </c>
      <c r="Z54" s="6">
        <f t="shared" si="39"/>
        <v>91.107142857142875</v>
      </c>
      <c r="AA54" s="6">
        <f t="shared" ref="AA54" si="220">AVERAGE(N48:N54)</f>
        <v>16.113235714285711</v>
      </c>
      <c r="AB54" s="6">
        <f t="shared" ref="AB54" si="221">AVERAGE(R48:R54)</f>
        <v>23.78792142857143</v>
      </c>
      <c r="AC54" s="6">
        <f t="shared" ref="AC54" si="222">100*(AB54/AB53-1)</f>
        <v>0.27460045182614579</v>
      </c>
      <c r="AD54" s="42">
        <f>Tabla1[[#This Row],[Avg Agua)]]/Tabla1[[#This Row],[Avg Musculo]]</f>
        <v>1.9970633355643577</v>
      </c>
      <c r="AG54" s="10"/>
      <c r="AH54" s="10"/>
      <c r="AI54" s="10"/>
      <c r="AJ54" s="10"/>
      <c r="AK54" s="10"/>
      <c r="AL54" s="10"/>
    </row>
    <row r="55" spans="1:38" x14ac:dyDescent="0.3">
      <c r="A55">
        <v>2</v>
      </c>
      <c r="B55">
        <v>10</v>
      </c>
      <c r="C55" t="s">
        <v>25</v>
      </c>
      <c r="D55" s="4">
        <v>45178</v>
      </c>
      <c r="E55" s="6">
        <v>91.5</v>
      </c>
      <c r="F55" s="7">
        <f t="shared" si="85"/>
        <v>25.888411045722048</v>
      </c>
      <c r="G55" s="9">
        <v>0.17499999999999999</v>
      </c>
      <c r="H55" s="6">
        <f t="shared" si="86"/>
        <v>75.487499999999997</v>
      </c>
      <c r="I55" s="6">
        <f t="shared" si="87"/>
        <v>24.024499999999993</v>
      </c>
      <c r="J55">
        <v>3.7</v>
      </c>
      <c r="K55" s="5">
        <v>0.08</v>
      </c>
      <c r="L55" s="17">
        <v>2189</v>
      </c>
      <c r="M55" s="5">
        <v>0.52200000000000002</v>
      </c>
      <c r="N55" s="6">
        <f t="shared" si="7"/>
        <v>16.012499999999999</v>
      </c>
      <c r="O55" s="21">
        <f t="shared" si="88"/>
        <v>47.763000000000005</v>
      </c>
      <c r="P55" s="8">
        <f t="shared" si="33"/>
        <v>47.613900000000008</v>
      </c>
      <c r="Q55" s="8">
        <f t="shared" si="152"/>
        <v>67.475500000000011</v>
      </c>
      <c r="R55" s="6">
        <f t="shared" si="153"/>
        <v>24.024499999999993</v>
      </c>
      <c r="S55" s="6">
        <f t="shared" si="215"/>
        <v>7.32</v>
      </c>
      <c r="T55" s="6">
        <f t="shared" ref="T55" si="223">I55-I54</f>
        <v>-1.5250000000015973E-2</v>
      </c>
      <c r="U55" s="6">
        <f t="shared" ref="U55" si="224">N55-N54</f>
        <v>0.27815000000000012</v>
      </c>
      <c r="V55" s="6">
        <f t="shared" ref="V55" si="225">E55-E54</f>
        <v>0.54999999999999716</v>
      </c>
      <c r="W55" s="9">
        <f>Tabla1[[#This Row],[Protein]]/Tabla1[[#This Row],[Peso (Kg)]]</f>
        <v>0.26256284153005455</v>
      </c>
      <c r="X55" s="9">
        <f t="shared" si="37"/>
        <v>0.26098514084440005</v>
      </c>
      <c r="Y55" s="6">
        <f t="shared" si="219"/>
        <v>43.736999999999995</v>
      </c>
      <c r="Z55" s="6">
        <f t="shared" si="39"/>
        <v>91.164285714285725</v>
      </c>
      <c r="AA55" s="6">
        <f t="shared" ref="AA55" si="226">AVERAGE(N49:N55)</f>
        <v>16.058164285714284</v>
      </c>
      <c r="AB55" s="6">
        <f t="shared" ref="AB55" si="227">AVERAGE(R49:R55)</f>
        <v>23.792221428571427</v>
      </c>
      <c r="AC55" s="6">
        <f t="shared" ref="AC55" si="228">100*(AB55/AB54-1)</f>
        <v>1.8076400718358698E-2</v>
      </c>
      <c r="AD55" s="42">
        <f>Tabla1[[#This Row],[Avg Agua)]]/Tabla1[[#This Row],[Avg Musculo]]</f>
        <v>2.0012380997270722</v>
      </c>
      <c r="AG55" s="10"/>
      <c r="AH55" s="10"/>
      <c r="AI55" s="10"/>
      <c r="AJ55" s="10"/>
      <c r="AK55" s="10"/>
      <c r="AL55" s="10"/>
    </row>
    <row r="56" spans="1:38" x14ac:dyDescent="0.3">
      <c r="A56">
        <v>2</v>
      </c>
      <c r="B56">
        <v>10</v>
      </c>
      <c r="C56" t="s">
        <v>26</v>
      </c>
      <c r="D56" s="4">
        <v>45179</v>
      </c>
      <c r="E56" s="6">
        <v>91.5</v>
      </c>
      <c r="F56" s="7">
        <f t="shared" si="85"/>
        <v>25.888411045722048</v>
      </c>
      <c r="G56" s="9">
        <v>0.18</v>
      </c>
      <c r="H56" s="6">
        <f t="shared" si="86"/>
        <v>75.03</v>
      </c>
      <c r="I56" s="6">
        <f t="shared" si="87"/>
        <v>23.566999999999997</v>
      </c>
      <c r="J56">
        <v>3.7</v>
      </c>
      <c r="K56" s="5">
        <v>0.08</v>
      </c>
      <c r="L56" s="17">
        <v>2178</v>
      </c>
      <c r="M56" s="5">
        <v>0.52200000000000002</v>
      </c>
      <c r="N56" s="6">
        <f t="shared" si="7"/>
        <v>16.47</v>
      </c>
      <c r="O56" s="21">
        <f t="shared" si="88"/>
        <v>47.763000000000005</v>
      </c>
      <c r="P56" s="8">
        <f t="shared" si="33"/>
        <v>47.690185714285725</v>
      </c>
      <c r="Q56" s="8">
        <f t="shared" si="152"/>
        <v>67.933000000000007</v>
      </c>
      <c r="R56" s="6">
        <f t="shared" si="153"/>
        <v>23.566999999999997</v>
      </c>
      <c r="S56" s="6">
        <f t="shared" si="215"/>
        <v>7.32</v>
      </c>
      <c r="T56" s="6">
        <f t="shared" ref="T56" si="229">I56-I55</f>
        <v>-0.45749999999999602</v>
      </c>
      <c r="U56" s="6">
        <f t="shared" ref="U56" si="230">N56-N55</f>
        <v>0.45749999999999957</v>
      </c>
      <c r="V56" s="6">
        <f t="shared" ref="V56" si="231">E56-E55</f>
        <v>0</v>
      </c>
      <c r="W56" s="9">
        <f>Tabla1[[#This Row],[Protein]]/Tabla1[[#This Row],[Peso (Kg)]]</f>
        <v>0.2575628415300546</v>
      </c>
      <c r="X56" s="9">
        <f t="shared" si="37"/>
        <v>0.26015973830002798</v>
      </c>
      <c r="Y56" s="6">
        <f t="shared" si="219"/>
        <v>43.736999999999995</v>
      </c>
      <c r="Z56" s="6">
        <f t="shared" si="39"/>
        <v>91.235714285714295</v>
      </c>
      <c r="AA56" s="6">
        <f t="shared" ref="AA56" si="232">AVERAGE(N50:N56)</f>
        <v>16.110021428571432</v>
      </c>
      <c r="AB56" s="6">
        <f t="shared" ref="AB56" si="233">AVERAGE(R50:R56)</f>
        <v>23.735507142857141</v>
      </c>
      <c r="AC56" s="6">
        <f t="shared" ref="AC56:AC58" si="234">100*(AB56/AB55-1)</f>
        <v>-0.23837322582320741</v>
      </c>
      <c r="AD56" s="42">
        <f>Tabla1[[#This Row],[Avg Agua)]]/Tabla1[[#This Row],[Avg Musculo]]</f>
        <v>2.0092339054418478</v>
      </c>
      <c r="AG56" s="10">
        <f>AG24-E56</f>
        <v>2.75</v>
      </c>
      <c r="AH56" s="10">
        <f>AH24-I56</f>
        <v>-0.78275000000000006</v>
      </c>
      <c r="AI56" s="10">
        <f>AI24-N56</f>
        <v>2.0972500000000025</v>
      </c>
      <c r="AJ56" s="10">
        <f>AJ24-O56</f>
        <v>1.4354999999999976</v>
      </c>
      <c r="AK56" s="10">
        <f>AK24-S56</f>
        <v>0.69125000000000014</v>
      </c>
      <c r="AL56" s="10">
        <f>AL24-Y56</f>
        <v>1.3145000000000095</v>
      </c>
    </row>
    <row r="57" spans="1:38" x14ac:dyDescent="0.3">
      <c r="A57">
        <v>3</v>
      </c>
      <c r="B57">
        <v>11</v>
      </c>
      <c r="C57" t="s">
        <v>21</v>
      </c>
      <c r="D57" s="4">
        <v>45180</v>
      </c>
      <c r="E57" s="6">
        <v>91.4</v>
      </c>
      <c r="F57" s="7">
        <f t="shared" si="85"/>
        <v>25.860117700316888</v>
      </c>
      <c r="G57" s="9">
        <v>0.18</v>
      </c>
      <c r="H57" s="6">
        <f t="shared" si="86"/>
        <v>74.948000000000008</v>
      </c>
      <c r="I57" s="6">
        <f t="shared" si="87"/>
        <v>23.445800000000002</v>
      </c>
      <c r="J57">
        <v>3.7</v>
      </c>
      <c r="K57" s="5">
        <v>0.08</v>
      </c>
      <c r="L57" s="17">
        <v>2177</v>
      </c>
      <c r="M57" s="5">
        <v>0.52300000000000002</v>
      </c>
      <c r="N57" s="6">
        <f t="shared" si="7"/>
        <v>16.452000000000002</v>
      </c>
      <c r="O57" s="21">
        <f t="shared" si="88"/>
        <v>47.802200000000006</v>
      </c>
      <c r="P57" s="8">
        <f t="shared" si="33"/>
        <v>47.67907142857144</v>
      </c>
      <c r="Q57" s="8">
        <f t="shared" si="152"/>
        <v>67.9542</v>
      </c>
      <c r="R57" s="6">
        <f t="shared" si="153"/>
        <v>23.445800000000002</v>
      </c>
      <c r="S57" s="6">
        <f t="shared" si="215"/>
        <v>7.3120000000000003</v>
      </c>
      <c r="T57" s="6">
        <f t="shared" ref="T57" si="235">I57-I56</f>
        <v>-0.12119999999999465</v>
      </c>
      <c r="U57" s="6">
        <f t="shared" ref="U57" si="236">N57-N56</f>
        <v>-1.7999999999997129E-2</v>
      </c>
      <c r="V57" s="6">
        <f t="shared" ref="V57" si="237">E57-E56</f>
        <v>-9.9999999999994316E-2</v>
      </c>
      <c r="W57" s="9">
        <f>Tabla1[[#This Row],[Protein]]/Tabla1[[#This Row],[Peso (Kg)]]</f>
        <v>0.25651859956236323</v>
      </c>
      <c r="X57" s="9">
        <f t="shared" si="37"/>
        <v>0.26017242044302219</v>
      </c>
      <c r="Y57" s="6">
        <f t="shared" ref="Y57" si="238">R57+N57+J57</f>
        <v>43.597800000000007</v>
      </c>
      <c r="Z57" s="6">
        <f t="shared" si="39"/>
        <v>91.26428571428572</v>
      </c>
      <c r="AA57" s="6">
        <f t="shared" ref="AA57" si="239">AVERAGE(N51:N57)</f>
        <v>16.141221428571427</v>
      </c>
      <c r="AB57" s="6">
        <f t="shared" ref="AB57" si="240">AVERAGE(R51:R57)</f>
        <v>23.743992857142853</v>
      </c>
      <c r="AC57" s="6">
        <f t="shared" si="234"/>
        <v>3.5751139567552492E-2</v>
      </c>
      <c r="AD57" s="42">
        <f>Tabla1[[#This Row],[Avg Agua)]]/Tabla1[[#This Row],[Avg Musculo]]</f>
        <v>2.0080477498218356</v>
      </c>
      <c r="AG57" s="10"/>
      <c r="AH57" s="10"/>
      <c r="AI57" s="10"/>
      <c r="AJ57" s="10"/>
      <c r="AK57" s="10"/>
      <c r="AL57" s="10"/>
    </row>
    <row r="58" spans="1:38" x14ac:dyDescent="0.3">
      <c r="A58">
        <v>3</v>
      </c>
      <c r="B58">
        <v>11</v>
      </c>
      <c r="C58" t="s">
        <v>23</v>
      </c>
      <c r="D58" s="4">
        <v>45181</v>
      </c>
      <c r="E58" s="6">
        <v>91.35</v>
      </c>
      <c r="F58" s="7">
        <f t="shared" si="85"/>
        <v>25.845971027614304</v>
      </c>
      <c r="G58" s="9">
        <v>0.182</v>
      </c>
      <c r="H58" s="6">
        <f t="shared" si="86"/>
        <v>74.724299999999999</v>
      </c>
      <c r="I58" s="6">
        <f t="shared" si="87"/>
        <v>22.9742</v>
      </c>
      <c r="J58">
        <v>3.7</v>
      </c>
      <c r="K58" s="5">
        <v>0.08</v>
      </c>
      <c r="L58" s="17">
        <v>2169</v>
      </c>
      <c r="M58" s="5">
        <v>0.52600000000000002</v>
      </c>
      <c r="N58" s="6">
        <f t="shared" si="7"/>
        <v>16.625699999999998</v>
      </c>
      <c r="O58" s="21">
        <f t="shared" si="88"/>
        <v>48.0501</v>
      </c>
      <c r="P58" s="8">
        <f t="shared" si="33"/>
        <v>47.764828571428573</v>
      </c>
      <c r="Q58" s="8">
        <f t="shared" si="152"/>
        <v>68.375799999999998</v>
      </c>
      <c r="R58" s="6">
        <f t="shared" si="153"/>
        <v>22.9742</v>
      </c>
      <c r="S58" s="6">
        <f t="shared" si="215"/>
        <v>7.3079999999999998</v>
      </c>
      <c r="T58" s="6">
        <f t="shared" ref="T58" si="241">I58-I57</f>
        <v>-0.47160000000000224</v>
      </c>
      <c r="U58" s="6">
        <f t="shared" ref="U58" si="242">N58-N57</f>
        <v>0.17369999999999663</v>
      </c>
      <c r="V58" s="6">
        <f t="shared" ref="V58" si="243">E58-E57</f>
        <v>-5.0000000000011369E-2</v>
      </c>
      <c r="W58" s="9">
        <f>Tabla1[[#This Row],[Protein]]/Tabla1[[#This Row],[Peso (Kg)]]</f>
        <v>0.25149644225506296</v>
      </c>
      <c r="X58" s="9">
        <f t="shared" si="37"/>
        <v>0.25862963653760845</v>
      </c>
      <c r="Y58" s="6">
        <f t="shared" ref="Y58" si="244">R58+N58+J58</f>
        <v>43.299900000000001</v>
      </c>
      <c r="Z58" s="6">
        <f t="shared" si="39"/>
        <v>91.328571428571436</v>
      </c>
      <c r="AA58" s="6">
        <f t="shared" ref="AA58" si="245">AVERAGE(N52:N58)</f>
        <v>16.243821428571426</v>
      </c>
      <c r="AB58" s="6">
        <f t="shared" ref="AB58" si="246">AVERAGE(R52:R58)</f>
        <v>23.619921428571423</v>
      </c>
      <c r="AC58" s="6">
        <f t="shared" si="234"/>
        <v>-0.52253818183787271</v>
      </c>
      <c r="AD58" s="42">
        <f>Tabla1[[#This Row],[Avg Agua)]]/Tabla1[[#This Row],[Avg Musculo]]</f>
        <v>2.0222263954549269</v>
      </c>
      <c r="AG58" s="10"/>
      <c r="AH58" s="10"/>
      <c r="AI58" s="10"/>
      <c r="AJ58" s="10"/>
      <c r="AK58" s="10"/>
      <c r="AL58" s="10"/>
    </row>
    <row r="59" spans="1:38" x14ac:dyDescent="0.3">
      <c r="A59">
        <v>3</v>
      </c>
      <c r="B59">
        <v>11</v>
      </c>
      <c r="C59" t="s">
        <v>24</v>
      </c>
      <c r="D59" s="4">
        <v>45182</v>
      </c>
      <c r="E59" s="6">
        <v>91.7</v>
      </c>
      <c r="F59" s="7">
        <f t="shared" si="85"/>
        <v>25.944997736532372</v>
      </c>
      <c r="G59" s="9">
        <v>0.17699999999999999</v>
      </c>
      <c r="H59" s="6">
        <f t="shared" si="86"/>
        <v>75.469099999999997</v>
      </c>
      <c r="I59" s="6">
        <f t="shared" si="87"/>
        <v>23.534899999999997</v>
      </c>
      <c r="J59">
        <v>3.7</v>
      </c>
      <c r="K59" s="5">
        <v>0.08</v>
      </c>
      <c r="L59" s="17">
        <v>2191</v>
      </c>
      <c r="M59" s="5">
        <v>0.52600000000000002</v>
      </c>
      <c r="N59" s="6">
        <f t="shared" si="7"/>
        <v>16.230899999999998</v>
      </c>
      <c r="O59" s="21">
        <f t="shared" si="88"/>
        <v>48.234200000000001</v>
      </c>
      <c r="P59" s="8">
        <f t="shared" si="33"/>
        <v>47.82845714285714</v>
      </c>
      <c r="Q59" s="8">
        <f t="shared" si="152"/>
        <v>68.16510000000001</v>
      </c>
      <c r="R59" s="6">
        <f t="shared" si="153"/>
        <v>23.534899999999997</v>
      </c>
      <c r="S59" s="6">
        <f t="shared" si="215"/>
        <v>7.3360000000000003</v>
      </c>
      <c r="T59" s="6">
        <f t="shared" ref="T59" si="247">I59-I58</f>
        <v>0.56069999999999709</v>
      </c>
      <c r="U59" s="6">
        <f t="shared" ref="U59" si="248">N59-N58</f>
        <v>-0.39480000000000004</v>
      </c>
      <c r="V59" s="6">
        <f t="shared" ref="V59" si="249">E59-E58</f>
        <v>0.35000000000000853</v>
      </c>
      <c r="W59" s="9">
        <f>Tabla1[[#This Row],[Protein]]/Tabla1[[#This Row],[Peso (Kg)]]</f>
        <v>0.2566510359869138</v>
      </c>
      <c r="X59" s="9">
        <f t="shared" si="37"/>
        <v>0.2579469524555385</v>
      </c>
      <c r="Y59" s="6">
        <f t="shared" ref="Y59" si="250">R59+N59+J59</f>
        <v>43.465800000000002</v>
      </c>
      <c r="Z59" s="6">
        <f t="shared" si="39"/>
        <v>91.4</v>
      </c>
      <c r="AA59" s="6">
        <f t="shared" ref="AA59" si="251">AVERAGE(N53:N59)</f>
        <v>16.295549999999999</v>
      </c>
      <c r="AB59" s="6">
        <f t="shared" ref="AB59" si="252">AVERAGE(R53:R59)</f>
        <v>23.575992857142857</v>
      </c>
      <c r="AC59" s="6">
        <f t="shared" ref="AC59" si="253">100*(AB59/AB58-1)</f>
        <v>-0.18598102267787242</v>
      </c>
      <c r="AD59" s="42">
        <f>Tabla1[[#This Row],[Avg Agua)]]/Tabla1[[#This Row],[Avg Musculo]]</f>
        <v>2.028693231825716</v>
      </c>
      <c r="AG59" s="10"/>
      <c r="AH59" s="10"/>
      <c r="AI59" s="10"/>
      <c r="AJ59" s="10"/>
      <c r="AK59" s="10"/>
      <c r="AL59" s="10"/>
    </row>
    <row r="60" spans="1:38" x14ac:dyDescent="0.3">
      <c r="A60">
        <v>3</v>
      </c>
      <c r="B60">
        <v>11</v>
      </c>
      <c r="C60" t="s">
        <v>22</v>
      </c>
      <c r="D60" s="4">
        <v>45183</v>
      </c>
      <c r="E60" s="6">
        <v>90.85</v>
      </c>
      <c r="F60" s="7">
        <f t="shared" si="85"/>
        <v>25.704504300588503</v>
      </c>
      <c r="G60" s="9">
        <v>0.18</v>
      </c>
      <c r="H60" s="6">
        <f t="shared" si="86"/>
        <v>74.497</v>
      </c>
      <c r="I60" s="6">
        <f t="shared" si="87"/>
        <v>23.645849999999999</v>
      </c>
      <c r="J60">
        <v>3.7</v>
      </c>
      <c r="K60" s="5">
        <v>0.08</v>
      </c>
      <c r="L60" s="17">
        <v>2159</v>
      </c>
      <c r="M60" s="5">
        <v>0.51900000000000002</v>
      </c>
      <c r="N60" s="6">
        <f t="shared" si="7"/>
        <v>16.352999999999998</v>
      </c>
      <c r="O60" s="21">
        <f t="shared" si="88"/>
        <v>47.151150000000001</v>
      </c>
      <c r="P60" s="8">
        <f t="shared" si="33"/>
        <v>47.748507142857143</v>
      </c>
      <c r="Q60" s="8">
        <f t="shared" si="152"/>
        <v>67.204149999999998</v>
      </c>
      <c r="R60" s="6">
        <f t="shared" si="153"/>
        <v>23.645849999999999</v>
      </c>
      <c r="S60" s="6">
        <f t="shared" si="215"/>
        <v>7.2679999999999998</v>
      </c>
      <c r="T60" s="6">
        <f t="shared" ref="T60" si="254">I60-I59</f>
        <v>0.11095000000000255</v>
      </c>
      <c r="U60" s="6">
        <f t="shared" ref="U60" si="255">N60-N59</f>
        <v>0.12209999999999965</v>
      </c>
      <c r="V60" s="6">
        <f t="shared" ref="V60" si="256">E60-E59</f>
        <v>-0.85000000000000853</v>
      </c>
      <c r="W60" s="9">
        <f>Tabla1[[#This Row],[Protein]]/Tabla1[[#This Row],[Peso (Kg)]]</f>
        <v>0.26027352779306551</v>
      </c>
      <c r="X60" s="9">
        <f t="shared" si="37"/>
        <v>0.2584833707742103</v>
      </c>
      <c r="Y60" s="6">
        <f t="shared" ref="Y60" si="257">R60+N60+J60</f>
        <v>43.69885</v>
      </c>
      <c r="Z60" s="6">
        <f t="shared" si="39"/>
        <v>91.321428571428584</v>
      </c>
      <c r="AA60" s="6">
        <f t="shared" ref="AA60" si="258">AVERAGE(N54:N60)</f>
        <v>16.268349999999995</v>
      </c>
      <c r="AB60" s="6">
        <f t="shared" ref="AB60" si="259">AVERAGE(R54:R60)</f>
        <v>23.604571428571429</v>
      </c>
      <c r="AC60" s="6">
        <f t="shared" ref="AC60" si="260">100*(AB60/AB59-1)</f>
        <v>0.12121895184538101</v>
      </c>
      <c r="AD60" s="42">
        <f>Tabla1[[#This Row],[Avg Agua)]]/Tabla1[[#This Row],[Avg Musculo]]</f>
        <v>2.0228499927374841</v>
      </c>
      <c r="AG60" s="10"/>
      <c r="AH60" s="10"/>
      <c r="AI60" s="10"/>
      <c r="AJ60" s="10"/>
      <c r="AK60" s="10"/>
      <c r="AL60" s="10"/>
    </row>
    <row r="61" spans="1:38" x14ac:dyDescent="0.3">
      <c r="A61">
        <v>3</v>
      </c>
      <c r="B61">
        <v>11</v>
      </c>
      <c r="C61" t="s">
        <v>20</v>
      </c>
      <c r="D61" s="4">
        <v>45184</v>
      </c>
      <c r="E61" s="6">
        <v>91.15</v>
      </c>
      <c r="F61" s="7">
        <f t="shared" si="85"/>
        <v>25.789384336803987</v>
      </c>
      <c r="G61" s="9">
        <v>0.17899999999999999</v>
      </c>
      <c r="H61" s="6">
        <f t="shared" si="86"/>
        <v>74.834150000000008</v>
      </c>
      <c r="I61" s="6">
        <f t="shared" si="87"/>
        <v>23.553850000000001</v>
      </c>
      <c r="J61">
        <v>3.7</v>
      </c>
      <c r="K61" s="5">
        <v>0.08</v>
      </c>
      <c r="L61" s="17">
        <v>2171</v>
      </c>
      <c r="M61" s="5">
        <v>0.52200000000000002</v>
      </c>
      <c r="N61" s="6">
        <f t="shared" si="7"/>
        <v>16.315850000000001</v>
      </c>
      <c r="O61" s="21">
        <f t="shared" si="88"/>
        <v>47.580300000000008</v>
      </c>
      <c r="P61" s="8">
        <f t="shared" si="33"/>
        <v>47.763421428571426</v>
      </c>
      <c r="Q61" s="8">
        <f t="shared" si="152"/>
        <v>67.596150000000009</v>
      </c>
      <c r="R61" s="6">
        <f t="shared" si="153"/>
        <v>23.553850000000001</v>
      </c>
      <c r="S61" s="6">
        <f t="shared" ref="S61:S62" si="261">K61*E61</f>
        <v>7.2920000000000007</v>
      </c>
      <c r="T61" s="6">
        <f t="shared" ref="T61" si="262">I61-I60</f>
        <v>-9.1999999999998749E-2</v>
      </c>
      <c r="U61" s="6">
        <f t="shared" ref="U61" si="263">N61-N60</f>
        <v>-3.7149999999996908E-2</v>
      </c>
      <c r="V61" s="6">
        <f t="shared" ref="V61" si="264">E61-E60</f>
        <v>0.30000000000001137</v>
      </c>
      <c r="W61" s="9">
        <f>Tabla1[[#This Row],[Protein]]/Tabla1[[#This Row],[Peso (Kg)]]</f>
        <v>0.25840756993965991</v>
      </c>
      <c r="X61" s="9">
        <f t="shared" si="37"/>
        <v>0.25763897979959638</v>
      </c>
      <c r="Y61" s="6">
        <f t="shared" ref="Y61" si="265">R61+N61+J61</f>
        <v>43.569700000000005</v>
      </c>
      <c r="Z61" s="6">
        <f t="shared" si="39"/>
        <v>91.35</v>
      </c>
      <c r="AA61" s="6">
        <f t="shared" ref="AA61" si="266">AVERAGE(N55:N61)</f>
        <v>16.351421428571427</v>
      </c>
      <c r="AB61" s="6">
        <f t="shared" ref="AB61" si="267">AVERAGE(R55:R61)</f>
        <v>23.535157142857141</v>
      </c>
      <c r="AC61" s="6">
        <f t="shared" ref="AC61" si="268">100*(AB61/AB60-1)</f>
        <v>-0.29407136632130237</v>
      </c>
      <c r="AD61" s="42">
        <f>Tabla1[[#This Row],[Avg Agua)]]/Tabla1[[#This Row],[Avg Musculo]]</f>
        <v>2.0294498625460635</v>
      </c>
      <c r="AG61" s="10"/>
      <c r="AH61" s="10"/>
      <c r="AI61" s="10"/>
      <c r="AJ61" s="10"/>
      <c r="AK61" s="10"/>
      <c r="AL61" s="10"/>
    </row>
    <row r="62" spans="1:38" x14ac:dyDescent="0.3">
      <c r="A62">
        <v>3</v>
      </c>
      <c r="B62">
        <v>11</v>
      </c>
      <c r="C62" t="s">
        <v>25</v>
      </c>
      <c r="D62" s="4">
        <v>45185</v>
      </c>
      <c r="E62" s="6">
        <v>91.9</v>
      </c>
      <c r="F62" s="7">
        <f t="shared" si="85"/>
        <v>26.001584427342692</v>
      </c>
      <c r="G62" s="9">
        <v>0.187</v>
      </c>
      <c r="H62" s="6">
        <f t="shared" si="86"/>
        <v>74.714700000000008</v>
      </c>
      <c r="I62" s="6">
        <f t="shared" si="87"/>
        <v>22.859100000000002</v>
      </c>
      <c r="J62">
        <v>3.7</v>
      </c>
      <c r="K62" s="5">
        <v>0.08</v>
      </c>
      <c r="L62" s="17">
        <v>2171</v>
      </c>
      <c r="M62" s="5">
        <v>0.52400000000000002</v>
      </c>
      <c r="N62" s="6">
        <f t="shared" si="7"/>
        <v>17.185300000000002</v>
      </c>
      <c r="O62" s="21">
        <f t="shared" si="88"/>
        <v>48.155600000000007</v>
      </c>
      <c r="P62" s="8">
        <f t="shared" si="33"/>
        <v>47.819507142857141</v>
      </c>
      <c r="Q62" s="8">
        <f t="shared" si="152"/>
        <v>69.040900000000008</v>
      </c>
      <c r="R62" s="6">
        <f t="shared" si="153"/>
        <v>22.859100000000002</v>
      </c>
      <c r="S62" s="6">
        <f t="shared" si="261"/>
        <v>7.3520000000000003</v>
      </c>
      <c r="T62" s="6">
        <f t="shared" ref="T62" si="269">I62-I61</f>
        <v>-0.69474999999999909</v>
      </c>
      <c r="U62" s="6">
        <f t="shared" ref="U62" si="270">N62-N61</f>
        <v>0.8694500000000005</v>
      </c>
      <c r="V62" s="6">
        <f t="shared" ref="V62" si="271">E62-E61</f>
        <v>0.75</v>
      </c>
      <c r="W62" s="9">
        <f>Tabla1[[#This Row],[Protein]]/Tabla1[[#This Row],[Peso (Kg)]]</f>
        <v>0.24873884657236126</v>
      </c>
      <c r="X62" s="9">
        <f t="shared" si="37"/>
        <v>0.25566412337706873</v>
      </c>
      <c r="Y62" s="6">
        <f t="shared" ref="Y62" si="272">R62+N62+J62</f>
        <v>43.744400000000006</v>
      </c>
      <c r="Z62" s="6">
        <f t="shared" si="39"/>
        <v>91.407142857142844</v>
      </c>
      <c r="AA62" s="6">
        <f t="shared" ref="AA62" si="273">AVERAGE(N56:N62)</f>
        <v>16.518964285714283</v>
      </c>
      <c r="AB62" s="6">
        <f t="shared" ref="AB62" si="274">AVERAGE(R56:R62)</f>
        <v>23.368671428571428</v>
      </c>
      <c r="AC62" s="6">
        <f t="shared" ref="AC62" si="275">100*(AB62/AB61-1)</f>
        <v>-0.70739155585473057</v>
      </c>
      <c r="AD62" s="42">
        <f>Tabla1[[#This Row],[Avg Agua)]]/Tabla1[[#This Row],[Avg Musculo]]</f>
        <v>2.0463083358855902</v>
      </c>
      <c r="AG62" s="10"/>
      <c r="AH62" s="10"/>
      <c r="AI62" s="10"/>
      <c r="AJ62" s="10"/>
      <c r="AK62" s="10"/>
      <c r="AL62" s="10"/>
    </row>
    <row r="63" spans="1:38" x14ac:dyDescent="0.3">
      <c r="A63">
        <v>3</v>
      </c>
      <c r="B63">
        <v>11</v>
      </c>
      <c r="C63" t="s">
        <v>26</v>
      </c>
      <c r="D63" s="4">
        <v>45186</v>
      </c>
      <c r="E63" s="6">
        <v>91.2</v>
      </c>
      <c r="F63" s="7">
        <f t="shared" si="85"/>
        <v>25.803531009506568</v>
      </c>
      <c r="G63" s="9">
        <v>0.17799999999999999</v>
      </c>
      <c r="H63" s="6">
        <f t="shared" si="86"/>
        <v>74.966400000000007</v>
      </c>
      <c r="I63" s="6">
        <f t="shared" si="87"/>
        <v>23.477600000000006</v>
      </c>
      <c r="J63">
        <v>3.7</v>
      </c>
      <c r="K63" s="5">
        <v>0.08</v>
      </c>
      <c r="L63" s="17">
        <v>2180</v>
      </c>
      <c r="M63" s="5">
        <v>0.52400000000000002</v>
      </c>
      <c r="N63" s="6">
        <f t="shared" si="7"/>
        <v>16.233599999999999</v>
      </c>
      <c r="O63" s="21">
        <f t="shared" si="88"/>
        <v>47.788800000000002</v>
      </c>
      <c r="P63" s="8">
        <f t="shared" si="33"/>
        <v>47.82319285714285</v>
      </c>
      <c r="Q63" s="8">
        <f t="shared" si="152"/>
        <v>67.722399999999993</v>
      </c>
      <c r="R63" s="6">
        <f t="shared" si="153"/>
        <v>23.477600000000006</v>
      </c>
      <c r="S63" s="6">
        <f t="shared" ref="S63:S64" si="276">K63*E63</f>
        <v>7.2960000000000003</v>
      </c>
      <c r="T63" s="6">
        <f t="shared" ref="T63" si="277">I63-I62</f>
        <v>0.61850000000000449</v>
      </c>
      <c r="U63" s="6">
        <f t="shared" ref="U63" si="278">N63-N62</f>
        <v>-0.95170000000000243</v>
      </c>
      <c r="V63" s="6">
        <f t="shared" ref="V63" si="279">E63-E62</f>
        <v>-0.70000000000000284</v>
      </c>
      <c r="W63" s="9">
        <f>Tabla1[[#This Row],[Protein]]/Tabla1[[#This Row],[Peso (Kg)]]</f>
        <v>0.25742982456140356</v>
      </c>
      <c r="X63" s="9">
        <f t="shared" si="37"/>
        <v>0.2556451209529757</v>
      </c>
      <c r="Y63" s="6">
        <f t="shared" ref="Y63" si="280">R63+N63+J63</f>
        <v>43.411200000000008</v>
      </c>
      <c r="Z63" s="6">
        <f t="shared" si="39"/>
        <v>91.364285714285714</v>
      </c>
      <c r="AA63" s="6">
        <f t="shared" ref="AA63" si="281">AVERAGE(N57:N63)</f>
        <v>16.485192857142856</v>
      </c>
      <c r="AB63" s="6">
        <f t="shared" ref="AB63" si="282">AVERAGE(R57:R63)</f>
        <v>23.355899999999998</v>
      </c>
      <c r="AC63" s="6">
        <f t="shared" ref="AC63" si="283">100*(AB63/AB62-1)</f>
        <v>-5.4651924096182913E-2</v>
      </c>
      <c r="AD63" s="42">
        <f>Tabla1[[#This Row],[Avg Agua)]]/Tabla1[[#This Row],[Avg Musculo]]</f>
        <v>2.0475851008585777</v>
      </c>
      <c r="AG63" s="10"/>
      <c r="AH63" s="10"/>
      <c r="AI63" s="10"/>
      <c r="AJ63" s="10"/>
      <c r="AK63" s="10"/>
      <c r="AL63" s="10"/>
    </row>
    <row r="64" spans="1:38" x14ac:dyDescent="0.3">
      <c r="A64">
        <v>3</v>
      </c>
      <c r="B64">
        <v>12</v>
      </c>
      <c r="C64" t="s">
        <v>21</v>
      </c>
      <c r="D64" s="4">
        <v>45187</v>
      </c>
      <c r="E64" s="6">
        <v>91.2</v>
      </c>
      <c r="F64" s="7">
        <f t="shared" si="85"/>
        <v>25.803531009506568</v>
      </c>
      <c r="G64" s="9">
        <v>0.17699999999999999</v>
      </c>
      <c r="H64" s="6">
        <f t="shared" si="86"/>
        <v>75.057600000000008</v>
      </c>
      <c r="I64" s="6">
        <f t="shared" si="87"/>
        <v>23.568800000000007</v>
      </c>
      <c r="J64">
        <v>3.7</v>
      </c>
      <c r="K64" s="5">
        <v>0.08</v>
      </c>
      <c r="L64" s="17">
        <v>2177</v>
      </c>
      <c r="M64" s="5">
        <v>0.52400000000000002</v>
      </c>
      <c r="N64" s="6">
        <f t="shared" si="7"/>
        <v>16.142399999999999</v>
      </c>
      <c r="O64" s="21">
        <f t="shared" si="88"/>
        <v>47.788800000000002</v>
      </c>
      <c r="P64" s="8">
        <f t="shared" si="33"/>
        <v>47.821278571428572</v>
      </c>
      <c r="Q64" s="8">
        <f t="shared" si="152"/>
        <v>67.631199999999993</v>
      </c>
      <c r="R64" s="6">
        <f t="shared" si="153"/>
        <v>23.568800000000007</v>
      </c>
      <c r="S64" s="6">
        <f t="shared" si="276"/>
        <v>7.2960000000000003</v>
      </c>
      <c r="T64" s="6">
        <f t="shared" ref="T64:T65" si="284">I64-I63</f>
        <v>9.1200000000000614E-2</v>
      </c>
      <c r="U64" s="6">
        <f t="shared" ref="U64:U65" si="285">N64-N63</f>
        <v>-9.1200000000000614E-2</v>
      </c>
      <c r="V64" s="6">
        <f t="shared" ref="V64:V65" si="286">E64-E63</f>
        <v>0</v>
      </c>
      <c r="W64" s="9">
        <f>Tabla1[[#This Row],[Protein]]/Tabla1[[#This Row],[Peso (Kg)]]</f>
        <v>0.25842982456140356</v>
      </c>
      <c r="X64" s="9">
        <f t="shared" si="37"/>
        <v>0.25591815309569582</v>
      </c>
      <c r="Y64" s="6">
        <f t="shared" ref="Y64:Y65" si="287">R64+N64+J64</f>
        <v>43.411200000000008</v>
      </c>
      <c r="Z64" s="6">
        <f t="shared" si="39"/>
        <v>91.335714285714289</v>
      </c>
      <c r="AA64" s="6">
        <f t="shared" ref="AA64:AA65" si="288">AVERAGE(N58:N64)</f>
        <v>16.440964285714283</v>
      </c>
      <c r="AB64" s="6">
        <f t="shared" ref="AB64:AB65" si="289">AVERAGE(R58:R64)</f>
        <v>23.373471428571431</v>
      </c>
      <c r="AC64" s="6">
        <f t="shared" ref="AC64:AC65" si="290">100*(AB64/AB63-1)</f>
        <v>7.5233361041249225E-2</v>
      </c>
      <c r="AD64" s="42">
        <f>Tabla1[[#This Row],[Avg Agua)]]/Tabla1[[#This Row],[Avg Musculo]]</f>
        <v>2.0459638919092034</v>
      </c>
      <c r="AG64" s="10"/>
      <c r="AH64" s="10"/>
      <c r="AI64" s="10"/>
      <c r="AJ64" s="10"/>
      <c r="AK64" s="10"/>
      <c r="AL64" s="10"/>
    </row>
    <row r="65" spans="1:39" x14ac:dyDescent="0.3">
      <c r="A65">
        <v>3</v>
      </c>
      <c r="B65">
        <v>12</v>
      </c>
      <c r="C65" t="s">
        <v>23</v>
      </c>
      <c r="D65" s="4">
        <v>45188</v>
      </c>
      <c r="E65" s="6">
        <v>90.9</v>
      </c>
      <c r="F65" s="7">
        <f t="shared" si="85"/>
        <v>25.718650973291084</v>
      </c>
      <c r="G65" s="9">
        <v>0.17799999999999999</v>
      </c>
      <c r="H65" s="6">
        <f t="shared" ref="H65:H292" si="291">E65-N65</f>
        <v>74.719800000000006</v>
      </c>
      <c r="I65" s="6">
        <f t="shared" ref="I65:I121" si="292">E65-N65-O65-J65</f>
        <v>23.024600000000003</v>
      </c>
      <c r="J65">
        <v>3.7</v>
      </c>
      <c r="K65" s="5">
        <v>0.08</v>
      </c>
      <c r="L65" s="17">
        <v>2168</v>
      </c>
      <c r="M65" s="5">
        <v>0.52800000000000002</v>
      </c>
      <c r="N65" s="6">
        <f t="shared" si="7"/>
        <v>16.180199999999999</v>
      </c>
      <c r="O65" s="21">
        <f t="shared" ref="O65:O85" si="293">M65*E65</f>
        <v>47.995200000000004</v>
      </c>
      <c r="P65" s="8">
        <f t="shared" si="33"/>
        <v>47.813435714285724</v>
      </c>
      <c r="Q65" s="8">
        <f t="shared" ref="Q65:Q84" si="294">E65-R65</f>
        <v>67.875399999999999</v>
      </c>
      <c r="R65" s="6">
        <f t="shared" ref="R65:R84" si="295">I65</f>
        <v>23.024600000000003</v>
      </c>
      <c r="S65" s="6">
        <f t="shared" ref="S65:S80" si="296">K65*E65</f>
        <v>7.2720000000000002</v>
      </c>
      <c r="T65" s="6">
        <f t="shared" si="284"/>
        <v>-0.54420000000000357</v>
      </c>
      <c r="U65" s="6">
        <f t="shared" si="285"/>
        <v>3.7800000000000722E-2</v>
      </c>
      <c r="V65" s="6">
        <f t="shared" si="286"/>
        <v>-0.29999999999999716</v>
      </c>
      <c r="W65" s="9">
        <f>Tabla1[[#This Row],[Protein]]/Tabla1[[#This Row],[Peso (Kg)]]</f>
        <v>0.25329592959295932</v>
      </c>
      <c r="X65" s="9">
        <f t="shared" si="37"/>
        <v>0.25617522271539528</v>
      </c>
      <c r="Y65" s="6">
        <f t="shared" si="287"/>
        <v>42.904800000000009</v>
      </c>
      <c r="Z65" s="6">
        <f t="shared" si="39"/>
        <v>91.271428571428572</v>
      </c>
      <c r="AA65" s="6">
        <f t="shared" si="288"/>
        <v>16.377321428571427</v>
      </c>
      <c r="AB65" s="6">
        <f t="shared" si="289"/>
        <v>23.380671428571429</v>
      </c>
      <c r="AC65" s="6">
        <f t="shared" si="290"/>
        <v>3.0804153426666758E-2</v>
      </c>
      <c r="AD65" s="42">
        <f>Tabla1[[#This Row],[Avg Agua)]]/Tabla1[[#This Row],[Avg Musculo]]</f>
        <v>2.0449984022211267</v>
      </c>
      <c r="AG65" s="10"/>
      <c r="AH65" s="10"/>
      <c r="AI65" s="10"/>
      <c r="AJ65" s="10"/>
      <c r="AK65" s="10"/>
      <c r="AL65" s="10"/>
    </row>
    <row r="66" spans="1:39" x14ac:dyDescent="0.3">
      <c r="A66">
        <v>3</v>
      </c>
      <c r="B66">
        <v>12</v>
      </c>
      <c r="C66" t="s">
        <v>24</v>
      </c>
      <c r="D66" s="4">
        <v>45189</v>
      </c>
      <c r="E66" s="6">
        <v>90.8</v>
      </c>
      <c r="F66" s="7">
        <f t="shared" si="85"/>
        <v>25.690357627885923</v>
      </c>
      <c r="G66" s="9">
        <v>0.17799999999999999</v>
      </c>
      <c r="H66" s="6">
        <f t="shared" si="291"/>
        <v>74.637599999999992</v>
      </c>
      <c r="I66" s="6">
        <f t="shared" si="292"/>
        <v>24.084799999999991</v>
      </c>
      <c r="J66">
        <v>3.7</v>
      </c>
      <c r="K66" s="5">
        <v>0.08</v>
      </c>
      <c r="L66" s="17">
        <v>2166</v>
      </c>
      <c r="M66" s="5">
        <v>0.51600000000000001</v>
      </c>
      <c r="N66" s="6">
        <f t="shared" si="7"/>
        <v>16.162399999999998</v>
      </c>
      <c r="O66" s="21">
        <f t="shared" si="293"/>
        <v>46.852800000000002</v>
      </c>
      <c r="P66" s="8">
        <f t="shared" si="33"/>
        <v>47.61609285714286</v>
      </c>
      <c r="Q66" s="8">
        <f t="shared" si="294"/>
        <v>66.71520000000001</v>
      </c>
      <c r="R66" s="6">
        <f t="shared" si="295"/>
        <v>24.084799999999991</v>
      </c>
      <c r="S66" s="6">
        <f t="shared" si="296"/>
        <v>7.2640000000000002</v>
      </c>
      <c r="T66" s="6">
        <f t="shared" ref="T66" si="297">I66-I65</f>
        <v>1.0601999999999876</v>
      </c>
      <c r="U66" s="6">
        <f t="shared" ref="U66" si="298">N66-N65</f>
        <v>-1.7800000000001148E-2</v>
      </c>
      <c r="V66" s="6">
        <f t="shared" ref="V66" si="299">E66-E65</f>
        <v>-0.10000000000000853</v>
      </c>
      <c r="W66" s="9">
        <f>Tabla1[[#This Row],[Protein]]/Tabla1[[#This Row],[Peso (Kg)]]</f>
        <v>0.2652511013215858</v>
      </c>
      <c r="X66" s="9">
        <f t="shared" si="37"/>
        <v>0.25740380347749126</v>
      </c>
      <c r="Y66" s="6">
        <f t="shared" ref="Y66:Y75" si="300">R66+N66+J66</f>
        <v>43.947199999999995</v>
      </c>
      <c r="Z66" s="6">
        <f t="shared" si="39"/>
        <v>91.142857142857125</v>
      </c>
      <c r="AA66" s="6">
        <f t="shared" ref="AA66" si="301">AVERAGE(N60:N66)</f>
        <v>16.367535714285712</v>
      </c>
      <c r="AB66" s="6">
        <f t="shared" ref="AB66" si="302">AVERAGE(R60:R66)</f>
        <v>23.459228571428575</v>
      </c>
      <c r="AC66" s="6">
        <f t="shared" ref="AC66" si="303">100*(AB66/AB65-1)</f>
        <v>0.3359918174169696</v>
      </c>
      <c r="AD66" s="42">
        <f>Tabla1[[#This Row],[Avg Agua)]]/Tabla1[[#This Row],[Avg Musculo]]</f>
        <v>2.0297382205967067</v>
      </c>
      <c r="AG66" s="10"/>
      <c r="AH66" s="10"/>
      <c r="AI66" s="10"/>
      <c r="AJ66" s="10"/>
      <c r="AK66" s="10"/>
      <c r="AL66" s="10"/>
    </row>
    <row r="67" spans="1:39" x14ac:dyDescent="0.3">
      <c r="A67">
        <v>3</v>
      </c>
      <c r="B67">
        <v>12</v>
      </c>
      <c r="C67" t="s">
        <v>22</v>
      </c>
      <c r="D67" s="4">
        <v>45190</v>
      </c>
      <c r="E67" s="6">
        <v>90.55</v>
      </c>
      <c r="F67" s="7">
        <f t="shared" si="85"/>
        <v>25.619624264373019</v>
      </c>
      <c r="G67" s="9">
        <v>0.16900000000000001</v>
      </c>
      <c r="H67" s="6">
        <f t="shared" si="291"/>
        <v>75.247050000000002</v>
      </c>
      <c r="I67" s="6">
        <f t="shared" si="292"/>
        <v>24.551600000000004</v>
      </c>
      <c r="J67">
        <v>3.7</v>
      </c>
      <c r="K67" s="5">
        <v>7.4999999999999997E-2</v>
      </c>
      <c r="L67" s="17">
        <v>2179</v>
      </c>
      <c r="M67" s="5">
        <v>0.51900000000000002</v>
      </c>
      <c r="N67" s="6">
        <f t="shared" ref="N67:N292" si="304">E67*G67</f>
        <v>15.302950000000001</v>
      </c>
      <c r="O67" s="21">
        <f t="shared" si="293"/>
        <v>46.995449999999998</v>
      </c>
      <c r="P67" s="8">
        <f t="shared" si="33"/>
        <v>47.59385000000001</v>
      </c>
      <c r="Q67" s="8">
        <f t="shared" si="294"/>
        <v>65.99839999999999</v>
      </c>
      <c r="R67" s="6">
        <f t="shared" si="295"/>
        <v>24.551600000000004</v>
      </c>
      <c r="S67" s="6">
        <f t="shared" si="296"/>
        <v>6.7912499999999998</v>
      </c>
      <c r="T67" s="6">
        <f t="shared" ref="T67" si="305">I67-I66</f>
        <v>0.46680000000001343</v>
      </c>
      <c r="U67" s="6">
        <f t="shared" ref="U67" si="306">N67-N66</f>
        <v>-0.85944999999999716</v>
      </c>
      <c r="V67" s="6">
        <f t="shared" ref="V67" si="307">E67-E66</f>
        <v>-0.25</v>
      </c>
      <c r="W67" s="9">
        <f>Tabla1[[#This Row],[Protein]]/Tabla1[[#This Row],[Peso (Kg)]]</f>
        <v>0.27113859745996693</v>
      </c>
      <c r="X67" s="9">
        <f t="shared" si="37"/>
        <v>0.25895595628704859</v>
      </c>
      <c r="Y67" s="6">
        <f t="shared" si="300"/>
        <v>43.554550000000006</v>
      </c>
      <c r="Z67" s="6">
        <f t="shared" si="39"/>
        <v>91.1</v>
      </c>
      <c r="AA67" s="6">
        <f t="shared" ref="AA67" si="308">AVERAGE(N61:N67)</f>
        <v>16.21752857142857</v>
      </c>
      <c r="AB67" s="6">
        <f t="shared" ref="AB67" si="309">AVERAGE(R61:R67)</f>
        <v>23.588621428571432</v>
      </c>
      <c r="AC67" s="6">
        <f t="shared" ref="AC67" si="310">100*(AB67/AB66-1)</f>
        <v>0.55156484259011318</v>
      </c>
      <c r="AD67" s="42">
        <f>Tabla1[[#This Row],[Avg Agua)]]/Tabla1[[#This Row],[Avg Musculo]]</f>
        <v>2.0176613603350528</v>
      </c>
      <c r="AG67" s="10"/>
      <c r="AH67" s="10"/>
      <c r="AI67" s="10"/>
      <c r="AJ67" s="10"/>
      <c r="AK67" s="10"/>
      <c r="AL67" s="10"/>
    </row>
    <row r="68" spans="1:39" x14ac:dyDescent="0.3">
      <c r="A68">
        <v>3</v>
      </c>
      <c r="B68">
        <v>12</v>
      </c>
      <c r="C68" t="s">
        <v>26</v>
      </c>
      <c r="D68" s="4">
        <v>45193</v>
      </c>
      <c r="E68" s="6">
        <v>91.8</v>
      </c>
      <c r="F68" s="7">
        <f t="shared" si="85"/>
        <v>25.973291081937528</v>
      </c>
      <c r="G68" s="9">
        <v>0.186</v>
      </c>
      <c r="H68" s="6">
        <f t="shared" si="291"/>
        <v>74.725200000000001</v>
      </c>
      <c r="I68" s="6">
        <f t="shared" si="292"/>
        <v>22.1876</v>
      </c>
      <c r="J68">
        <v>3.7</v>
      </c>
      <c r="K68" s="5">
        <v>0.08</v>
      </c>
      <c r="L68" s="17">
        <v>2171</v>
      </c>
      <c r="M68" s="5">
        <v>0.53200000000000003</v>
      </c>
      <c r="N68" s="6">
        <f t="shared" si="304"/>
        <v>17.0748</v>
      </c>
      <c r="O68" s="21">
        <f t="shared" si="293"/>
        <v>48.837600000000002</v>
      </c>
      <c r="P68" s="8">
        <f t="shared" si="33"/>
        <v>47.77346428571429</v>
      </c>
      <c r="Q68" s="8">
        <f t="shared" si="294"/>
        <v>69.612399999999994</v>
      </c>
      <c r="R68" s="6">
        <f t="shared" si="295"/>
        <v>22.1876</v>
      </c>
      <c r="S68" s="6">
        <f t="shared" si="296"/>
        <v>7.3440000000000003</v>
      </c>
      <c r="T68" s="6">
        <f t="shared" ref="T68" si="311">I68-I67</f>
        <v>-2.3640000000000043</v>
      </c>
      <c r="U68" s="6">
        <f t="shared" ref="U68" si="312">N68-N67</f>
        <v>1.7718499999999988</v>
      </c>
      <c r="V68" s="6">
        <f t="shared" ref="V68" si="313">E68-E67</f>
        <v>1.25</v>
      </c>
      <c r="W68" s="9">
        <f>Tabla1[[#This Row],[Protein]]/Tabla1[[#This Row],[Peso (Kg)]]</f>
        <v>0.24169498910675383</v>
      </c>
      <c r="X68" s="9">
        <f t="shared" si="37"/>
        <v>0.25656844473949059</v>
      </c>
      <c r="Y68" s="6">
        <f t="shared" si="300"/>
        <v>42.962400000000002</v>
      </c>
      <c r="Z68" s="6">
        <f t="shared" si="39"/>
        <v>91.19285714285715</v>
      </c>
      <c r="AA68" s="6">
        <f t="shared" ref="AA68" si="314">AVERAGE(N62:N68)</f>
        <v>16.325949999999999</v>
      </c>
      <c r="AB68" s="6">
        <f t="shared" ref="AB68" si="315">AVERAGE(R62:R68)</f>
        <v>23.393442857142862</v>
      </c>
      <c r="AC68" s="6">
        <f t="shared" ref="AC68" si="316">100*(AB68/AB67-1)</f>
        <v>-0.82742678294952521</v>
      </c>
      <c r="AD68" s="42">
        <f>Tabla1[[#This Row],[Avg Agua)]]/Tabla1[[#This Row],[Avg Musculo]]</f>
        <v>2.0421732952029901</v>
      </c>
      <c r="AE68" t="s">
        <v>33</v>
      </c>
      <c r="AG68" s="10"/>
      <c r="AH68" s="10"/>
      <c r="AI68" s="10"/>
      <c r="AJ68" s="10"/>
      <c r="AK68" s="10"/>
      <c r="AL68" s="10"/>
    </row>
    <row r="69" spans="1:39" x14ac:dyDescent="0.3">
      <c r="A69">
        <v>3</v>
      </c>
      <c r="B69">
        <v>13</v>
      </c>
      <c r="C69" t="s">
        <v>21</v>
      </c>
      <c r="D69" s="4">
        <v>45194</v>
      </c>
      <c r="E69" s="6">
        <v>91.4</v>
      </c>
      <c r="F69" s="7">
        <f t="shared" si="85"/>
        <v>25.860117700316888</v>
      </c>
      <c r="G69" s="9">
        <v>0.184</v>
      </c>
      <c r="H69" s="6">
        <f t="shared" si="291"/>
        <v>74.582400000000007</v>
      </c>
      <c r="I69" s="6">
        <f t="shared" si="292"/>
        <v>22.897400000000001</v>
      </c>
      <c r="J69">
        <v>3.7</v>
      </c>
      <c r="K69" s="5">
        <v>0.08</v>
      </c>
      <c r="L69" s="17">
        <v>2165</v>
      </c>
      <c r="M69" s="5">
        <v>0.52500000000000002</v>
      </c>
      <c r="N69" s="6">
        <f t="shared" si="304"/>
        <v>16.817600000000002</v>
      </c>
      <c r="O69" s="21">
        <f t="shared" si="293"/>
        <v>47.985000000000007</v>
      </c>
      <c r="P69" s="8">
        <f t="shared" si="33"/>
        <v>47.749092857142855</v>
      </c>
      <c r="Q69" s="8">
        <f t="shared" si="294"/>
        <v>68.502600000000001</v>
      </c>
      <c r="R69" s="6">
        <f t="shared" si="295"/>
        <v>22.897400000000001</v>
      </c>
      <c r="S69" s="6">
        <f t="shared" si="296"/>
        <v>7.3120000000000003</v>
      </c>
      <c r="T69" s="6">
        <f t="shared" ref="T69" si="317">I69-I68</f>
        <v>0.70980000000000132</v>
      </c>
      <c r="U69" s="6">
        <f t="shared" ref="U69" si="318">N69-N68</f>
        <v>-0.25719999999999743</v>
      </c>
      <c r="V69" s="6">
        <f t="shared" ref="V69" si="319">E69-E68</f>
        <v>-0.39999999999999147</v>
      </c>
      <c r="W69" s="9">
        <f>Tabla1[[#This Row],[Protein]]/Tabla1[[#This Row],[Peso (Kg)]]</f>
        <v>0.25051859956236322</v>
      </c>
      <c r="X69" s="9">
        <f t="shared" si="37"/>
        <v>0.25682269516663375</v>
      </c>
      <c r="Y69" s="6">
        <f t="shared" si="300"/>
        <v>43.415000000000006</v>
      </c>
      <c r="Z69" s="6">
        <f t="shared" si="39"/>
        <v>91.121428571428581</v>
      </c>
      <c r="AA69" s="6">
        <f t="shared" ref="AA69" si="320">AVERAGE(N63:N69)</f>
        <v>16.273421428571428</v>
      </c>
      <c r="AB69" s="6">
        <f t="shared" ref="AB69" si="321">AVERAGE(R63:R69)</f>
        <v>23.398914285714287</v>
      </c>
      <c r="AC69" s="6">
        <f t="shared" ref="AC69" si="322">100*(AB69/AB68-1)</f>
        <v>2.3388727366202566E-2</v>
      </c>
      <c r="AD69" s="42">
        <f>Tabla1[[#This Row],[Avg Agua)]]/Tabla1[[#This Row],[Avg Musculo]]</f>
        <v>2.0406542061780644</v>
      </c>
      <c r="AG69" s="10"/>
      <c r="AH69" s="10"/>
      <c r="AI69" s="10"/>
      <c r="AJ69" s="10"/>
      <c r="AK69" s="10"/>
      <c r="AL69" s="10"/>
    </row>
    <row r="70" spans="1:39" x14ac:dyDescent="0.3">
      <c r="A70">
        <v>3</v>
      </c>
      <c r="B70">
        <v>13</v>
      </c>
      <c r="C70" t="s">
        <v>23</v>
      </c>
      <c r="D70" s="4">
        <v>45195</v>
      </c>
      <c r="E70" s="6">
        <v>90.9</v>
      </c>
      <c r="F70" s="7">
        <f t="shared" si="85"/>
        <v>25.718650973291084</v>
      </c>
      <c r="G70" s="9">
        <v>0.17499999999999999</v>
      </c>
      <c r="H70" s="6">
        <f t="shared" si="291"/>
        <v>74.992500000000007</v>
      </c>
      <c r="I70" s="6">
        <f t="shared" si="292"/>
        <v>24.115400000000005</v>
      </c>
      <c r="J70">
        <v>3.7</v>
      </c>
      <c r="K70" s="5">
        <v>7.4999999999999997E-2</v>
      </c>
      <c r="L70" s="17">
        <v>2174</v>
      </c>
      <c r="M70" s="5">
        <v>0.51900000000000002</v>
      </c>
      <c r="N70" s="6">
        <f t="shared" si="304"/>
        <v>15.907500000000001</v>
      </c>
      <c r="O70" s="21">
        <f t="shared" si="293"/>
        <v>47.177100000000003</v>
      </c>
      <c r="P70" s="8">
        <f t="shared" si="33"/>
        <v>47.661707142857146</v>
      </c>
      <c r="Q70" s="8">
        <f t="shared" si="294"/>
        <v>66.784599999999998</v>
      </c>
      <c r="R70" s="6">
        <f t="shared" si="295"/>
        <v>24.115400000000005</v>
      </c>
      <c r="S70" s="6">
        <f t="shared" si="296"/>
        <v>6.8174999999999999</v>
      </c>
      <c r="T70" s="6">
        <f t="shared" ref="T70" si="323">I70-I69</f>
        <v>1.2180000000000035</v>
      </c>
      <c r="U70" s="6">
        <f t="shared" ref="U70" si="324">N70-N69</f>
        <v>-0.91010000000000169</v>
      </c>
      <c r="V70" s="6">
        <f t="shared" ref="V70" si="325">E70-E69</f>
        <v>-0.5</v>
      </c>
      <c r="W70" s="9">
        <f>Tabla1[[#This Row],[Protein]]/Tabla1[[#This Row],[Peso (Kg)]]</f>
        <v>0.26529592959295933</v>
      </c>
      <c r="X70" s="9">
        <f t="shared" si="37"/>
        <v>0.257946424456856</v>
      </c>
      <c r="Y70" s="6">
        <f t="shared" si="300"/>
        <v>43.72290000000001</v>
      </c>
      <c r="Z70" s="6">
        <f t="shared" si="39"/>
        <v>91.078571428571436</v>
      </c>
      <c r="AA70" s="6">
        <f t="shared" ref="AA70" si="326">AVERAGE(N64:N70)</f>
        <v>16.226835714285713</v>
      </c>
      <c r="AB70" s="6">
        <f t="shared" ref="AB70" si="327">AVERAGE(R64:R70)</f>
        <v>23.490028571428574</v>
      </c>
      <c r="AC70" s="6">
        <f t="shared" ref="AC70" si="328">100*(AB70/AB69-1)</f>
        <v>0.38939535656110635</v>
      </c>
      <c r="AD70" s="42">
        <f>Tabla1[[#This Row],[Avg Agua)]]/Tabla1[[#This Row],[Avg Musculo]]</f>
        <v>2.029018696078944</v>
      </c>
      <c r="AG70" s="10"/>
      <c r="AH70" s="10"/>
      <c r="AI70" s="10"/>
      <c r="AJ70" s="10"/>
      <c r="AK70" s="10"/>
      <c r="AL70" s="10"/>
    </row>
    <row r="71" spans="1:39" x14ac:dyDescent="0.3">
      <c r="A71">
        <v>3</v>
      </c>
      <c r="B71">
        <v>13</v>
      </c>
      <c r="C71" t="s">
        <v>24</v>
      </c>
      <c r="D71" s="4">
        <v>45196</v>
      </c>
      <c r="E71" s="6">
        <v>90.35</v>
      </c>
      <c r="F71" s="7">
        <f t="shared" si="85"/>
        <v>25.563037573562699</v>
      </c>
      <c r="G71" s="9">
        <v>0.17100000000000001</v>
      </c>
      <c r="H71" s="6">
        <f t="shared" si="291"/>
        <v>74.900149999999996</v>
      </c>
      <c r="I71" s="6">
        <f t="shared" si="292"/>
        <v>24.579550000000001</v>
      </c>
      <c r="J71">
        <v>3.7</v>
      </c>
      <c r="K71" s="5">
        <v>7.4999999999999997E-2</v>
      </c>
      <c r="L71" s="17">
        <v>2171</v>
      </c>
      <c r="M71" s="5">
        <v>0.51600000000000001</v>
      </c>
      <c r="N71" s="6">
        <f t="shared" si="304"/>
        <v>15.44985</v>
      </c>
      <c r="O71" s="21">
        <f t="shared" si="293"/>
        <v>46.620599999999996</v>
      </c>
      <c r="P71" s="8">
        <f t="shared" si="33"/>
        <v>47.494821428571427</v>
      </c>
      <c r="Q71" s="8">
        <f t="shared" si="294"/>
        <v>65.770449999999997</v>
      </c>
      <c r="R71" s="6">
        <f t="shared" si="295"/>
        <v>24.579550000000001</v>
      </c>
      <c r="S71" s="6">
        <f t="shared" si="296"/>
        <v>6.7762499999999992</v>
      </c>
      <c r="T71" s="6">
        <f t="shared" ref="T71" si="329">I71-I70</f>
        <v>0.46414999999999651</v>
      </c>
      <c r="U71" s="6">
        <f t="shared" ref="U71" si="330">N71-N70</f>
        <v>-0.457650000000001</v>
      </c>
      <c r="V71" s="6">
        <f t="shared" ref="V71" si="331">E71-E70</f>
        <v>-0.55000000000001137</v>
      </c>
      <c r="W71" s="9">
        <f>Tabla1[[#This Row],[Protein]]/Tabla1[[#This Row],[Peso (Kg)]]</f>
        <v>0.27204814609850586</v>
      </c>
      <c r="X71" s="9">
        <f t="shared" si="37"/>
        <v>0.25989189896215631</v>
      </c>
      <c r="Y71" s="6">
        <f t="shared" si="300"/>
        <v>43.729400000000005</v>
      </c>
      <c r="Z71" s="6">
        <f t="shared" si="39"/>
        <v>90.95714285714287</v>
      </c>
      <c r="AA71" s="6">
        <f t="shared" ref="AA71" si="332">AVERAGE(N65:N71)</f>
        <v>16.1279</v>
      </c>
      <c r="AB71" s="6">
        <f t="shared" ref="AB71" si="333">AVERAGE(R65:R71)</f>
        <v>23.634421428571432</v>
      </c>
      <c r="AC71" s="6">
        <f t="shared" ref="AC71" si="334">100*(AB71/AB70-1)</f>
        <v>0.61469851645257201</v>
      </c>
      <c r="AD71" s="42">
        <f>Tabla1[[#This Row],[Avg Agua)]]/Tabla1[[#This Row],[Avg Musculo]]</f>
        <v>2.0095614175329621</v>
      </c>
      <c r="AG71" s="10"/>
      <c r="AH71" s="10"/>
      <c r="AI71" s="10"/>
      <c r="AJ71" s="10"/>
      <c r="AK71" s="10"/>
      <c r="AL71" s="10"/>
    </row>
    <row r="72" spans="1:39" x14ac:dyDescent="0.3">
      <c r="A72">
        <v>3</v>
      </c>
      <c r="B72">
        <v>13</v>
      </c>
      <c r="C72" t="s">
        <v>22</v>
      </c>
      <c r="D72" s="4">
        <v>45197</v>
      </c>
      <c r="E72" s="6">
        <v>90.85</v>
      </c>
      <c r="F72" s="7">
        <f t="shared" si="85"/>
        <v>25.704504300588503</v>
      </c>
      <c r="G72" s="9">
        <v>0.17299999999999999</v>
      </c>
      <c r="H72" s="6">
        <f t="shared" si="291"/>
        <v>75.132949999999994</v>
      </c>
      <c r="I72" s="6">
        <f t="shared" si="292"/>
        <v>24.190949999999997</v>
      </c>
      <c r="J72">
        <v>3.7</v>
      </c>
      <c r="K72" s="5">
        <v>7.4999999999999997E-2</v>
      </c>
      <c r="L72" s="17">
        <v>2180</v>
      </c>
      <c r="M72" s="5">
        <v>0.52</v>
      </c>
      <c r="N72" s="6">
        <f t="shared" si="304"/>
        <v>15.717049999999999</v>
      </c>
      <c r="O72" s="21">
        <f t="shared" si="293"/>
        <v>47.241999999999997</v>
      </c>
      <c r="P72" s="8">
        <f t="shared" si="33"/>
        <v>47.387221428571436</v>
      </c>
      <c r="Q72" s="8">
        <f t="shared" si="294"/>
        <v>66.659049999999993</v>
      </c>
      <c r="R72" s="6">
        <f t="shared" si="295"/>
        <v>24.190949999999997</v>
      </c>
      <c r="S72" s="6">
        <f t="shared" si="296"/>
        <v>6.8137499999999998</v>
      </c>
      <c r="T72" s="6">
        <f t="shared" ref="T72" si="335">I72-I71</f>
        <v>-0.38860000000000383</v>
      </c>
      <c r="U72" s="6">
        <f t="shared" ref="U72" si="336">N72-N71</f>
        <v>0.26719999999999899</v>
      </c>
      <c r="V72" s="6">
        <f t="shared" ref="V72" si="337">E72-E71</f>
        <v>0.5</v>
      </c>
      <c r="W72" s="9">
        <f>Tabla1[[#This Row],[Protein]]/Tabla1[[#This Row],[Peso (Kg)]]</f>
        <v>0.26627352779306546</v>
      </c>
      <c r="X72" s="9">
        <f t="shared" si="37"/>
        <v>0.26174584156217151</v>
      </c>
      <c r="Y72" s="6">
        <f t="shared" si="300"/>
        <v>43.607999999999997</v>
      </c>
      <c r="Z72" s="6">
        <f t="shared" si="39"/>
        <v>90.95</v>
      </c>
      <c r="AA72" s="6">
        <f t="shared" ref="AA72" si="338">AVERAGE(N66:N72)</f>
        <v>16.061735714285714</v>
      </c>
      <c r="AB72" s="6">
        <f t="shared" ref="AB72" si="339">AVERAGE(R66:R72)</f>
        <v>23.801042857142857</v>
      </c>
      <c r="AC72" s="6">
        <f t="shared" ref="AC72" si="340">100*(AB72/AB71-1)</f>
        <v>0.70499474283722829</v>
      </c>
      <c r="AD72" s="42">
        <f>Tabla1[[#This Row],[Avg Agua)]]/Tabla1[[#This Row],[Avg Musculo]]</f>
        <v>1.9909724843989431</v>
      </c>
      <c r="AE72" t="s">
        <v>34</v>
      </c>
      <c r="AG72" s="10"/>
      <c r="AH72" s="10"/>
      <c r="AI72" s="10"/>
      <c r="AJ72" s="10"/>
      <c r="AK72" s="10"/>
      <c r="AL72" s="10"/>
    </row>
    <row r="73" spans="1:39" x14ac:dyDescent="0.3">
      <c r="A73">
        <v>3</v>
      </c>
      <c r="B73">
        <v>13</v>
      </c>
      <c r="C73" t="s">
        <v>20</v>
      </c>
      <c r="D73" s="4">
        <v>45198</v>
      </c>
      <c r="E73" s="6">
        <v>91.3</v>
      </c>
      <c r="F73" s="7">
        <f t="shared" si="85"/>
        <v>25.831824354911724</v>
      </c>
      <c r="G73" s="9">
        <v>0.18099999999999999</v>
      </c>
      <c r="H73" s="6">
        <f t="shared" si="291"/>
        <v>74.774699999999996</v>
      </c>
      <c r="I73" s="6">
        <f t="shared" si="292"/>
        <v>23.142199999999999</v>
      </c>
      <c r="J73">
        <v>3.7</v>
      </c>
      <c r="K73" s="5">
        <v>0.08</v>
      </c>
      <c r="L73" s="17">
        <v>2169</v>
      </c>
      <c r="M73" s="5">
        <v>0.52500000000000002</v>
      </c>
      <c r="N73" s="6">
        <f t="shared" si="304"/>
        <v>16.525299999999998</v>
      </c>
      <c r="O73" s="21">
        <f t="shared" si="293"/>
        <v>47.932499999999997</v>
      </c>
      <c r="P73" s="8">
        <f t="shared" ref="P73:P136" si="341">AVERAGE(O67:O73)</f>
        <v>47.541464285714291</v>
      </c>
      <c r="Q73" s="8">
        <f t="shared" si="294"/>
        <v>68.157799999999995</v>
      </c>
      <c r="R73" s="6">
        <f t="shared" si="295"/>
        <v>23.142199999999999</v>
      </c>
      <c r="S73" s="6">
        <f t="shared" si="296"/>
        <v>7.3040000000000003</v>
      </c>
      <c r="T73" s="6">
        <f t="shared" ref="T73" si="342">I73-I72</f>
        <v>-1.0487499999999983</v>
      </c>
      <c r="U73" s="6">
        <f t="shared" ref="U73" si="343">N73-N72</f>
        <v>0.80824999999999925</v>
      </c>
      <c r="V73" s="6">
        <f t="shared" ref="V73" si="344">E73-E72</f>
        <v>0.45000000000000284</v>
      </c>
      <c r="W73" s="9">
        <f>Tabla1[[#This Row],[Protein]]/Tabla1[[#This Row],[Peso (Kg)]]</f>
        <v>0.25347426067907997</v>
      </c>
      <c r="X73" s="9">
        <f t="shared" ref="X73:X136" si="345">AVERAGE(W67:W73)</f>
        <v>0.26006343575609925</v>
      </c>
      <c r="Y73" s="6">
        <f t="shared" si="300"/>
        <v>43.3675</v>
      </c>
      <c r="Z73" s="6">
        <f t="shared" ref="Z73:Z136" si="346">AVERAGE(E67:E73)</f>
        <v>91.021428571428572</v>
      </c>
      <c r="AA73" s="6">
        <f t="shared" ref="AA73" si="347">AVERAGE(N67:N73)</f>
        <v>16.113578571428572</v>
      </c>
      <c r="AB73" s="6">
        <f t="shared" ref="AB73" si="348">AVERAGE(R67:R73)</f>
        <v>23.666385714285717</v>
      </c>
      <c r="AC73" s="6">
        <f t="shared" ref="AC73" si="349">100*(AB73/AB72-1)</f>
        <v>-0.56576152425492632</v>
      </c>
      <c r="AD73" s="42">
        <f>Tabla1[[#This Row],[Avg Agua)]]/Tabla1[[#This Row],[Avg Musculo]]</f>
        <v>2.0088181127301108</v>
      </c>
      <c r="AE73" t="s">
        <v>34</v>
      </c>
      <c r="AG73" s="10"/>
      <c r="AH73" s="10"/>
      <c r="AI73" s="10"/>
      <c r="AJ73" s="10"/>
      <c r="AK73" s="10"/>
      <c r="AL73" s="10"/>
    </row>
    <row r="74" spans="1:39" x14ac:dyDescent="0.3">
      <c r="A74">
        <v>3</v>
      </c>
      <c r="B74">
        <v>13</v>
      </c>
      <c r="C74" t="s">
        <v>25</v>
      </c>
      <c r="D74" s="4">
        <v>45199</v>
      </c>
      <c r="E74" s="6">
        <v>90.7</v>
      </c>
      <c r="F74" s="7">
        <f t="shared" si="85"/>
        <v>25.662064282480763</v>
      </c>
      <c r="G74" s="9">
        <v>0.17499999999999999</v>
      </c>
      <c r="H74" s="6">
        <f t="shared" si="291"/>
        <v>74.827500000000001</v>
      </c>
      <c r="I74" s="6">
        <f t="shared" si="292"/>
        <v>23.6007</v>
      </c>
      <c r="J74">
        <v>3.7</v>
      </c>
      <c r="K74" s="5">
        <v>7.4999999999999997E-2</v>
      </c>
      <c r="L74" s="17">
        <v>2170</v>
      </c>
      <c r="M74" s="5">
        <v>0.52400000000000002</v>
      </c>
      <c r="N74" s="6">
        <f t="shared" si="304"/>
        <v>15.872499999999999</v>
      </c>
      <c r="O74" s="21">
        <f t="shared" si="293"/>
        <v>47.526800000000001</v>
      </c>
      <c r="P74" s="8">
        <f t="shared" si="341"/>
        <v>47.617371428571424</v>
      </c>
      <c r="Q74" s="8">
        <f t="shared" si="294"/>
        <v>67.099299999999999</v>
      </c>
      <c r="R74" s="6">
        <f t="shared" si="295"/>
        <v>23.6007</v>
      </c>
      <c r="S74" s="6">
        <f t="shared" si="296"/>
        <v>6.8025000000000002</v>
      </c>
      <c r="T74" s="6">
        <f t="shared" ref="T74" si="350">I74-I73</f>
        <v>0.4585000000000008</v>
      </c>
      <c r="U74" s="6">
        <f t="shared" ref="U74" si="351">N74-N73</f>
        <v>-0.65279999999999916</v>
      </c>
      <c r="V74" s="6">
        <f t="shared" ref="V74" si="352">E74-E73</f>
        <v>-0.59999999999999432</v>
      </c>
      <c r="W74" s="9">
        <f>Tabla1[[#This Row],[Protein]]/Tabla1[[#This Row],[Peso (Kg)]]</f>
        <v>0.2602061742006615</v>
      </c>
      <c r="X74" s="9">
        <f t="shared" si="345"/>
        <v>0.2585016610047699</v>
      </c>
      <c r="Y74" s="6">
        <f t="shared" si="300"/>
        <v>43.173200000000001</v>
      </c>
      <c r="Z74" s="6">
        <f t="shared" si="346"/>
        <v>91.042857142857159</v>
      </c>
      <c r="AA74" s="6">
        <f t="shared" ref="AA74" si="353">AVERAGE(N68:N74)</f>
        <v>16.194942857142859</v>
      </c>
      <c r="AB74" s="6">
        <f t="shared" ref="AB74" si="354">AVERAGE(R68:R74)</f>
        <v>23.530542857142855</v>
      </c>
      <c r="AC74" s="6">
        <f t="shared" ref="AC74:AC76" si="355">100*(AB74/AB73-1)</f>
        <v>-0.57399071739485663</v>
      </c>
      <c r="AD74" s="42">
        <f>Tabla1[[#This Row],[Avg Agua)]]/Tabla1[[#This Row],[Avg Musculo]]</f>
        <v>2.0236410064001924</v>
      </c>
      <c r="AG74" s="10">
        <f>E74-E46</f>
        <v>-1.0499999999999972</v>
      </c>
      <c r="AH74" s="10">
        <f>I74-I46</f>
        <v>0.69320000000000448</v>
      </c>
      <c r="AI74" s="10">
        <f>N74-N46</f>
        <v>-1.2847500000000025</v>
      </c>
      <c r="AJ74" s="10">
        <f>O74-O45</f>
        <v>0.37565000000000026</v>
      </c>
      <c r="AK74" s="10">
        <f>S74-S46</f>
        <v>-0.53749999999999964</v>
      </c>
      <c r="AL74" s="10">
        <f>Y74-Y45</f>
        <v>-0.52564999999999884</v>
      </c>
      <c r="AM74" s="1" t="s">
        <v>35</v>
      </c>
    </row>
    <row r="75" spans="1:39" x14ac:dyDescent="0.3">
      <c r="A75">
        <v>3</v>
      </c>
      <c r="B75">
        <v>13</v>
      </c>
      <c r="C75" t="s">
        <v>26</v>
      </c>
      <c r="D75" s="4">
        <v>45200</v>
      </c>
      <c r="E75" s="6">
        <v>91</v>
      </c>
      <c r="F75" s="7">
        <f t="shared" si="85"/>
        <v>25.746944318696244</v>
      </c>
      <c r="G75" s="9">
        <v>0.17499999999999999</v>
      </c>
      <c r="H75" s="6">
        <f t="shared" si="291"/>
        <v>75.075000000000003</v>
      </c>
      <c r="I75" s="6">
        <f t="shared" si="292"/>
        <v>23.782</v>
      </c>
      <c r="J75">
        <v>3.7</v>
      </c>
      <c r="K75" s="5">
        <v>7.4999999999999997E-2</v>
      </c>
      <c r="L75" s="17">
        <v>2178</v>
      </c>
      <c r="M75" s="5">
        <v>0.52300000000000002</v>
      </c>
      <c r="N75" s="6">
        <f t="shared" si="304"/>
        <v>15.924999999999999</v>
      </c>
      <c r="O75" s="21">
        <f t="shared" si="293"/>
        <v>47.593000000000004</v>
      </c>
      <c r="P75" s="8">
        <f t="shared" si="341"/>
        <v>47.439571428571426</v>
      </c>
      <c r="Q75" s="8">
        <f t="shared" si="294"/>
        <v>67.218000000000004</v>
      </c>
      <c r="R75" s="6">
        <f t="shared" si="295"/>
        <v>23.782</v>
      </c>
      <c r="S75" s="6">
        <f t="shared" si="296"/>
        <v>6.8250000000000002</v>
      </c>
      <c r="T75" s="6">
        <f t="shared" ref="T75" si="356">I75-I74</f>
        <v>0.18130000000000024</v>
      </c>
      <c r="U75" s="6">
        <f t="shared" ref="U75" si="357">N75-N74</f>
        <v>5.2500000000000213E-2</v>
      </c>
      <c r="V75" s="6">
        <f t="shared" ref="V75" si="358">E75-E74</f>
        <v>0.29999999999999716</v>
      </c>
      <c r="W75" s="9">
        <f>Tabla1[[#This Row],[Protein]]/Tabla1[[#This Row],[Peso (Kg)]]</f>
        <v>0.26134065934065936</v>
      </c>
      <c r="X75" s="9">
        <f t="shared" si="345"/>
        <v>0.26130818532389927</v>
      </c>
      <c r="Y75" s="6">
        <f t="shared" si="300"/>
        <v>43.407000000000004</v>
      </c>
      <c r="Z75" s="6">
        <f t="shared" si="346"/>
        <v>90.928571428571431</v>
      </c>
      <c r="AA75" s="6">
        <f t="shared" ref="AA75" si="359">AVERAGE(N69:N75)</f>
        <v>16.030685714285713</v>
      </c>
      <c r="AB75" s="6">
        <f t="shared" ref="AB75" si="360">AVERAGE(R69:R75)</f>
        <v>23.758314285714288</v>
      </c>
      <c r="AC75" s="6">
        <f t="shared" si="355"/>
        <v>0.96798203914914005</v>
      </c>
      <c r="AD75" s="42">
        <f>Tabla1[[#This Row],[Avg Agua)]]/Tabla1[[#This Row],[Avg Musculo]]</f>
        <v>1.9967566241472154</v>
      </c>
      <c r="AG75" s="10"/>
      <c r="AH75" s="10"/>
      <c r="AI75" s="10"/>
      <c r="AJ75" s="10"/>
      <c r="AK75" s="10"/>
      <c r="AL75" s="10"/>
      <c r="AM75" s="1"/>
    </row>
    <row r="76" spans="1:39" x14ac:dyDescent="0.3">
      <c r="A76">
        <v>3</v>
      </c>
      <c r="B76">
        <v>14</v>
      </c>
      <c r="C76" t="s">
        <v>21</v>
      </c>
      <c r="D76" s="4">
        <v>45201</v>
      </c>
      <c r="E76" s="6">
        <v>91.2</v>
      </c>
      <c r="F76" s="7">
        <f t="shared" si="85"/>
        <v>25.803531009506568</v>
      </c>
      <c r="G76" s="9">
        <v>0.17499999999999999</v>
      </c>
      <c r="H76" s="6">
        <f t="shared" si="291"/>
        <v>75.240000000000009</v>
      </c>
      <c r="I76" s="6">
        <f t="shared" si="292"/>
        <v>23.477600000000006</v>
      </c>
      <c r="J76">
        <v>3.7</v>
      </c>
      <c r="K76" s="5">
        <v>0.08</v>
      </c>
      <c r="L76" s="17">
        <v>2183</v>
      </c>
      <c r="M76" s="5">
        <v>0.52700000000000002</v>
      </c>
      <c r="N76" s="6">
        <f t="shared" si="304"/>
        <v>15.959999999999999</v>
      </c>
      <c r="O76" s="21">
        <f t="shared" si="293"/>
        <v>48.062400000000004</v>
      </c>
      <c r="P76" s="8">
        <f t="shared" si="341"/>
        <v>47.450628571428574</v>
      </c>
      <c r="Q76" s="8">
        <f t="shared" si="294"/>
        <v>67.722399999999993</v>
      </c>
      <c r="R76" s="6">
        <f t="shared" si="295"/>
        <v>23.477600000000006</v>
      </c>
      <c r="S76" s="6">
        <f t="shared" si="296"/>
        <v>7.2960000000000003</v>
      </c>
      <c r="T76" s="6">
        <f t="shared" ref="T76" si="361">I76-I75</f>
        <v>-0.30439999999999401</v>
      </c>
      <c r="U76" s="6">
        <f t="shared" ref="U76" si="362">N76-N75</f>
        <v>3.5000000000000142E-2</v>
      </c>
      <c r="V76" s="6">
        <f t="shared" ref="V76" si="363">E76-E75</f>
        <v>0.20000000000000284</v>
      </c>
      <c r="W76" s="9">
        <f>Tabla1[[#This Row],[Protein]]/Tabla1[[#This Row],[Peso (Kg)]]</f>
        <v>0.25742982456140356</v>
      </c>
      <c r="X76" s="9">
        <f t="shared" si="345"/>
        <v>0.262295503180905</v>
      </c>
      <c r="Y76" s="6">
        <f t="shared" ref="Y76:Y81" si="364">R76+N76+J76</f>
        <v>43.137600000000006</v>
      </c>
      <c r="Z76" s="6">
        <f t="shared" si="346"/>
        <v>90.9</v>
      </c>
      <c r="AA76" s="6">
        <f t="shared" ref="AA76" si="365">AVERAGE(N70:N76)</f>
        <v>15.908171428571427</v>
      </c>
      <c r="AB76" s="6">
        <f t="shared" ref="AB76" si="366">AVERAGE(R70:R76)</f>
        <v>23.841200000000004</v>
      </c>
      <c r="AC76" s="6">
        <f t="shared" si="355"/>
        <v>0.34887035034953939</v>
      </c>
      <c r="AD76" s="42">
        <f>Tabla1[[#This Row],[Avg Agua)]]/Tabla1[[#This Row],[Avg Musculo]]</f>
        <v>1.9902785334391124</v>
      </c>
      <c r="AG76" s="10"/>
      <c r="AH76" s="10"/>
      <c r="AI76" s="10"/>
      <c r="AJ76" s="10"/>
      <c r="AK76" s="10"/>
      <c r="AL76" s="10"/>
      <c r="AM76" s="1"/>
    </row>
    <row r="77" spans="1:39" x14ac:dyDescent="0.3">
      <c r="A77">
        <v>3</v>
      </c>
      <c r="B77">
        <v>14</v>
      </c>
      <c r="C77" t="s">
        <v>23</v>
      </c>
      <c r="D77" s="4">
        <v>45202</v>
      </c>
      <c r="E77" s="6">
        <v>90.75</v>
      </c>
      <c r="F77" s="7">
        <f t="shared" si="85"/>
        <v>25.676210955183343</v>
      </c>
      <c r="G77" s="9">
        <v>0.17199999999999999</v>
      </c>
      <c r="H77" s="6">
        <f t="shared" si="291"/>
        <v>75.141000000000005</v>
      </c>
      <c r="I77" s="6">
        <f t="shared" si="292"/>
        <v>23.797250000000002</v>
      </c>
      <c r="J77">
        <v>3.7</v>
      </c>
      <c r="K77" s="5">
        <v>7.4999999999999997E-2</v>
      </c>
      <c r="L77" s="17">
        <v>2177</v>
      </c>
      <c r="M77" s="5">
        <v>0.52500000000000002</v>
      </c>
      <c r="N77" s="6">
        <f t="shared" si="304"/>
        <v>15.608999999999998</v>
      </c>
      <c r="O77" s="21">
        <f t="shared" si="293"/>
        <v>47.643750000000004</v>
      </c>
      <c r="P77" s="8">
        <f t="shared" si="341"/>
        <v>47.517292857142863</v>
      </c>
      <c r="Q77" s="8">
        <f t="shared" si="294"/>
        <v>66.952749999999995</v>
      </c>
      <c r="R77" s="6">
        <f t="shared" si="295"/>
        <v>23.797250000000002</v>
      </c>
      <c r="S77" s="6">
        <f t="shared" si="296"/>
        <v>6.8062499999999995</v>
      </c>
      <c r="T77" s="6">
        <f t="shared" ref="T77" si="367">I77-I76</f>
        <v>0.31964999999999577</v>
      </c>
      <c r="U77" s="6">
        <f t="shared" ref="U77" si="368">N77-N76</f>
        <v>-0.35100000000000087</v>
      </c>
      <c r="V77" s="6">
        <f t="shared" ref="V77" si="369">E77-E76</f>
        <v>-0.45000000000000284</v>
      </c>
      <c r="W77" s="9">
        <f>Tabla1[[#This Row],[Protein]]/Tabla1[[#This Row],[Peso (Kg)]]</f>
        <v>0.26222865013774105</v>
      </c>
      <c r="X77" s="9">
        <f t="shared" si="345"/>
        <v>0.2618573204015881</v>
      </c>
      <c r="Y77" s="6">
        <f t="shared" si="364"/>
        <v>43.106250000000003</v>
      </c>
      <c r="Z77" s="6">
        <f t="shared" si="346"/>
        <v>90.878571428571419</v>
      </c>
      <c r="AA77" s="6">
        <f t="shared" ref="AA77" si="370">AVERAGE(N71:N77)</f>
        <v>15.86552857142857</v>
      </c>
      <c r="AB77" s="6">
        <f t="shared" ref="AB77" si="371">AVERAGE(R71:R77)</f>
        <v>23.795749999999998</v>
      </c>
      <c r="AC77" s="6">
        <f t="shared" ref="AC77" si="372">100*(AB77/AB76-1)</f>
        <v>-0.19063637736358441</v>
      </c>
      <c r="AD77" s="42">
        <f>Tabla1[[#This Row],[Avg Agua)]]/Tabla1[[#This Row],[Avg Musculo]]</f>
        <v>1.9968814959454049</v>
      </c>
      <c r="AG77" s="10"/>
      <c r="AH77" s="10"/>
      <c r="AI77" s="10"/>
      <c r="AJ77" s="10"/>
      <c r="AK77" s="10"/>
      <c r="AL77" s="10"/>
      <c r="AM77" s="1"/>
    </row>
    <row r="78" spans="1:39" x14ac:dyDescent="0.3">
      <c r="A78">
        <v>3</v>
      </c>
      <c r="B78">
        <v>14</v>
      </c>
      <c r="C78" t="s">
        <v>24</v>
      </c>
      <c r="D78" s="4">
        <v>45203</v>
      </c>
      <c r="E78" s="6">
        <v>90.3</v>
      </c>
      <c r="F78" s="7">
        <f t="shared" si="85"/>
        <v>25.548890900860119</v>
      </c>
      <c r="G78" s="9">
        <v>0.17100000000000001</v>
      </c>
      <c r="H78" s="6">
        <f t="shared" si="291"/>
        <v>74.858699999999999</v>
      </c>
      <c r="I78" s="6">
        <f t="shared" si="292"/>
        <v>23.751200000000001</v>
      </c>
      <c r="J78">
        <v>3.7</v>
      </c>
      <c r="K78" s="5">
        <v>7.4999999999999997E-2</v>
      </c>
      <c r="L78" s="17">
        <v>2169</v>
      </c>
      <c r="M78" s="5">
        <v>0.52500000000000002</v>
      </c>
      <c r="N78" s="6">
        <f t="shared" si="304"/>
        <v>15.4413</v>
      </c>
      <c r="O78" s="21">
        <f t="shared" si="293"/>
        <v>47.407499999999999</v>
      </c>
      <c r="P78" s="8">
        <f t="shared" si="341"/>
        <v>47.62970714285715</v>
      </c>
      <c r="Q78" s="8">
        <f t="shared" si="294"/>
        <v>66.5488</v>
      </c>
      <c r="R78" s="6">
        <f t="shared" si="295"/>
        <v>23.751200000000001</v>
      </c>
      <c r="S78" s="6">
        <f t="shared" si="296"/>
        <v>6.7725</v>
      </c>
      <c r="T78" s="6">
        <f t="shared" ref="T78" si="373">I78-I77</f>
        <v>-4.6050000000001035E-2</v>
      </c>
      <c r="U78" s="6">
        <f t="shared" ref="U78" si="374">N78-N77</f>
        <v>-0.16769999999999818</v>
      </c>
      <c r="V78" s="6">
        <f t="shared" ref="V78" si="375">E78-E77</f>
        <v>-0.45000000000000284</v>
      </c>
      <c r="W78" s="9">
        <f>Tabla1[[#This Row],[Protein]]/Tabla1[[#This Row],[Peso (Kg)]]</f>
        <v>0.26302547065337767</v>
      </c>
      <c r="X78" s="9">
        <f t="shared" si="345"/>
        <v>0.2605683667665698</v>
      </c>
      <c r="Y78" s="6">
        <f t="shared" si="364"/>
        <v>42.892500000000005</v>
      </c>
      <c r="Z78" s="6">
        <f t="shared" si="346"/>
        <v>90.871428571428552</v>
      </c>
      <c r="AA78" s="6">
        <f t="shared" ref="AA78" si="376">AVERAGE(N72:N78)</f>
        <v>15.86430714285714</v>
      </c>
      <c r="AB78" s="6">
        <f t="shared" ref="AB78" si="377">AVERAGE(R72:R78)</f>
        <v>23.677414285714288</v>
      </c>
      <c r="AC78" s="6">
        <f t="shared" ref="AC78" si="378">100*(AB78/AB77-1)</f>
        <v>-0.49729768671173957</v>
      </c>
      <c r="AD78" s="42">
        <f>Tabla1[[#This Row],[Avg Agua)]]/Tabla1[[#This Row],[Avg Musculo]]</f>
        <v>2.0116093154476933</v>
      </c>
      <c r="AG78" s="10"/>
      <c r="AH78" s="10"/>
      <c r="AI78" s="10"/>
      <c r="AJ78" s="10"/>
      <c r="AK78" s="10"/>
      <c r="AL78" s="10"/>
      <c r="AM78" s="1"/>
    </row>
    <row r="79" spans="1:39" x14ac:dyDescent="0.3">
      <c r="A79">
        <v>3</v>
      </c>
      <c r="B79">
        <v>14</v>
      </c>
      <c r="C79" t="s">
        <v>22</v>
      </c>
      <c r="D79" s="4">
        <v>45204</v>
      </c>
      <c r="E79" s="6">
        <v>90.2</v>
      </c>
      <c r="F79" s="7">
        <f t="shared" si="85"/>
        <v>25.520597555454959</v>
      </c>
      <c r="G79" s="9">
        <v>0.16800000000000001</v>
      </c>
      <c r="H79" s="6">
        <f t="shared" si="291"/>
        <v>75.046400000000006</v>
      </c>
      <c r="I79" s="6">
        <f t="shared" si="292"/>
        <v>24.262000000000004</v>
      </c>
      <c r="J79">
        <v>3.7</v>
      </c>
      <c r="K79" s="5">
        <v>7.4999999999999997E-2</v>
      </c>
      <c r="L79" s="17">
        <v>2173</v>
      </c>
      <c r="M79" s="5">
        <v>0.52200000000000002</v>
      </c>
      <c r="N79" s="6">
        <f t="shared" si="304"/>
        <v>15.153600000000001</v>
      </c>
      <c r="O79" s="21">
        <f t="shared" si="293"/>
        <v>47.084400000000002</v>
      </c>
      <c r="P79" s="8">
        <f t="shared" si="341"/>
        <v>47.607192857142863</v>
      </c>
      <c r="Q79" s="8">
        <f t="shared" si="294"/>
        <v>65.938000000000002</v>
      </c>
      <c r="R79" s="6">
        <f t="shared" si="295"/>
        <v>24.262000000000004</v>
      </c>
      <c r="S79" s="6">
        <f t="shared" si="296"/>
        <v>6.7649999999999997</v>
      </c>
      <c r="T79" s="6">
        <f t="shared" ref="T79" si="379">I79-I78</f>
        <v>0.51080000000000325</v>
      </c>
      <c r="U79" s="6">
        <f t="shared" ref="U79" si="380">N79-N78</f>
        <v>-0.28769999999999918</v>
      </c>
      <c r="V79" s="6">
        <f t="shared" ref="V79" si="381">E79-E78</f>
        <v>-9.9999999999994316E-2</v>
      </c>
      <c r="W79" s="9">
        <f>Tabla1[[#This Row],[Protein]]/Tabla1[[#This Row],[Peso (Kg)]]</f>
        <v>0.26898004434589806</v>
      </c>
      <c r="X79" s="9">
        <f t="shared" si="345"/>
        <v>0.26095501198840304</v>
      </c>
      <c r="Y79" s="6">
        <f t="shared" si="364"/>
        <v>43.115600000000008</v>
      </c>
      <c r="Z79" s="6">
        <f t="shared" si="346"/>
        <v>90.778571428571439</v>
      </c>
      <c r="AA79" s="6">
        <f t="shared" ref="AA79" si="382">AVERAGE(N73:N79)</f>
        <v>15.783814285714284</v>
      </c>
      <c r="AB79" s="6">
        <f t="shared" ref="AB79" si="383">AVERAGE(R73:R79)</f>
        <v>23.687564285714291</v>
      </c>
      <c r="AC79" s="6">
        <f t="shared" ref="AC79" si="384">100*(AB79/AB78-1)</f>
        <v>4.2867856589090536E-2</v>
      </c>
      <c r="AD79" s="42">
        <f>Tabla1[[#This Row],[Avg Agua)]]/Tabla1[[#This Row],[Avg Musculo]]</f>
        <v>2.0097968825715964</v>
      </c>
      <c r="AG79" s="10"/>
      <c r="AH79" s="10"/>
      <c r="AI79" s="10"/>
      <c r="AJ79" s="10"/>
      <c r="AK79" s="10"/>
      <c r="AL79" s="10"/>
      <c r="AM79" s="1"/>
    </row>
    <row r="80" spans="1:39" x14ac:dyDescent="0.3">
      <c r="A80">
        <v>3</v>
      </c>
      <c r="B80">
        <v>14</v>
      </c>
      <c r="C80" t="s">
        <v>20</v>
      </c>
      <c r="D80" s="4">
        <v>45205</v>
      </c>
      <c r="E80" s="6">
        <v>90.35</v>
      </c>
      <c r="F80" s="7">
        <f t="shared" si="85"/>
        <v>25.563037573562699</v>
      </c>
      <c r="G80" s="9">
        <v>0.17199999999999999</v>
      </c>
      <c r="H80" s="6">
        <f t="shared" si="291"/>
        <v>74.809799999999996</v>
      </c>
      <c r="I80" s="6">
        <f t="shared" si="292"/>
        <v>23.856749999999995</v>
      </c>
      <c r="J80">
        <v>3.7</v>
      </c>
      <c r="K80" s="5">
        <v>7.4999999999999997E-2</v>
      </c>
      <c r="L80" s="17">
        <v>2166</v>
      </c>
      <c r="M80" s="5">
        <v>0.52300000000000002</v>
      </c>
      <c r="N80" s="6">
        <f t="shared" si="304"/>
        <v>15.540199999999997</v>
      </c>
      <c r="O80" s="21">
        <f t="shared" si="293"/>
        <v>47.253050000000002</v>
      </c>
      <c r="P80" s="8">
        <f t="shared" si="341"/>
        <v>47.510128571428581</v>
      </c>
      <c r="Q80" s="8">
        <f t="shared" si="294"/>
        <v>66.493250000000003</v>
      </c>
      <c r="R80" s="6">
        <f t="shared" si="295"/>
        <v>23.856749999999995</v>
      </c>
      <c r="S80" s="6">
        <f t="shared" si="296"/>
        <v>6.7762499999999992</v>
      </c>
      <c r="T80" s="6">
        <f t="shared" ref="T80" si="385">I80-I79</f>
        <v>-0.40525000000000944</v>
      </c>
      <c r="U80" s="6">
        <f t="shared" ref="U80" si="386">N80-N79</f>
        <v>0.38659999999999606</v>
      </c>
      <c r="V80" s="6">
        <f t="shared" ref="V80" si="387">E80-E79</f>
        <v>0.14999999999999147</v>
      </c>
      <c r="W80" s="9">
        <f>Tabla1[[#This Row],[Protein]]/Tabla1[[#This Row],[Peso (Kg)]]</f>
        <v>0.26404814609850574</v>
      </c>
      <c r="X80" s="9">
        <f t="shared" si="345"/>
        <v>0.26246556704832102</v>
      </c>
      <c r="Y80" s="6">
        <f t="shared" si="364"/>
        <v>43.096949999999993</v>
      </c>
      <c r="Z80" s="6">
        <f t="shared" si="346"/>
        <v>90.642857142857139</v>
      </c>
      <c r="AA80" s="6">
        <f t="shared" ref="AA80" si="388">AVERAGE(N74:N80)</f>
        <v>15.643085714285714</v>
      </c>
      <c r="AB80" s="6">
        <f t="shared" ref="AB80" si="389">AVERAGE(R74:R80)</f>
        <v>23.789642857142862</v>
      </c>
      <c r="AC80" s="6">
        <f t="shared" ref="AC80" si="390">100*(AB80/AB79-1)</f>
        <v>0.43093739059585356</v>
      </c>
      <c r="AD80" s="42">
        <f>Tabla1[[#This Row],[Avg Agua)]]/Tabla1[[#This Row],[Avg Musculo]]</f>
        <v>1.9970929726321478</v>
      </c>
      <c r="AG80" s="10"/>
      <c r="AH80" s="10"/>
      <c r="AI80" s="10"/>
      <c r="AJ80" s="10"/>
      <c r="AK80" s="10"/>
      <c r="AL80" s="10"/>
      <c r="AM80" s="1"/>
    </row>
    <row r="81" spans="1:39" x14ac:dyDescent="0.3">
      <c r="A81">
        <v>3</v>
      </c>
      <c r="B81">
        <v>14</v>
      </c>
      <c r="C81" t="s">
        <v>25</v>
      </c>
      <c r="D81" s="4">
        <v>45206</v>
      </c>
      <c r="E81" s="6">
        <v>90.55</v>
      </c>
      <c r="F81" s="7">
        <f t="shared" si="85"/>
        <v>25.619624264373019</v>
      </c>
      <c r="G81" s="9">
        <v>0.17399999999999999</v>
      </c>
      <c r="H81" s="6">
        <f t="shared" si="291"/>
        <v>74.794299999999993</v>
      </c>
      <c r="I81" s="6">
        <f t="shared" si="292"/>
        <v>23.464999999999993</v>
      </c>
      <c r="J81">
        <v>3.7</v>
      </c>
      <c r="K81" s="5">
        <v>7.4999999999999997E-2</v>
      </c>
      <c r="L81" s="17">
        <v>2167</v>
      </c>
      <c r="M81" s="5">
        <v>0.52600000000000002</v>
      </c>
      <c r="N81" s="6">
        <f t="shared" si="304"/>
        <v>15.755699999999999</v>
      </c>
      <c r="O81" s="21">
        <f t="shared" si="293"/>
        <v>47.629300000000001</v>
      </c>
      <c r="P81" s="8">
        <f t="shared" si="341"/>
        <v>47.524771428571441</v>
      </c>
      <c r="Q81" s="8">
        <f t="shared" si="294"/>
        <v>67.085000000000008</v>
      </c>
      <c r="R81" s="6">
        <f t="shared" si="295"/>
        <v>23.464999999999993</v>
      </c>
      <c r="S81" s="6">
        <f t="shared" ref="S81:S85" si="391">K81*E81</f>
        <v>6.7912499999999998</v>
      </c>
      <c r="T81" s="6">
        <f t="shared" ref="T81" si="392">I81-I80</f>
        <v>-0.39175000000000182</v>
      </c>
      <c r="U81" s="6">
        <f t="shared" ref="U81" si="393">N81-N80</f>
        <v>0.21550000000000225</v>
      </c>
      <c r="V81" s="6">
        <f t="shared" ref="V81" si="394">E81-E80</f>
        <v>0.20000000000000284</v>
      </c>
      <c r="W81" s="9">
        <f>Tabla1[[#This Row],[Protein]]/Tabla1[[#This Row],[Peso (Kg)]]</f>
        <v>0.25913859745996681</v>
      </c>
      <c r="X81" s="9">
        <f t="shared" si="345"/>
        <v>0.26231305608536459</v>
      </c>
      <c r="Y81" s="6">
        <f t="shared" si="364"/>
        <v>42.920699999999997</v>
      </c>
      <c r="Z81" s="6">
        <f t="shared" si="346"/>
        <v>90.621428571428552</v>
      </c>
      <c r="AA81" s="6">
        <f t="shared" ref="AA81" si="395">AVERAGE(N75:N81)</f>
        <v>15.6264</v>
      </c>
      <c r="AB81" s="6">
        <f t="shared" ref="AB81" si="396">AVERAGE(R75:R81)</f>
        <v>23.770257142857144</v>
      </c>
      <c r="AC81" s="6">
        <f t="shared" ref="AC81" si="397">100*(AB81/AB80-1)</f>
        <v>-8.1488042515520664E-2</v>
      </c>
      <c r="AD81" s="42">
        <f>Tabla1[[#This Row],[Avg Agua)]]/Tabla1[[#This Row],[Avg Musculo]]</f>
        <v>1.9993377077476178</v>
      </c>
      <c r="AG81" s="10"/>
      <c r="AH81" s="10"/>
      <c r="AI81" s="10"/>
      <c r="AJ81" s="10"/>
      <c r="AK81" s="10"/>
      <c r="AL81" s="10"/>
      <c r="AM81" s="1"/>
    </row>
    <row r="82" spans="1:39" x14ac:dyDescent="0.3">
      <c r="A82">
        <v>3</v>
      </c>
      <c r="B82">
        <v>14</v>
      </c>
      <c r="C82" t="s">
        <v>26</v>
      </c>
      <c r="D82" s="4">
        <v>45207</v>
      </c>
      <c r="E82" s="6">
        <v>90.6</v>
      </c>
      <c r="F82" s="7">
        <f t="shared" si="85"/>
        <v>25.6337709370756</v>
      </c>
      <c r="G82" s="9">
        <v>0.17100000000000001</v>
      </c>
      <c r="H82" s="6">
        <f t="shared" si="291"/>
        <v>75.107399999999998</v>
      </c>
      <c r="I82" s="6">
        <f t="shared" si="292"/>
        <v>23.933000000000003</v>
      </c>
      <c r="J82">
        <v>3.7</v>
      </c>
      <c r="K82" s="5">
        <v>7.4999999999999997E-2</v>
      </c>
      <c r="L82" s="17">
        <v>2177</v>
      </c>
      <c r="M82" s="5">
        <v>0.52400000000000002</v>
      </c>
      <c r="N82" s="6">
        <f t="shared" si="304"/>
        <v>15.492599999999999</v>
      </c>
      <c r="O82" s="21">
        <f t="shared" si="293"/>
        <v>47.474399999999996</v>
      </c>
      <c r="P82" s="8">
        <f t="shared" si="341"/>
        <v>47.507828571428583</v>
      </c>
      <c r="Q82" s="8">
        <f t="shared" si="294"/>
        <v>66.666999999999987</v>
      </c>
      <c r="R82" s="6">
        <f t="shared" si="295"/>
        <v>23.933000000000003</v>
      </c>
      <c r="S82" s="6">
        <f t="shared" si="391"/>
        <v>6.794999999999999</v>
      </c>
      <c r="T82" s="6">
        <f t="shared" ref="T82" si="398">I82-I81</f>
        <v>0.46800000000001063</v>
      </c>
      <c r="U82" s="6">
        <f t="shared" ref="U82" si="399">N82-N81</f>
        <v>-0.26309999999999967</v>
      </c>
      <c r="V82" s="6">
        <f t="shared" ref="V82" si="400">E82-E81</f>
        <v>4.9999999999997158E-2</v>
      </c>
      <c r="W82" s="9">
        <f>Tabla1[[#This Row],[Protein]]/Tabla1[[#This Row],[Peso (Kg)]]</f>
        <v>0.26416114790286982</v>
      </c>
      <c r="X82" s="9">
        <f t="shared" si="345"/>
        <v>0.26271598302282329</v>
      </c>
      <c r="Y82" s="6">
        <f t="shared" ref="Y82:Y84" si="401">R82+N82+J82</f>
        <v>43.125600000000006</v>
      </c>
      <c r="Z82" s="6">
        <f t="shared" si="346"/>
        <v>90.564285714285703</v>
      </c>
      <c r="AA82" s="6">
        <f t="shared" ref="AA82" si="402">AVERAGE(N76:N82)</f>
        <v>15.564628571428571</v>
      </c>
      <c r="AB82" s="6">
        <f t="shared" ref="AB82" si="403">AVERAGE(R76:R82)</f>
        <v>23.791828571428571</v>
      </c>
      <c r="AC82" s="6">
        <f t="shared" ref="AC82" si="404">100*(AB82/AB81-1)</f>
        <v>9.07496643464345E-2</v>
      </c>
      <c r="AD82" s="42">
        <f>Tabla1[[#This Row],[Avg Agua)]]/Tabla1[[#This Row],[Avg Musculo]]</f>
        <v>1.9968128312962199</v>
      </c>
      <c r="AG82" s="10"/>
      <c r="AH82" s="10"/>
      <c r="AI82" s="10"/>
      <c r="AJ82" s="10"/>
      <c r="AK82" s="10"/>
      <c r="AL82" s="10"/>
      <c r="AM82" s="1"/>
    </row>
    <row r="83" spans="1:39" x14ac:dyDescent="0.3">
      <c r="A83">
        <v>3</v>
      </c>
      <c r="B83">
        <v>15</v>
      </c>
      <c r="C83" t="s">
        <v>21</v>
      </c>
      <c r="D83" s="4">
        <v>45208</v>
      </c>
      <c r="E83" s="6">
        <v>90.75</v>
      </c>
      <c r="F83" s="7">
        <f t="shared" si="85"/>
        <v>25.676210955183343</v>
      </c>
      <c r="G83" s="9">
        <v>0.17</v>
      </c>
      <c r="H83" s="6">
        <f t="shared" si="291"/>
        <v>75.322499999999991</v>
      </c>
      <c r="I83" s="6">
        <f t="shared" si="292"/>
        <v>24.069499999999987</v>
      </c>
      <c r="J83">
        <v>3.7</v>
      </c>
      <c r="K83" s="5">
        <v>7.4999999999999997E-2</v>
      </c>
      <c r="L83" s="17">
        <v>2183</v>
      </c>
      <c r="M83" s="5">
        <v>0.52400000000000002</v>
      </c>
      <c r="N83" s="6">
        <f t="shared" si="304"/>
        <v>15.427500000000002</v>
      </c>
      <c r="O83" s="21">
        <f t="shared" si="293"/>
        <v>47.553000000000004</v>
      </c>
      <c r="P83" s="8">
        <f t="shared" si="341"/>
        <v>47.43505714285714</v>
      </c>
      <c r="Q83" s="8">
        <f t="shared" si="294"/>
        <v>66.680500000000009</v>
      </c>
      <c r="R83" s="6">
        <f t="shared" si="295"/>
        <v>24.069499999999987</v>
      </c>
      <c r="S83" s="6">
        <f t="shared" si="391"/>
        <v>6.8062499999999995</v>
      </c>
      <c r="T83" s="6">
        <f t="shared" ref="T83" si="405">I83-I82</f>
        <v>0.13649999999998386</v>
      </c>
      <c r="U83" s="6">
        <f t="shared" ref="U83" si="406">N83-N82</f>
        <v>-6.5099999999997493E-2</v>
      </c>
      <c r="V83" s="6">
        <f t="shared" ref="V83" si="407">E83-E82</f>
        <v>0.15000000000000568</v>
      </c>
      <c r="W83" s="9">
        <f>Tabla1[[#This Row],[Protein]]/Tabla1[[#This Row],[Peso (Kg)]]</f>
        <v>0.26522865013774088</v>
      </c>
      <c r="X83" s="9">
        <f t="shared" si="345"/>
        <v>0.26383010096229997</v>
      </c>
      <c r="Y83" s="6">
        <f t="shared" si="401"/>
        <v>43.196999999999989</v>
      </c>
      <c r="Z83" s="6">
        <f t="shared" si="346"/>
        <v>90.5</v>
      </c>
      <c r="AA83" s="6">
        <f t="shared" ref="AA83" si="408">AVERAGE(N77:N83)</f>
        <v>15.488557142857145</v>
      </c>
      <c r="AB83" s="6">
        <f t="shared" ref="AB83" si="409">AVERAGE(R77:R83)</f>
        <v>23.876385714285707</v>
      </c>
      <c r="AC83" s="6">
        <f t="shared" ref="AC83" si="410">100*(AB83/AB82-1)</f>
        <v>0.35540413635410939</v>
      </c>
      <c r="AD83" s="42">
        <f>Tabla1[[#This Row],[Avg Agua)]]/Tabla1[[#This Row],[Avg Musculo]]</f>
        <v>1.9866933676848679</v>
      </c>
      <c r="AG83" s="10"/>
      <c r="AH83" s="10"/>
      <c r="AI83" s="10"/>
      <c r="AJ83" s="10"/>
      <c r="AK83" s="10"/>
      <c r="AL83" s="10"/>
      <c r="AM83" s="1"/>
    </row>
    <row r="84" spans="1:39" x14ac:dyDescent="0.3">
      <c r="A84">
        <v>3</v>
      </c>
      <c r="B84">
        <v>15</v>
      </c>
      <c r="C84" t="s">
        <v>23</v>
      </c>
      <c r="D84" s="4">
        <v>45209</v>
      </c>
      <c r="E84" s="6">
        <v>90.55</v>
      </c>
      <c r="F84" s="7">
        <f t="shared" si="85"/>
        <v>25.619624264373019</v>
      </c>
      <c r="G84" s="9">
        <v>0.17199999999999999</v>
      </c>
      <c r="H84" s="6">
        <f t="shared" si="291"/>
        <v>74.975399999999993</v>
      </c>
      <c r="I84" s="6">
        <f t="shared" si="292"/>
        <v>23.827199999999994</v>
      </c>
      <c r="J84">
        <v>3.7</v>
      </c>
      <c r="K84" s="5">
        <v>7.4999999999999997E-2</v>
      </c>
      <c r="L84" s="17">
        <v>2174</v>
      </c>
      <c r="M84" s="5">
        <v>0.52400000000000002</v>
      </c>
      <c r="N84" s="6">
        <f t="shared" si="304"/>
        <v>15.574599999999998</v>
      </c>
      <c r="O84" s="21">
        <f t="shared" si="293"/>
        <v>47.4482</v>
      </c>
      <c r="P84" s="8">
        <f t="shared" si="341"/>
        <v>47.407121428571429</v>
      </c>
      <c r="Q84" s="8">
        <f t="shared" si="294"/>
        <v>66.722800000000007</v>
      </c>
      <c r="R84" s="6">
        <f t="shared" si="295"/>
        <v>23.827199999999994</v>
      </c>
      <c r="S84" s="6">
        <f t="shared" si="391"/>
        <v>6.7912499999999998</v>
      </c>
      <c r="T84" s="6">
        <f t="shared" ref="T84" si="411">I84-I83</f>
        <v>-0.24229999999999308</v>
      </c>
      <c r="U84" s="6">
        <f t="shared" ref="U84" si="412">N84-N83</f>
        <v>0.14709999999999646</v>
      </c>
      <c r="V84" s="6">
        <f t="shared" ref="V84" si="413">E84-E83</f>
        <v>-0.20000000000000284</v>
      </c>
      <c r="W84" s="9">
        <f>Tabla1[[#This Row],[Protein]]/Tabla1[[#This Row],[Peso (Kg)]]</f>
        <v>0.26313859745996682</v>
      </c>
      <c r="X84" s="9">
        <f t="shared" si="345"/>
        <v>0.26396009343690369</v>
      </c>
      <c r="Y84" s="6">
        <f t="shared" si="401"/>
        <v>43.101799999999997</v>
      </c>
      <c r="Z84" s="6">
        <f t="shared" si="346"/>
        <v>90.471428571428561</v>
      </c>
      <c r="AA84" s="6">
        <f t="shared" ref="AA84" si="414">AVERAGE(N78:N84)</f>
        <v>15.483642857142858</v>
      </c>
      <c r="AB84" s="6">
        <f t="shared" ref="AB84" si="415">AVERAGE(R78:R84)</f>
        <v>23.880664285714285</v>
      </c>
      <c r="AC84" s="6">
        <f t="shared" ref="AC84" si="416">100*(AB84/AB83-1)</f>
        <v>1.7919677960387403E-2</v>
      </c>
      <c r="AD84" s="42">
        <f>Tabla1[[#This Row],[Avg Agua)]]/Tabla1[[#This Row],[Avg Musculo]]</f>
        <v>1.9851676176751485</v>
      </c>
      <c r="AG84" s="10"/>
      <c r="AH84" s="10"/>
      <c r="AI84" s="10"/>
      <c r="AJ84" s="10"/>
      <c r="AK84" s="10"/>
      <c r="AL84" s="10"/>
      <c r="AM84" s="1"/>
    </row>
    <row r="85" spans="1:39" x14ac:dyDescent="0.3">
      <c r="A85">
        <v>3</v>
      </c>
      <c r="B85">
        <v>15</v>
      </c>
      <c r="C85" t="s">
        <v>24</v>
      </c>
      <c r="D85" s="4">
        <v>45210</v>
      </c>
      <c r="E85" s="6">
        <v>90.75</v>
      </c>
      <c r="F85" s="7">
        <f t="shared" si="85"/>
        <v>25.676210955183343</v>
      </c>
      <c r="G85" s="9">
        <v>0.17199999999999999</v>
      </c>
      <c r="H85" s="6">
        <f t="shared" si="291"/>
        <v>75.141000000000005</v>
      </c>
      <c r="I85" s="6">
        <f t="shared" si="292"/>
        <v>24.069500000000001</v>
      </c>
      <c r="J85">
        <v>3.7</v>
      </c>
      <c r="K85" s="5">
        <v>7.4999999999999997E-2</v>
      </c>
      <c r="L85" s="17">
        <v>2177</v>
      </c>
      <c r="M85" s="5">
        <v>0.52200000000000002</v>
      </c>
      <c r="N85" s="6">
        <f t="shared" si="304"/>
        <v>15.608999999999998</v>
      </c>
      <c r="O85" s="21">
        <f t="shared" si="293"/>
        <v>47.371500000000005</v>
      </c>
      <c r="P85" s="8">
        <f t="shared" si="341"/>
        <v>47.401978571428572</v>
      </c>
      <c r="Q85" s="8">
        <f t="shared" ref="Q85" si="417">E85-R85</f>
        <v>66.680499999999995</v>
      </c>
      <c r="R85" s="6">
        <f t="shared" ref="R85" si="418">I85</f>
        <v>24.069500000000001</v>
      </c>
      <c r="S85" s="6">
        <f t="shared" si="391"/>
        <v>6.8062499999999995</v>
      </c>
      <c r="T85" s="6">
        <f t="shared" ref="T85" si="419">I85-I84</f>
        <v>0.24230000000000729</v>
      </c>
      <c r="U85" s="6">
        <f t="shared" ref="U85" si="420">N85-N84</f>
        <v>3.4399999999999764E-2</v>
      </c>
      <c r="V85" s="6">
        <f t="shared" ref="V85" si="421">E85-E84</f>
        <v>0.20000000000000284</v>
      </c>
      <c r="W85" s="9">
        <f>Tabla1[[#This Row],[Protein]]/Tabla1[[#This Row],[Peso (Kg)]]</f>
        <v>0.26522865013774105</v>
      </c>
      <c r="X85" s="9">
        <f t="shared" si="345"/>
        <v>0.26427483336324137</v>
      </c>
      <c r="Y85" s="6">
        <f t="shared" ref="Y85" si="422">R85+N85+J85</f>
        <v>43.378500000000003</v>
      </c>
      <c r="Z85" s="6">
        <f t="shared" si="346"/>
        <v>90.535714285714292</v>
      </c>
      <c r="AA85" s="6">
        <f t="shared" ref="AA85" si="423">AVERAGE(N79:N85)</f>
        <v>15.507599999999998</v>
      </c>
      <c r="AB85" s="6">
        <f t="shared" ref="AB85" si="424">AVERAGE(R79:R85)</f>
        <v>23.926135714285714</v>
      </c>
      <c r="AC85" s="6">
        <f t="shared" ref="AC85" si="425">100*(AB85/AB84-1)</f>
        <v>0.19041107076167574</v>
      </c>
      <c r="AD85" s="42">
        <f>Tabla1[[#This Row],[Avg Agua)]]/Tabla1[[#This Row],[Avg Musculo]]</f>
        <v>1.9811798753246226</v>
      </c>
      <c r="AE85" t="s">
        <v>43</v>
      </c>
      <c r="AG85" s="10"/>
      <c r="AH85" s="10"/>
      <c r="AI85" s="10"/>
      <c r="AJ85" s="10"/>
      <c r="AK85" s="10"/>
      <c r="AL85" s="10"/>
      <c r="AM85" s="1"/>
    </row>
    <row r="86" spans="1:39" x14ac:dyDescent="0.3">
      <c r="A86">
        <v>3</v>
      </c>
      <c r="B86">
        <v>15</v>
      </c>
      <c r="C86" t="s">
        <v>22</v>
      </c>
      <c r="D86" s="4">
        <v>45211</v>
      </c>
      <c r="E86" s="6">
        <v>90.8</v>
      </c>
      <c r="F86" s="7">
        <f t="shared" si="85"/>
        <v>25.690357627885923</v>
      </c>
      <c r="G86" s="9">
        <v>0.17599999999999999</v>
      </c>
      <c r="H86" s="6">
        <f t="shared" si="291"/>
        <v>74.819199999999995</v>
      </c>
      <c r="I86" s="6">
        <f t="shared" si="292"/>
        <v>23.630799999999997</v>
      </c>
      <c r="J86">
        <v>3.7</v>
      </c>
      <c r="K86" s="5">
        <v>0.08</v>
      </c>
      <c r="L86" s="17">
        <v>2170</v>
      </c>
      <c r="M86" s="5">
        <v>0.52300000000000002</v>
      </c>
      <c r="N86" s="6">
        <f t="shared" si="304"/>
        <v>15.980799999999999</v>
      </c>
      <c r="O86" s="21">
        <f t="shared" ref="O86:O137" si="426">M86*E86</f>
        <v>47.488399999999999</v>
      </c>
      <c r="P86" s="8">
        <f t="shared" si="341"/>
        <v>47.459692857142862</v>
      </c>
      <c r="Q86" s="8">
        <f t="shared" ref="Q86" si="427">E86-R86</f>
        <v>67.169200000000004</v>
      </c>
      <c r="R86" s="6">
        <f t="shared" ref="R86" si="428">I86</f>
        <v>23.630799999999997</v>
      </c>
      <c r="S86" s="6">
        <f t="shared" ref="S86" si="429">K86*E86</f>
        <v>7.2640000000000002</v>
      </c>
      <c r="T86" s="6">
        <f t="shared" ref="T86" si="430">I86-I85</f>
        <v>-0.43870000000000431</v>
      </c>
      <c r="U86" s="6">
        <f t="shared" ref="U86" si="431">N86-N85</f>
        <v>0.37180000000000035</v>
      </c>
      <c r="V86" s="6">
        <f t="shared" ref="V86" si="432">E86-E85</f>
        <v>4.9999999999997158E-2</v>
      </c>
      <c r="W86" s="9">
        <f>Tabla1[[#This Row],[Protein]]/Tabla1[[#This Row],[Peso (Kg)]]</f>
        <v>0.26025110132158585</v>
      </c>
      <c r="X86" s="9">
        <f t="shared" si="345"/>
        <v>0.26302784150262526</v>
      </c>
      <c r="Y86" s="6">
        <f t="shared" ref="Y86" si="433">R86+N86+J86</f>
        <v>43.311599999999999</v>
      </c>
      <c r="Z86" s="6">
        <f t="shared" si="346"/>
        <v>90.621428571428552</v>
      </c>
      <c r="AA86" s="6">
        <f t="shared" ref="AA86" si="434">AVERAGE(N80:N86)</f>
        <v>15.625771428571428</v>
      </c>
      <c r="AB86" s="6">
        <f t="shared" ref="AB86" si="435">AVERAGE(R80:R86)</f>
        <v>23.835964285714279</v>
      </c>
      <c r="AC86" s="6">
        <f t="shared" ref="AC86" si="436">100*(AB86/AB85-1)</f>
        <v>-0.37687418331241451</v>
      </c>
      <c r="AD86" s="42">
        <f>Tabla1[[#This Row],[Avg Agua)]]/Tabla1[[#This Row],[Avg Musculo]]</f>
        <v>1.9910959879054317</v>
      </c>
      <c r="AG86" s="10"/>
      <c r="AH86" s="10"/>
      <c r="AI86" s="10"/>
      <c r="AJ86" s="10"/>
      <c r="AK86" s="10"/>
      <c r="AL86" s="10"/>
      <c r="AM86" s="1"/>
    </row>
    <row r="87" spans="1:39" x14ac:dyDescent="0.3">
      <c r="A87">
        <v>3</v>
      </c>
      <c r="B87">
        <v>15</v>
      </c>
      <c r="C87" t="s">
        <v>20</v>
      </c>
      <c r="D87" s="4">
        <v>45212</v>
      </c>
      <c r="E87" s="6">
        <v>91</v>
      </c>
      <c r="F87" s="7">
        <f t="shared" si="85"/>
        <v>25.746944318696244</v>
      </c>
      <c r="G87" s="9">
        <v>0.17799999999999999</v>
      </c>
      <c r="H87" s="6">
        <f t="shared" si="291"/>
        <v>74.801999999999992</v>
      </c>
      <c r="I87" s="6">
        <f t="shared" si="292"/>
        <v>23.963999999999995</v>
      </c>
      <c r="J87">
        <v>3.7</v>
      </c>
      <c r="K87" s="5">
        <v>0.08</v>
      </c>
      <c r="L87" s="17">
        <v>2171</v>
      </c>
      <c r="M87" s="5">
        <v>0.51800000000000002</v>
      </c>
      <c r="N87" s="6">
        <f t="shared" si="304"/>
        <v>16.198</v>
      </c>
      <c r="O87" s="21">
        <f t="shared" si="426"/>
        <v>47.137999999999998</v>
      </c>
      <c r="P87" s="8">
        <f t="shared" si="341"/>
        <v>47.443257142857135</v>
      </c>
      <c r="Q87" s="8">
        <f t="shared" ref="Q87:Q124" si="437">E87-R87</f>
        <v>67.036000000000001</v>
      </c>
      <c r="R87" s="6">
        <f t="shared" ref="R87:R121" si="438">I87</f>
        <v>23.963999999999995</v>
      </c>
      <c r="S87" s="6">
        <f t="shared" ref="S87:S104" si="439">K87*E87</f>
        <v>7.28</v>
      </c>
      <c r="T87" s="6">
        <f t="shared" ref="T87" si="440">I87-I86</f>
        <v>0.33319999999999794</v>
      </c>
      <c r="U87" s="6">
        <f t="shared" ref="U87" si="441">N87-N86</f>
        <v>0.21720000000000184</v>
      </c>
      <c r="V87" s="6">
        <f t="shared" ref="V87" si="442">E87-E86</f>
        <v>0.20000000000000284</v>
      </c>
      <c r="W87" s="9">
        <f>Tabla1[[#This Row],[Protein]]/Tabla1[[#This Row],[Peso (Kg)]]</f>
        <v>0.26334065934065931</v>
      </c>
      <c r="X87" s="9">
        <f t="shared" si="345"/>
        <v>0.26292677196579006</v>
      </c>
      <c r="Y87" s="6">
        <f t="shared" ref="Y87:Y104" si="443">R87+N87+J87</f>
        <v>43.861999999999995</v>
      </c>
      <c r="Z87" s="6">
        <f t="shared" si="346"/>
        <v>90.714285714285708</v>
      </c>
      <c r="AA87" s="6">
        <f t="shared" ref="AA87" si="444">AVERAGE(N81:N87)</f>
        <v>15.719742857142856</v>
      </c>
      <c r="AB87" s="6">
        <f t="shared" ref="AB87" si="445">AVERAGE(R81:R87)</f>
        <v>23.851285714285712</v>
      </c>
      <c r="AC87" s="6">
        <f t="shared" ref="AC87" si="446">100*(AB87/AB86-1)</f>
        <v>6.4278618594060255E-2</v>
      </c>
      <c r="AD87" s="42">
        <f>Tabla1[[#This Row],[Avg Agua)]]/Tabla1[[#This Row],[Avg Musculo]]</f>
        <v>1.9891278697165171</v>
      </c>
      <c r="AG87" s="10"/>
      <c r="AH87" s="10"/>
      <c r="AI87" s="10"/>
      <c r="AJ87" s="10"/>
      <c r="AK87" s="10"/>
      <c r="AL87" s="10"/>
      <c r="AM87" s="1"/>
    </row>
    <row r="88" spans="1:39" x14ac:dyDescent="0.3">
      <c r="A88">
        <v>3</v>
      </c>
      <c r="B88">
        <v>15</v>
      </c>
      <c r="C88" t="s">
        <v>25</v>
      </c>
      <c r="D88" s="4">
        <v>45213</v>
      </c>
      <c r="E88" s="6">
        <v>90.6</v>
      </c>
      <c r="F88" s="7">
        <f t="shared" si="85"/>
        <v>25.6337709370756</v>
      </c>
      <c r="G88" s="9">
        <v>0.17499999999999999</v>
      </c>
      <c r="H88" s="6">
        <f t="shared" si="291"/>
        <v>74.74499999999999</v>
      </c>
      <c r="I88" s="6">
        <f t="shared" si="292"/>
        <v>24.023599999999991</v>
      </c>
      <c r="J88">
        <v>3.7</v>
      </c>
      <c r="K88" s="5">
        <v>7.4999999999999997E-2</v>
      </c>
      <c r="L88" s="17">
        <v>2166</v>
      </c>
      <c r="M88" s="5">
        <v>0.51900000000000002</v>
      </c>
      <c r="N88" s="6">
        <f t="shared" si="304"/>
        <v>15.854999999999999</v>
      </c>
      <c r="O88" s="21">
        <f t="shared" si="426"/>
        <v>47.0214</v>
      </c>
      <c r="P88" s="8">
        <f t="shared" si="341"/>
        <v>47.356414285714273</v>
      </c>
      <c r="Q88" s="8">
        <f t="shared" si="437"/>
        <v>66.576400000000007</v>
      </c>
      <c r="R88" s="6">
        <f t="shared" si="438"/>
        <v>24.023599999999991</v>
      </c>
      <c r="S88" s="6">
        <f t="shared" si="439"/>
        <v>6.794999999999999</v>
      </c>
      <c r="T88" s="6">
        <f t="shared" ref="T88" si="447">I88-I87</f>
        <v>5.9599999999996101E-2</v>
      </c>
      <c r="U88" s="6">
        <f t="shared" ref="U88" si="448">N88-N87</f>
        <v>-0.34300000000000175</v>
      </c>
      <c r="V88" s="6">
        <f t="shared" ref="V88" si="449">E88-E87</f>
        <v>-0.40000000000000568</v>
      </c>
      <c r="W88" s="9">
        <f>Tabla1[[#This Row],[Protein]]/Tabla1[[#This Row],[Peso (Kg)]]</f>
        <v>0.26516114790286965</v>
      </c>
      <c r="X88" s="9">
        <f t="shared" si="345"/>
        <v>0.26378713631477618</v>
      </c>
      <c r="Y88" s="6">
        <f t="shared" si="443"/>
        <v>43.578599999999994</v>
      </c>
      <c r="Z88" s="6">
        <f t="shared" si="346"/>
        <v>90.721428571428575</v>
      </c>
      <c r="AA88" s="6">
        <f t="shared" ref="AA88" si="450">AVERAGE(N82:N88)</f>
        <v>15.733928571428573</v>
      </c>
      <c r="AB88" s="6">
        <f t="shared" ref="AB88" si="451">AVERAGE(R82:R88)</f>
        <v>23.931085714285707</v>
      </c>
      <c r="AC88" s="6">
        <f t="shared" ref="AC88" si="452">100*(AB88/AB87-1)</f>
        <v>0.33457315867966297</v>
      </c>
      <c r="AD88" s="42">
        <f>Tabla1[[#This Row],[Avg Agua)]]/Tabla1[[#This Row],[Avg Musculo]]</f>
        <v>1.978866101233542</v>
      </c>
      <c r="AG88" s="10"/>
      <c r="AH88" s="10"/>
      <c r="AI88" s="10"/>
      <c r="AJ88" s="10"/>
      <c r="AK88" s="10"/>
      <c r="AL88" s="10"/>
      <c r="AM88" s="1"/>
    </row>
    <row r="89" spans="1:39" x14ac:dyDescent="0.3">
      <c r="A89">
        <v>3</v>
      </c>
      <c r="B89">
        <v>15</v>
      </c>
      <c r="C89" t="s">
        <v>26</v>
      </c>
      <c r="D89" s="4">
        <v>45214</v>
      </c>
      <c r="E89" s="6">
        <v>90.45</v>
      </c>
      <c r="F89" s="7">
        <f t="shared" si="85"/>
        <v>25.591330918967863</v>
      </c>
      <c r="G89" s="9">
        <v>0.17399999999999999</v>
      </c>
      <c r="H89" s="6">
        <f t="shared" si="291"/>
        <v>74.711700000000008</v>
      </c>
      <c r="I89" s="6">
        <f t="shared" si="292"/>
        <v>23.977700000000002</v>
      </c>
      <c r="J89">
        <v>3.7</v>
      </c>
      <c r="K89" s="5">
        <v>7.4999999999999997E-2</v>
      </c>
      <c r="L89" s="17">
        <v>2167</v>
      </c>
      <c r="M89" s="5">
        <v>0.52</v>
      </c>
      <c r="N89" s="6">
        <f t="shared" si="304"/>
        <v>15.738299999999999</v>
      </c>
      <c r="O89" s="21">
        <f t="shared" si="426"/>
        <v>47.034000000000006</v>
      </c>
      <c r="P89" s="8">
        <f t="shared" si="341"/>
        <v>47.293500000000002</v>
      </c>
      <c r="Q89" s="8">
        <f t="shared" si="437"/>
        <v>66.472300000000004</v>
      </c>
      <c r="R89" s="6">
        <f t="shared" si="438"/>
        <v>23.977700000000002</v>
      </c>
      <c r="S89" s="6">
        <f t="shared" si="439"/>
        <v>6.7837500000000004</v>
      </c>
      <c r="T89" s="6">
        <f t="shared" ref="T89" si="453">I89-I88</f>
        <v>-4.589999999998895E-2</v>
      </c>
      <c r="U89" s="6">
        <f t="shared" ref="U89" si="454">N89-N88</f>
        <v>-0.1166999999999998</v>
      </c>
      <c r="V89" s="6">
        <f t="shared" ref="V89" si="455">E89-E88</f>
        <v>-0.14999999999999147</v>
      </c>
      <c r="W89" s="9">
        <f>Tabla1[[#This Row],[Protein]]/Tabla1[[#This Row],[Peso (Kg)]]</f>
        <v>0.26509342177998896</v>
      </c>
      <c r="X89" s="9">
        <f t="shared" si="345"/>
        <v>0.26392031829722179</v>
      </c>
      <c r="Y89" s="6">
        <f t="shared" si="443"/>
        <v>43.416000000000004</v>
      </c>
      <c r="Z89" s="6">
        <f t="shared" si="346"/>
        <v>90.700000000000017</v>
      </c>
      <c r="AA89" s="6">
        <f t="shared" ref="AA89" si="456">AVERAGE(N83:N89)</f>
        <v>15.769028571428569</v>
      </c>
      <c r="AB89" s="6">
        <f t="shared" ref="AB89" si="457">AVERAGE(R83:R89)</f>
        <v>23.937471428571424</v>
      </c>
      <c r="AC89" s="6">
        <f t="shared" ref="AC89:AC91" si="458">100*(AB89/AB88-1)</f>
        <v>2.6683763377710612E-2</v>
      </c>
      <c r="AD89" s="42">
        <f>Tabla1[[#This Row],[Avg Agua)]]/Tabla1[[#This Row],[Avg Musculo]]</f>
        <v>1.9757099299782832</v>
      </c>
      <c r="AG89" s="10"/>
      <c r="AH89" s="10"/>
      <c r="AI89" s="10"/>
      <c r="AJ89" s="10"/>
      <c r="AK89" s="10"/>
      <c r="AL89" s="10"/>
      <c r="AM89" s="1"/>
    </row>
    <row r="90" spans="1:39" x14ac:dyDescent="0.3">
      <c r="A90">
        <v>3</v>
      </c>
      <c r="B90">
        <v>16</v>
      </c>
      <c r="C90" t="s">
        <v>21</v>
      </c>
      <c r="D90" s="4">
        <v>45215</v>
      </c>
      <c r="E90" s="6">
        <v>90.3</v>
      </c>
      <c r="F90" s="7">
        <f t="shared" si="85"/>
        <v>25.548890900860119</v>
      </c>
      <c r="G90" s="9">
        <v>0.17399999999999999</v>
      </c>
      <c r="H90" s="6">
        <f t="shared" si="291"/>
        <v>74.587800000000001</v>
      </c>
      <c r="I90" s="6">
        <f t="shared" si="292"/>
        <v>23.660900000000002</v>
      </c>
      <c r="J90">
        <v>3.7</v>
      </c>
      <c r="K90" s="5">
        <v>7.4999999999999997E-2</v>
      </c>
      <c r="L90" s="17">
        <v>2160</v>
      </c>
      <c r="M90" s="5">
        <v>0.52300000000000002</v>
      </c>
      <c r="N90" s="6">
        <f t="shared" si="304"/>
        <v>15.712199999999999</v>
      </c>
      <c r="O90" s="21">
        <f t="shared" si="426"/>
        <v>47.226900000000001</v>
      </c>
      <c r="P90" s="8">
        <f t="shared" si="341"/>
        <v>47.24691428571429</v>
      </c>
      <c r="Q90" s="8">
        <f t="shared" si="437"/>
        <v>66.639099999999999</v>
      </c>
      <c r="R90" s="6">
        <f t="shared" si="438"/>
        <v>23.660900000000002</v>
      </c>
      <c r="S90" s="6">
        <f t="shared" si="439"/>
        <v>6.7725</v>
      </c>
      <c r="T90" s="6">
        <f t="shared" ref="T90" si="459">I90-I89</f>
        <v>-0.31680000000000064</v>
      </c>
      <c r="U90" s="6">
        <f t="shared" ref="U90" si="460">N90-N89</f>
        <v>-2.6099999999999568E-2</v>
      </c>
      <c r="V90" s="6">
        <f t="shared" ref="V90" si="461">E90-E89</f>
        <v>-0.15000000000000568</v>
      </c>
      <c r="W90" s="9">
        <f>Tabla1[[#This Row],[Protein]]/Tabla1[[#This Row],[Peso (Kg)]]</f>
        <v>0.26202547065337767</v>
      </c>
      <c r="X90" s="9">
        <f t="shared" si="345"/>
        <v>0.26346272122802705</v>
      </c>
      <c r="Y90" s="6">
        <f t="shared" si="443"/>
        <v>43.073100000000004</v>
      </c>
      <c r="Z90" s="6">
        <f t="shared" si="346"/>
        <v>90.635714285714286</v>
      </c>
      <c r="AA90" s="6">
        <f t="shared" ref="AA90" si="462">AVERAGE(N84:N90)</f>
        <v>15.809699999999998</v>
      </c>
      <c r="AB90" s="6">
        <f t="shared" ref="AB90" si="463">AVERAGE(R84:R90)</f>
        <v>23.879099999999998</v>
      </c>
      <c r="AC90" s="6">
        <f t="shared" si="458"/>
        <v>-0.24384960101405673</v>
      </c>
      <c r="AD90" s="42">
        <f>Tabla1[[#This Row],[Avg Agua)]]/Tabla1[[#This Row],[Avg Musculo]]</f>
        <v>1.9785885684851729</v>
      </c>
      <c r="AG90" s="10"/>
      <c r="AH90" s="10"/>
      <c r="AI90" s="10"/>
      <c r="AJ90" s="10"/>
      <c r="AK90" s="10"/>
      <c r="AL90" s="10"/>
      <c r="AM90" s="1"/>
    </row>
    <row r="91" spans="1:39" x14ac:dyDescent="0.3">
      <c r="A91">
        <v>3</v>
      </c>
      <c r="B91">
        <v>16</v>
      </c>
      <c r="C91" t="s">
        <v>23</v>
      </c>
      <c r="D91" s="4">
        <v>45216</v>
      </c>
      <c r="E91" s="6">
        <v>90.6</v>
      </c>
      <c r="F91" s="7">
        <f t="shared" si="85"/>
        <v>25.6337709370756</v>
      </c>
      <c r="G91" s="9">
        <v>0.18</v>
      </c>
      <c r="H91" s="6">
        <f t="shared" si="291"/>
        <v>74.292000000000002</v>
      </c>
      <c r="I91" s="6">
        <f t="shared" si="292"/>
        <v>23.208200000000001</v>
      </c>
      <c r="J91">
        <v>3.7</v>
      </c>
      <c r="K91" s="5">
        <v>0.08</v>
      </c>
      <c r="L91" s="17">
        <v>2154</v>
      </c>
      <c r="M91" s="5">
        <v>0.52300000000000002</v>
      </c>
      <c r="N91" s="6">
        <f t="shared" si="304"/>
        <v>16.308</v>
      </c>
      <c r="O91" s="21">
        <f t="shared" si="426"/>
        <v>47.383800000000001</v>
      </c>
      <c r="P91" s="8">
        <f t="shared" si="341"/>
        <v>47.23771428571429</v>
      </c>
      <c r="Q91" s="8">
        <f t="shared" si="437"/>
        <v>67.391799999999989</v>
      </c>
      <c r="R91" s="6">
        <f t="shared" si="438"/>
        <v>23.208200000000001</v>
      </c>
      <c r="S91" s="6">
        <f t="shared" si="439"/>
        <v>7.2479999999999993</v>
      </c>
      <c r="T91" s="6">
        <f t="shared" ref="T91" si="464">I91-I90</f>
        <v>-0.4527000000000001</v>
      </c>
      <c r="U91" s="6">
        <f t="shared" ref="U91" si="465">N91-N90</f>
        <v>0.59580000000000055</v>
      </c>
      <c r="V91" s="6">
        <f t="shared" ref="V91" si="466">E91-E90</f>
        <v>0.29999999999999716</v>
      </c>
      <c r="W91" s="9">
        <f>Tabla1[[#This Row],[Protein]]/Tabla1[[#This Row],[Peso (Kg)]]</f>
        <v>0.25616114790286981</v>
      </c>
      <c r="X91" s="9">
        <f t="shared" si="345"/>
        <v>0.26246594271987028</v>
      </c>
      <c r="Y91" s="6">
        <f t="shared" si="443"/>
        <v>43.216200000000001</v>
      </c>
      <c r="Z91" s="6">
        <f t="shared" si="346"/>
        <v>90.642857142857139</v>
      </c>
      <c r="AA91" s="6">
        <f t="shared" ref="AA91" si="467">AVERAGE(N85:N91)</f>
        <v>15.914471428571428</v>
      </c>
      <c r="AB91" s="6">
        <f t="shared" ref="AB91" si="468">AVERAGE(R85:R91)</f>
        <v>23.790671428571425</v>
      </c>
      <c r="AC91" s="6">
        <f t="shared" si="458"/>
        <v>-0.37031785715782028</v>
      </c>
      <c r="AD91" s="42">
        <f>Tabla1[[#This Row],[Avg Agua)]]/Tabla1[[#This Row],[Avg Musculo]]</f>
        <v>1.9855561633701571</v>
      </c>
      <c r="AE91" t="s">
        <v>45</v>
      </c>
      <c r="AG91" s="10"/>
      <c r="AH91" s="10"/>
      <c r="AI91" s="10"/>
      <c r="AJ91" s="10"/>
      <c r="AK91" s="10"/>
      <c r="AL91" s="10"/>
      <c r="AM91" s="1"/>
    </row>
    <row r="92" spans="1:39" x14ac:dyDescent="0.3">
      <c r="A92">
        <v>3</v>
      </c>
      <c r="B92">
        <v>16</v>
      </c>
      <c r="C92" t="s">
        <v>20</v>
      </c>
      <c r="D92" s="4">
        <v>45219</v>
      </c>
      <c r="E92" s="6">
        <v>90.25</v>
      </c>
      <c r="F92" s="7">
        <f t="shared" si="85"/>
        <v>25.534744228157539</v>
      </c>
      <c r="G92" s="9">
        <v>0.17399999999999999</v>
      </c>
      <c r="H92" s="6">
        <f t="shared" si="291"/>
        <v>74.546500000000009</v>
      </c>
      <c r="I92" s="6">
        <f t="shared" si="292"/>
        <v>23.284750000000006</v>
      </c>
      <c r="J92">
        <v>3.7</v>
      </c>
      <c r="K92" s="5">
        <v>7.4999999999999997E-2</v>
      </c>
      <c r="L92" s="17">
        <v>2161</v>
      </c>
      <c r="M92" s="5">
        <v>0.52700000000000002</v>
      </c>
      <c r="N92" s="6">
        <f t="shared" si="304"/>
        <v>15.703499999999998</v>
      </c>
      <c r="O92" s="21">
        <f t="shared" si="426"/>
        <v>47.561750000000004</v>
      </c>
      <c r="P92" s="8">
        <f t="shared" si="341"/>
        <v>47.264892857142861</v>
      </c>
      <c r="Q92" s="8">
        <f t="shared" si="437"/>
        <v>66.965249999999997</v>
      </c>
      <c r="R92" s="6">
        <f t="shared" si="438"/>
        <v>23.284750000000006</v>
      </c>
      <c r="S92" s="6">
        <f t="shared" si="439"/>
        <v>6.7687499999999998</v>
      </c>
      <c r="T92" s="6">
        <f t="shared" ref="T92" si="469">I92-I91</f>
        <v>7.6550000000004559E-2</v>
      </c>
      <c r="U92" s="6">
        <f t="shared" ref="U92" si="470">N92-N91</f>
        <v>-0.60450000000000159</v>
      </c>
      <c r="V92" s="6">
        <f t="shared" ref="V92" si="471">E92-E91</f>
        <v>-0.34999999999999432</v>
      </c>
      <c r="W92" s="9">
        <f>Tabla1[[#This Row],[Protein]]/Tabla1[[#This Row],[Peso (Kg)]]</f>
        <v>0.25800277008310257</v>
      </c>
      <c r="X92" s="9">
        <f t="shared" si="345"/>
        <v>0.26143367414063629</v>
      </c>
      <c r="Y92" s="6">
        <f t="shared" si="443"/>
        <v>42.688250000000011</v>
      </c>
      <c r="Z92" s="6">
        <f t="shared" si="346"/>
        <v>90.571428571428569</v>
      </c>
      <c r="AA92" s="6">
        <f t="shared" ref="AA92" si="472">AVERAGE(N86:N92)</f>
        <v>15.927971428571425</v>
      </c>
      <c r="AB92" s="6">
        <f t="shared" ref="AB92" si="473">AVERAGE(R86:R92)</f>
        <v>23.678564285714284</v>
      </c>
      <c r="AC92" s="6">
        <f t="shared" ref="AC92" si="474">100*(AB92/AB91-1)</f>
        <v>-0.47122311446202714</v>
      </c>
      <c r="AD92" s="42">
        <f>Tabla1[[#This Row],[Avg Agua)]]/Tabla1[[#This Row],[Avg Musculo]]</f>
        <v>1.9961046745413802</v>
      </c>
      <c r="AE92" t="s">
        <v>44</v>
      </c>
      <c r="AG92" s="10"/>
      <c r="AH92" s="10"/>
      <c r="AI92" s="10"/>
      <c r="AJ92" s="10"/>
      <c r="AK92" s="10"/>
      <c r="AL92" s="10"/>
      <c r="AM92" s="1"/>
    </row>
    <row r="93" spans="1:39" x14ac:dyDescent="0.3">
      <c r="A93">
        <v>3</v>
      </c>
      <c r="B93">
        <v>16</v>
      </c>
      <c r="C93" t="s">
        <v>25</v>
      </c>
      <c r="D93" s="4">
        <v>45220</v>
      </c>
      <c r="E93" s="6">
        <v>89.65</v>
      </c>
      <c r="F93" s="7">
        <f t="shared" si="85"/>
        <v>25.364984155726578</v>
      </c>
      <c r="G93" s="9">
        <v>0.17</v>
      </c>
      <c r="H93" s="6">
        <f t="shared" si="291"/>
        <v>74.409500000000008</v>
      </c>
      <c r="I93" s="6">
        <f t="shared" si="292"/>
        <v>24.091500000000007</v>
      </c>
      <c r="J93">
        <v>3.7</v>
      </c>
      <c r="K93" s="5">
        <v>7.4999999999999997E-2</v>
      </c>
      <c r="L93" s="17">
        <v>2155</v>
      </c>
      <c r="M93" s="5">
        <v>0.52</v>
      </c>
      <c r="N93" s="6">
        <f t="shared" si="304"/>
        <v>15.240500000000003</v>
      </c>
      <c r="O93" s="21">
        <f t="shared" si="426"/>
        <v>46.618000000000002</v>
      </c>
      <c r="P93" s="8">
        <f t="shared" si="341"/>
        <v>47.140550000000005</v>
      </c>
      <c r="Q93" s="8">
        <f t="shared" si="437"/>
        <v>65.558499999999995</v>
      </c>
      <c r="R93" s="6">
        <f t="shared" si="438"/>
        <v>24.091500000000007</v>
      </c>
      <c r="S93" s="6">
        <f t="shared" si="439"/>
        <v>6.7237499999999999</v>
      </c>
      <c r="T93" s="6">
        <f t="shared" ref="T93" si="475">I93-I92</f>
        <v>0.80675000000000097</v>
      </c>
      <c r="U93" s="6">
        <f t="shared" ref="U93" si="476">N93-N92</f>
        <v>-0.46299999999999564</v>
      </c>
      <c r="V93" s="6">
        <f t="shared" ref="V93" si="477">E93-E92</f>
        <v>-0.59999999999999432</v>
      </c>
      <c r="W93" s="9">
        <f>Tabla1[[#This Row],[Protein]]/Tabla1[[#This Row],[Peso (Kg)]]</f>
        <v>0.26872838817624101</v>
      </c>
      <c r="X93" s="9">
        <f t="shared" si="345"/>
        <v>0.26264471511987275</v>
      </c>
      <c r="Y93" s="6">
        <f t="shared" si="443"/>
        <v>43.032000000000011</v>
      </c>
      <c r="Z93" s="6">
        <f t="shared" si="346"/>
        <v>90.407142857142858</v>
      </c>
      <c r="AA93" s="6">
        <f t="shared" ref="AA93" si="478">AVERAGE(N87:N93)</f>
        <v>15.822214285714283</v>
      </c>
      <c r="AB93" s="6">
        <f t="shared" ref="AB93" si="479">AVERAGE(R87:R93)</f>
        <v>23.74437857142857</v>
      </c>
      <c r="AC93" s="6">
        <f t="shared" ref="AC93:AC94" si="480">100*(AB93/AB92-1)</f>
        <v>0.2779488017945031</v>
      </c>
      <c r="AD93" s="42">
        <f>Tabla1[[#This Row],[Avg Agua)]]/Tabla1[[#This Row],[Avg Musculo]]</f>
        <v>1.9853351755738882</v>
      </c>
      <c r="AG93" s="10"/>
      <c r="AH93" s="10"/>
      <c r="AI93" s="10"/>
      <c r="AJ93" s="10"/>
      <c r="AK93" s="10"/>
      <c r="AL93" s="10"/>
      <c r="AM93" s="1"/>
    </row>
    <row r="94" spans="1:39" x14ac:dyDescent="0.3">
      <c r="A94">
        <v>3</v>
      </c>
      <c r="B94">
        <v>16</v>
      </c>
      <c r="C94" t="s">
        <v>26</v>
      </c>
      <c r="D94" s="4">
        <v>45221</v>
      </c>
      <c r="E94" s="6">
        <v>89.35</v>
      </c>
      <c r="F94" s="7">
        <f t="shared" si="85"/>
        <v>25.28010411951109</v>
      </c>
      <c r="G94" s="9">
        <v>0.16300000000000001</v>
      </c>
      <c r="H94" s="6">
        <f t="shared" si="291"/>
        <v>74.78595</v>
      </c>
      <c r="I94" s="6">
        <f t="shared" si="292"/>
        <v>24.445250000000005</v>
      </c>
      <c r="J94">
        <v>3.7</v>
      </c>
      <c r="K94" s="5">
        <v>7.0000000000000007E-2</v>
      </c>
      <c r="L94" s="17">
        <v>2163</v>
      </c>
      <c r="M94" s="5">
        <v>0.52200000000000002</v>
      </c>
      <c r="N94" s="6">
        <f t="shared" si="304"/>
        <v>14.56405</v>
      </c>
      <c r="O94" s="21">
        <f t="shared" si="426"/>
        <v>46.640699999999995</v>
      </c>
      <c r="P94" s="8">
        <f t="shared" si="341"/>
        <v>47.069507142857148</v>
      </c>
      <c r="Q94" s="8">
        <f t="shared" si="437"/>
        <v>64.904749999999993</v>
      </c>
      <c r="R94" s="6">
        <f t="shared" si="438"/>
        <v>24.445250000000005</v>
      </c>
      <c r="S94" s="6">
        <f t="shared" si="439"/>
        <v>6.2545000000000002</v>
      </c>
      <c r="T94" s="6">
        <f t="shared" ref="T94" si="481">I94-I93</f>
        <v>0.35374999999999801</v>
      </c>
      <c r="U94" s="6">
        <f t="shared" ref="U94" si="482">N94-N93</f>
        <v>-0.67645000000000266</v>
      </c>
      <c r="V94" s="6">
        <f t="shared" ref="V94" si="483">E94-E93</f>
        <v>-0.30000000000001137</v>
      </c>
      <c r="W94" s="9">
        <f>Tabla1[[#This Row],[Protein]]/Tabla1[[#This Row],[Peso (Kg)]]</f>
        <v>0.27358981533296034</v>
      </c>
      <c r="X94" s="9">
        <f t="shared" si="345"/>
        <v>0.26410888026162999</v>
      </c>
      <c r="Y94" s="6">
        <f t="shared" si="443"/>
        <v>42.709300000000006</v>
      </c>
      <c r="Z94" s="6">
        <f t="shared" si="346"/>
        <v>90.171428571428578</v>
      </c>
      <c r="AA94" s="6">
        <f t="shared" ref="AA94" si="484">AVERAGE(N88:N94)</f>
        <v>15.588792857142854</v>
      </c>
      <c r="AB94" s="6">
        <f t="shared" ref="AB94" si="485">AVERAGE(R88:R94)</f>
        <v>23.813128571428575</v>
      </c>
      <c r="AC94" s="6">
        <f t="shared" si="480"/>
        <v>0.28954221645847156</v>
      </c>
      <c r="AD94" s="42">
        <f>Tabla1[[#This Row],[Avg Agua)]]/Tabla1[[#This Row],[Avg Musculo]]</f>
        <v>1.9766200397259854</v>
      </c>
      <c r="AG94" s="10">
        <f>E94-E57</f>
        <v>-2.0500000000000114</v>
      </c>
      <c r="AH94" s="10">
        <f>I94-I57</f>
        <v>0.99945000000000306</v>
      </c>
      <c r="AI94" s="10">
        <f>N94-N57</f>
        <v>-1.8879500000000018</v>
      </c>
      <c r="AJ94" s="10">
        <f>O94-O57</f>
        <v>-1.1615000000000109</v>
      </c>
      <c r="AK94" s="10">
        <f>S94-S57</f>
        <v>-1.0575000000000001</v>
      </c>
      <c r="AL94" s="10">
        <f>Y94-Y57</f>
        <v>-0.88850000000000051</v>
      </c>
      <c r="AM94">
        <v>3</v>
      </c>
    </row>
    <row r="95" spans="1:39" x14ac:dyDescent="0.3">
      <c r="A95">
        <v>4</v>
      </c>
      <c r="B95">
        <v>17</v>
      </c>
      <c r="C95" t="s">
        <v>21</v>
      </c>
      <c r="D95" s="4">
        <v>45222</v>
      </c>
      <c r="E95" s="6">
        <v>90.7</v>
      </c>
      <c r="F95" s="7">
        <f t="shared" si="85"/>
        <v>25.662064282480763</v>
      </c>
      <c r="G95" s="9">
        <v>0.17399999999999999</v>
      </c>
      <c r="H95" s="6">
        <f t="shared" si="291"/>
        <v>74.918199999999999</v>
      </c>
      <c r="I95" s="6">
        <f t="shared" si="292"/>
        <v>22.965799999999998</v>
      </c>
      <c r="J95">
        <v>3.7</v>
      </c>
      <c r="K95" s="5">
        <v>7.4999999999999997E-2</v>
      </c>
      <c r="L95" s="17">
        <v>2172</v>
      </c>
      <c r="M95" s="5">
        <v>0.53200000000000003</v>
      </c>
      <c r="N95" s="6">
        <f t="shared" si="304"/>
        <v>15.781799999999999</v>
      </c>
      <c r="O95" s="21">
        <f t="shared" si="426"/>
        <v>48.252400000000002</v>
      </c>
      <c r="P95" s="8">
        <f t="shared" si="341"/>
        <v>47.245364285714288</v>
      </c>
      <c r="Q95" s="8">
        <f t="shared" si="437"/>
        <v>67.734200000000001</v>
      </c>
      <c r="R95" s="6">
        <f t="shared" si="438"/>
        <v>22.965799999999998</v>
      </c>
      <c r="S95" s="6">
        <f t="shared" si="439"/>
        <v>6.8025000000000002</v>
      </c>
      <c r="T95" s="6">
        <f t="shared" ref="T95" si="486">I95-I94</f>
        <v>-1.479450000000007</v>
      </c>
      <c r="U95" s="6">
        <f t="shared" ref="U95" si="487">N95-N94</f>
        <v>1.2177499999999988</v>
      </c>
      <c r="V95" s="6">
        <f t="shared" ref="V95" si="488">E95-E94</f>
        <v>1.3500000000000085</v>
      </c>
      <c r="W95" s="9">
        <f>Tabla1[[#This Row],[Protein]]/Tabla1[[#This Row],[Peso (Kg)]]</f>
        <v>0.25320617420066149</v>
      </c>
      <c r="X95" s="9">
        <f t="shared" si="345"/>
        <v>0.26240102687560024</v>
      </c>
      <c r="Y95" s="6">
        <f t="shared" si="443"/>
        <v>42.447600000000001</v>
      </c>
      <c r="Z95" s="6">
        <f t="shared" si="346"/>
        <v>90.185714285714297</v>
      </c>
      <c r="AA95" s="6">
        <f t="shared" ref="AA95" si="489">AVERAGE(N89:N95)</f>
        <v>15.578335714285714</v>
      </c>
      <c r="AB95" s="6">
        <f t="shared" ref="AB95" si="490">AVERAGE(R89:R95)</f>
        <v>23.662014285714289</v>
      </c>
      <c r="AC95" s="6">
        <f t="shared" ref="AC95:AC97" si="491">100*(AB95/AB94-1)</f>
        <v>-0.63458392399390329</v>
      </c>
      <c r="AD95" s="42">
        <f>Tabla1[[#This Row],[Avg Agua)]]/Tabla1[[#This Row],[Avg Musculo]]</f>
        <v>1.9966755034138499</v>
      </c>
      <c r="AE95" t="s">
        <v>46</v>
      </c>
      <c r="AG95" s="10"/>
      <c r="AH95" s="10"/>
      <c r="AI95" s="10"/>
      <c r="AJ95" s="10"/>
      <c r="AK95" s="10"/>
      <c r="AL95" s="10"/>
    </row>
    <row r="96" spans="1:39" x14ac:dyDescent="0.3">
      <c r="A96">
        <v>4</v>
      </c>
      <c r="B96">
        <v>17</v>
      </c>
      <c r="C96" t="s">
        <v>23</v>
      </c>
      <c r="D96" s="4">
        <v>45223</v>
      </c>
      <c r="E96" s="6">
        <v>90.75</v>
      </c>
      <c r="F96" s="7">
        <f t="shared" si="85"/>
        <v>25.676210955183343</v>
      </c>
      <c r="G96" s="9">
        <v>0.18099999999999999</v>
      </c>
      <c r="H96" s="6">
        <f t="shared" si="291"/>
        <v>74.324250000000006</v>
      </c>
      <c r="I96" s="6">
        <f t="shared" si="292"/>
        <v>22.708250000000003</v>
      </c>
      <c r="J96">
        <v>3.7</v>
      </c>
      <c r="K96" s="5">
        <v>7.4999999999999997E-2</v>
      </c>
      <c r="L96" s="17">
        <v>2156</v>
      </c>
      <c r="M96" s="5">
        <v>0.52800000000000002</v>
      </c>
      <c r="N96" s="6">
        <f t="shared" si="304"/>
        <v>16.425750000000001</v>
      </c>
      <c r="O96" s="21">
        <f t="shared" si="426"/>
        <v>47.916000000000004</v>
      </c>
      <c r="P96" s="8">
        <f t="shared" si="341"/>
        <v>47.371364285714286</v>
      </c>
      <c r="Q96" s="8">
        <f t="shared" si="437"/>
        <v>68.041749999999993</v>
      </c>
      <c r="R96" s="6">
        <f t="shared" si="438"/>
        <v>22.708250000000003</v>
      </c>
      <c r="S96" s="6">
        <f t="shared" si="439"/>
        <v>6.8062499999999995</v>
      </c>
      <c r="T96" s="6">
        <f t="shared" ref="T96" si="492">I96-I95</f>
        <v>-0.25754999999999484</v>
      </c>
      <c r="U96" s="6">
        <f t="shared" ref="U96" si="493">N96-N95</f>
        <v>0.64395000000000202</v>
      </c>
      <c r="V96" s="6">
        <f t="shared" ref="V96" si="494">E96-E95</f>
        <v>4.9999999999997158E-2</v>
      </c>
      <c r="W96" s="9">
        <f>Tabla1[[#This Row],[Protein]]/Tabla1[[#This Row],[Peso (Kg)]]</f>
        <v>0.25022865013774109</v>
      </c>
      <c r="X96" s="9">
        <f t="shared" si="345"/>
        <v>0.26027748806956486</v>
      </c>
      <c r="Y96" s="6">
        <f t="shared" si="443"/>
        <v>42.834000000000003</v>
      </c>
      <c r="Z96" s="6">
        <f t="shared" si="346"/>
        <v>90.228571428571428</v>
      </c>
      <c r="AA96" s="6">
        <f t="shared" ref="AA96" si="495">AVERAGE(N90:N96)</f>
        <v>15.676542857142859</v>
      </c>
      <c r="AB96" s="6">
        <f t="shared" ref="AB96" si="496">AVERAGE(R90:R96)</f>
        <v>23.480664285714287</v>
      </c>
      <c r="AC96" s="6">
        <f t="shared" si="491"/>
        <v>-0.76641826773593547</v>
      </c>
      <c r="AD96" s="42">
        <f>Tabla1[[#This Row],[Avg Agua)]]/Tabla1[[#This Row],[Avg Musculo]]</f>
        <v>2.0174626965104721</v>
      </c>
    </row>
    <row r="97" spans="1:39" x14ac:dyDescent="0.3">
      <c r="A97">
        <v>4</v>
      </c>
      <c r="B97">
        <v>17</v>
      </c>
      <c r="C97" t="s">
        <v>24</v>
      </c>
      <c r="D97" s="4">
        <v>45224</v>
      </c>
      <c r="E97" s="6">
        <v>90.3</v>
      </c>
      <c r="F97" s="7">
        <f t="shared" si="85"/>
        <v>25.548890900860119</v>
      </c>
      <c r="G97" s="9">
        <v>0.17899999999999999</v>
      </c>
      <c r="H97" s="6">
        <f t="shared" si="291"/>
        <v>74.136300000000006</v>
      </c>
      <c r="I97" s="6">
        <f t="shared" si="292"/>
        <v>22.938500000000008</v>
      </c>
      <c r="J97">
        <v>3.7</v>
      </c>
      <c r="K97" s="5">
        <v>7.4999999999999997E-2</v>
      </c>
      <c r="L97" s="17">
        <v>2148</v>
      </c>
      <c r="M97" s="5">
        <v>0.52600000000000002</v>
      </c>
      <c r="N97" s="6">
        <f t="shared" si="304"/>
        <v>16.163699999999999</v>
      </c>
      <c r="O97" s="21">
        <f t="shared" si="426"/>
        <v>47.497799999999998</v>
      </c>
      <c r="P97" s="8">
        <f t="shared" si="341"/>
        <v>47.410064285714284</v>
      </c>
      <c r="Q97" s="8">
        <f t="shared" si="437"/>
        <v>67.361499999999992</v>
      </c>
      <c r="R97" s="6">
        <f t="shared" si="438"/>
        <v>22.938500000000008</v>
      </c>
      <c r="S97" s="6">
        <f t="shared" si="439"/>
        <v>6.7725</v>
      </c>
      <c r="T97" s="6">
        <f t="shared" ref="T97" si="497">I97-I96</f>
        <v>0.23025000000000517</v>
      </c>
      <c r="U97" s="6">
        <f t="shared" ref="U97" si="498">N97-N96</f>
        <v>-0.26205000000000211</v>
      </c>
      <c r="V97" s="6">
        <f t="shared" ref="V97" si="499">E97-E96</f>
        <v>-0.45000000000000284</v>
      </c>
      <c r="W97" s="9">
        <f>Tabla1[[#This Row],[Protein]]/Tabla1[[#This Row],[Peso (Kg)]]</f>
        <v>0.25402547065337772</v>
      </c>
      <c r="X97" s="9">
        <f t="shared" si="345"/>
        <v>0.25913463092670774</v>
      </c>
      <c r="Y97" s="6">
        <f t="shared" si="443"/>
        <v>42.802200000000013</v>
      </c>
      <c r="Z97" s="6">
        <f t="shared" si="346"/>
        <v>90.228571428571414</v>
      </c>
      <c r="AA97" s="6">
        <f t="shared" ref="AA97" si="500">AVERAGE(N91:N97)</f>
        <v>15.74104285714286</v>
      </c>
      <c r="AB97" s="6">
        <f t="shared" ref="AB97" si="501">AVERAGE(R91:R97)</f>
        <v>23.377464285714289</v>
      </c>
      <c r="AC97" s="6">
        <f t="shared" si="491"/>
        <v>-0.43951056385906906</v>
      </c>
      <c r="AD97" s="42">
        <f>Tabla1[[#This Row],[Avg Agua)]]/Tabla1[[#This Row],[Avg Musculo]]</f>
        <v>2.0280242419057424</v>
      </c>
    </row>
    <row r="98" spans="1:39" x14ac:dyDescent="0.3">
      <c r="A98">
        <v>4</v>
      </c>
      <c r="B98">
        <v>17</v>
      </c>
      <c r="C98" t="s">
        <v>20</v>
      </c>
      <c r="D98" s="4">
        <v>45226</v>
      </c>
      <c r="E98" s="6">
        <v>90.35</v>
      </c>
      <c r="F98" s="7">
        <f t="shared" si="85"/>
        <v>25.563037573562699</v>
      </c>
      <c r="G98" s="9">
        <v>0.17499999999999999</v>
      </c>
      <c r="H98" s="6">
        <f t="shared" si="291"/>
        <v>74.538749999999993</v>
      </c>
      <c r="I98" s="6">
        <f t="shared" si="292"/>
        <v>22.772549999999992</v>
      </c>
      <c r="J98">
        <v>3.7</v>
      </c>
      <c r="K98" s="5">
        <v>7.4999999999999997E-2</v>
      </c>
      <c r="L98" s="17">
        <v>2160</v>
      </c>
      <c r="M98" s="5">
        <v>0.53200000000000003</v>
      </c>
      <c r="N98" s="6">
        <f t="shared" si="304"/>
        <v>15.811249999999998</v>
      </c>
      <c r="O98" s="21">
        <f t="shared" si="426"/>
        <v>48.066200000000002</v>
      </c>
      <c r="P98" s="8">
        <f t="shared" si="341"/>
        <v>47.507549999999995</v>
      </c>
      <c r="Q98" s="8">
        <f t="shared" si="437"/>
        <v>67.577449999999999</v>
      </c>
      <c r="R98" s="6">
        <f t="shared" si="438"/>
        <v>22.772549999999992</v>
      </c>
      <c r="S98" s="6">
        <f t="shared" si="439"/>
        <v>6.7762499999999992</v>
      </c>
      <c r="T98" s="6">
        <f t="shared" ref="T98" si="502">I98-I97</f>
        <v>-0.16595000000001647</v>
      </c>
      <c r="U98" s="6">
        <f t="shared" ref="U98" si="503">N98-N97</f>
        <v>-0.35245000000000104</v>
      </c>
      <c r="V98" s="6">
        <f t="shared" ref="V98" si="504">E98-E97</f>
        <v>4.9999999999997158E-2</v>
      </c>
      <c r="W98" s="9">
        <f>Tabla1[[#This Row],[Protein]]/Tabla1[[#This Row],[Peso (Kg)]]</f>
        <v>0.25204814609850573</v>
      </c>
      <c r="X98" s="9">
        <f t="shared" si="345"/>
        <v>0.25854705924036997</v>
      </c>
      <c r="Y98" s="6">
        <f t="shared" si="443"/>
        <v>42.283799999999992</v>
      </c>
      <c r="Z98" s="6">
        <f t="shared" si="346"/>
        <v>90.19285714285715</v>
      </c>
      <c r="AA98" s="6">
        <f t="shared" ref="AA98" si="505">AVERAGE(N92:N98)</f>
        <v>15.670078571428572</v>
      </c>
      <c r="AB98" s="6">
        <f t="shared" ref="AB98" si="506">AVERAGE(R92:R98)</f>
        <v>23.315228571428577</v>
      </c>
      <c r="AC98" s="6">
        <f t="shared" ref="AC98:AC100" si="507">100*(AB98/AB97-1)</f>
        <v>-0.26622097899533514</v>
      </c>
      <c r="AD98" s="42">
        <f>Tabla1[[#This Row],[Avg Agua)]]/Tabla1[[#This Row],[Avg Musculo]]</f>
        <v>2.0376188830598756</v>
      </c>
    </row>
    <row r="99" spans="1:39" x14ac:dyDescent="0.3">
      <c r="A99">
        <v>4</v>
      </c>
      <c r="B99">
        <v>17</v>
      </c>
      <c r="C99" t="s">
        <v>25</v>
      </c>
      <c r="D99" s="4">
        <v>45227</v>
      </c>
      <c r="E99" s="6">
        <v>90.25</v>
      </c>
      <c r="F99" s="7">
        <f t="shared" si="85"/>
        <v>25.534744228157539</v>
      </c>
      <c r="G99" s="9">
        <v>0.17199999999999999</v>
      </c>
      <c r="H99" s="6">
        <f t="shared" si="291"/>
        <v>74.727000000000004</v>
      </c>
      <c r="I99" s="6">
        <f t="shared" si="292"/>
        <v>24.00675</v>
      </c>
      <c r="J99">
        <v>3.7</v>
      </c>
      <c r="K99" s="5">
        <v>7.4999999999999997E-2</v>
      </c>
      <c r="L99" s="17">
        <v>2165</v>
      </c>
      <c r="M99" s="5">
        <v>0.52100000000000002</v>
      </c>
      <c r="N99" s="6">
        <f t="shared" si="304"/>
        <v>15.522999999999998</v>
      </c>
      <c r="O99" s="21">
        <f t="shared" si="426"/>
        <v>47.020250000000004</v>
      </c>
      <c r="P99" s="8">
        <f t="shared" si="341"/>
        <v>47.430192857142856</v>
      </c>
      <c r="Q99" s="8">
        <f t="shared" si="437"/>
        <v>66.243250000000003</v>
      </c>
      <c r="R99" s="6">
        <f t="shared" si="438"/>
        <v>24.00675</v>
      </c>
      <c r="S99" s="6">
        <f t="shared" si="439"/>
        <v>6.7687499999999998</v>
      </c>
      <c r="T99" s="6">
        <f t="shared" ref="T99" si="508">I99-I98</f>
        <v>1.2342000000000084</v>
      </c>
      <c r="U99" s="6">
        <f t="shared" ref="U99" si="509">N99-N98</f>
        <v>-0.28824999999999967</v>
      </c>
      <c r="V99" s="6">
        <f t="shared" ref="V99" si="510">E99-E98</f>
        <v>-9.9999999999994316E-2</v>
      </c>
      <c r="W99" s="9">
        <f>Tabla1[[#This Row],[Protein]]/Tabla1[[#This Row],[Peso (Kg)]]</f>
        <v>0.26600277008310247</v>
      </c>
      <c r="X99" s="9">
        <f t="shared" si="345"/>
        <v>0.25968991638322714</v>
      </c>
      <c r="Y99" s="6">
        <f t="shared" si="443"/>
        <v>43.229750000000003</v>
      </c>
      <c r="Z99" s="6">
        <f t="shared" si="346"/>
        <v>90.19285714285715</v>
      </c>
      <c r="AA99" s="6">
        <f t="shared" ref="AA99" si="511">AVERAGE(N93:N99)</f>
        <v>15.644292857142858</v>
      </c>
      <c r="AB99" s="6">
        <f t="shared" ref="AB99" si="512">AVERAGE(R93:R99)</f>
        <v>23.41837142857143</v>
      </c>
      <c r="AC99" s="6">
        <f t="shared" si="507"/>
        <v>0.44238407025203319</v>
      </c>
      <c r="AD99" s="42">
        <f>Tabla1[[#This Row],[Avg Agua)]]/Tabla1[[#This Row],[Avg Musculo]]</f>
        <v>2.0253412156268031</v>
      </c>
      <c r="AG99" s="10"/>
      <c r="AH99" s="10"/>
      <c r="AI99" s="10"/>
      <c r="AJ99" s="10"/>
      <c r="AK99" s="10"/>
      <c r="AL99" s="10"/>
      <c r="AM99" s="1"/>
    </row>
    <row r="100" spans="1:39" x14ac:dyDescent="0.3">
      <c r="A100">
        <v>4</v>
      </c>
      <c r="B100">
        <v>17</v>
      </c>
      <c r="C100" t="s">
        <v>26</v>
      </c>
      <c r="D100" s="4">
        <v>45228</v>
      </c>
      <c r="E100" s="6">
        <v>89.45</v>
      </c>
      <c r="F100" s="7">
        <f t="shared" si="85"/>
        <v>25.308397464916254</v>
      </c>
      <c r="G100" s="9">
        <v>0.16400000000000001</v>
      </c>
      <c r="H100" s="6">
        <f t="shared" si="291"/>
        <v>74.780200000000008</v>
      </c>
      <c r="I100" s="6">
        <f t="shared" si="292"/>
        <v>24.476750000000006</v>
      </c>
      <c r="J100">
        <v>3.7</v>
      </c>
      <c r="K100" s="5">
        <v>7.4999999999999997E-2</v>
      </c>
      <c r="L100" s="17">
        <v>2163</v>
      </c>
      <c r="M100" s="5">
        <v>0.52100000000000002</v>
      </c>
      <c r="N100" s="6">
        <f t="shared" si="304"/>
        <v>14.6698</v>
      </c>
      <c r="O100" s="21">
        <f t="shared" si="426"/>
        <v>46.603450000000002</v>
      </c>
      <c r="P100" s="8">
        <f t="shared" si="341"/>
        <v>47.428114285714287</v>
      </c>
      <c r="Q100" s="8">
        <f t="shared" si="437"/>
        <v>64.973249999999993</v>
      </c>
      <c r="R100" s="6">
        <f t="shared" si="438"/>
        <v>24.476750000000006</v>
      </c>
      <c r="S100" s="6">
        <f t="shared" si="439"/>
        <v>6.7087500000000002</v>
      </c>
      <c r="T100" s="6">
        <f t="shared" ref="T100" si="513">I100-I99</f>
        <v>0.47000000000000597</v>
      </c>
      <c r="U100" s="6">
        <f t="shared" ref="U100" si="514">N100-N99</f>
        <v>-0.85319999999999752</v>
      </c>
      <c r="V100" s="6">
        <f t="shared" ref="V100" si="515">E100-E99</f>
        <v>-0.79999999999999716</v>
      </c>
      <c r="W100" s="9">
        <f>Tabla1[[#This Row],[Protein]]/Tabla1[[#This Row],[Peso (Kg)]]</f>
        <v>0.27363610955841255</v>
      </c>
      <c r="X100" s="9">
        <f t="shared" si="345"/>
        <v>0.26039101943782306</v>
      </c>
      <c r="Y100" s="6">
        <f t="shared" si="443"/>
        <v>42.846550000000008</v>
      </c>
      <c r="Z100" s="6">
        <f t="shared" si="346"/>
        <v>90.164285714285725</v>
      </c>
      <c r="AA100" s="6">
        <f t="shared" ref="AA100" si="516">AVERAGE(N94:N100)</f>
        <v>15.562764285714284</v>
      </c>
      <c r="AB100" s="6">
        <f t="shared" ref="AB100" si="517">AVERAGE(R94:R100)</f>
        <v>23.473407142857148</v>
      </c>
      <c r="AC100" s="6">
        <f t="shared" si="507"/>
        <v>0.23501085228569973</v>
      </c>
      <c r="AD100" s="42">
        <f>Tabla1[[#This Row],[Avg Agua)]]/Tabla1[[#This Row],[Avg Musculo]]</f>
        <v>2.0205040536753289</v>
      </c>
    </row>
    <row r="101" spans="1:39" x14ac:dyDescent="0.3">
      <c r="A101">
        <v>4</v>
      </c>
      <c r="B101">
        <v>18</v>
      </c>
      <c r="C101" t="s">
        <v>21</v>
      </c>
      <c r="D101" s="4">
        <v>45229</v>
      </c>
      <c r="E101" s="6">
        <v>90.25</v>
      </c>
      <c r="F101" s="7">
        <f t="shared" si="85"/>
        <v>25.534744228157539</v>
      </c>
      <c r="G101" s="9">
        <v>0.16900000000000001</v>
      </c>
      <c r="H101" s="6">
        <f t="shared" si="291"/>
        <v>74.997749999999996</v>
      </c>
      <c r="I101" s="6">
        <f t="shared" si="292"/>
        <v>24.187249999999995</v>
      </c>
      <c r="J101">
        <v>3.7</v>
      </c>
      <c r="K101" s="5">
        <v>7.4999999999999997E-2</v>
      </c>
      <c r="L101" s="17">
        <v>2173</v>
      </c>
      <c r="M101" s="5">
        <v>0.52200000000000002</v>
      </c>
      <c r="N101" s="6">
        <f t="shared" si="304"/>
        <v>15.252250000000002</v>
      </c>
      <c r="O101" s="21">
        <f t="shared" si="426"/>
        <v>47.110500000000002</v>
      </c>
      <c r="P101" s="8">
        <f t="shared" si="341"/>
        <v>47.495228571428576</v>
      </c>
      <c r="Q101" s="8">
        <f t="shared" si="437"/>
        <v>66.062750000000008</v>
      </c>
      <c r="R101" s="6">
        <f t="shared" si="438"/>
        <v>24.187249999999995</v>
      </c>
      <c r="S101" s="6">
        <f t="shared" si="439"/>
        <v>6.7687499999999998</v>
      </c>
      <c r="T101" s="6">
        <f t="shared" ref="T101" si="518">I101-I100</f>
        <v>-0.28950000000001097</v>
      </c>
      <c r="U101" s="6">
        <f t="shared" ref="U101" si="519">N101-N100</f>
        <v>0.58245000000000147</v>
      </c>
      <c r="V101" s="6">
        <f t="shared" ref="V101" si="520">E101-E100</f>
        <v>0.79999999999999716</v>
      </c>
      <c r="W101" s="9">
        <f>Tabla1[[#This Row],[Protein]]/Tabla1[[#This Row],[Peso (Kg)]]</f>
        <v>0.26800277008310242</v>
      </c>
      <c r="X101" s="9">
        <f t="shared" si="345"/>
        <v>0.2595928701164148</v>
      </c>
      <c r="Y101" s="6">
        <f t="shared" si="443"/>
        <v>43.139499999999998</v>
      </c>
      <c r="Z101" s="6">
        <f t="shared" si="346"/>
        <v>90.292857142857159</v>
      </c>
      <c r="AA101" s="6">
        <f t="shared" ref="AA101" si="521">AVERAGE(N95:N101)</f>
        <v>15.66107857142857</v>
      </c>
      <c r="AB101" s="6">
        <f t="shared" ref="AB101" si="522">AVERAGE(R95:R101)</f>
        <v>23.436550000000004</v>
      </c>
      <c r="AC101" s="6">
        <f t="shared" ref="AC101:AC102" si="523">100*(AB101/AB100-1)</f>
        <v>-0.15701658746356539</v>
      </c>
      <c r="AD101" s="42">
        <f>Tabla1[[#This Row],[Avg Agua)]]/Tabla1[[#This Row],[Avg Musculo]]</f>
        <v>2.0265452283475414</v>
      </c>
    </row>
    <row r="102" spans="1:39" x14ac:dyDescent="0.3">
      <c r="A102">
        <v>4</v>
      </c>
      <c r="B102">
        <v>18</v>
      </c>
      <c r="C102" t="s">
        <v>23</v>
      </c>
      <c r="D102" s="4">
        <v>45230</v>
      </c>
      <c r="E102" s="6">
        <v>90.9</v>
      </c>
      <c r="F102" s="7">
        <f t="shared" si="85"/>
        <v>25.718650973291084</v>
      </c>
      <c r="G102" s="9">
        <v>0.17799999999999999</v>
      </c>
      <c r="H102" s="6">
        <f t="shared" si="291"/>
        <v>74.719800000000006</v>
      </c>
      <c r="I102" s="6">
        <f t="shared" si="292"/>
        <v>22.933700000000005</v>
      </c>
      <c r="J102">
        <v>3.7</v>
      </c>
      <c r="K102" s="5">
        <v>0.08</v>
      </c>
      <c r="L102" s="17">
        <v>2168</v>
      </c>
      <c r="M102" s="5">
        <v>0.52900000000000003</v>
      </c>
      <c r="N102" s="6">
        <f t="shared" si="304"/>
        <v>16.180199999999999</v>
      </c>
      <c r="O102" s="21">
        <f t="shared" si="426"/>
        <v>48.086100000000002</v>
      </c>
      <c r="P102" s="8">
        <f t="shared" si="341"/>
        <v>47.471471428571427</v>
      </c>
      <c r="Q102" s="8">
        <f t="shared" si="437"/>
        <v>67.966300000000004</v>
      </c>
      <c r="R102" s="6">
        <f t="shared" si="438"/>
        <v>22.933700000000005</v>
      </c>
      <c r="S102" s="6">
        <f t="shared" si="439"/>
        <v>7.2720000000000002</v>
      </c>
      <c r="T102" s="6">
        <f t="shared" ref="T102" si="524">I102-I101</f>
        <v>-1.25354999999999</v>
      </c>
      <c r="U102" s="6">
        <f t="shared" ref="U102" si="525">N102-N101</f>
        <v>0.92794999999999739</v>
      </c>
      <c r="V102" s="6">
        <f t="shared" ref="V102" si="526">E102-E101</f>
        <v>0.65000000000000568</v>
      </c>
      <c r="W102" s="9">
        <f>Tabla1[[#This Row],[Protein]]/Tabla1[[#This Row],[Peso (Kg)]]</f>
        <v>0.25229592959295932</v>
      </c>
      <c r="X102" s="9">
        <f t="shared" si="345"/>
        <v>0.25946283517245738</v>
      </c>
      <c r="Y102" s="6">
        <f t="shared" si="443"/>
        <v>42.813900000000004</v>
      </c>
      <c r="Z102" s="6">
        <f t="shared" si="346"/>
        <v>90.321428571428555</v>
      </c>
      <c r="AA102" s="6">
        <f t="shared" ref="AA102" si="527">AVERAGE(N96:N102)</f>
        <v>15.717992857142857</v>
      </c>
      <c r="AB102" s="6">
        <f t="shared" ref="AB102" si="528">AVERAGE(R96:R102)</f>
        <v>23.43196428571429</v>
      </c>
      <c r="AC102" s="6">
        <f t="shared" si="523"/>
        <v>-1.9566507381474363E-2</v>
      </c>
      <c r="AD102" s="42">
        <f>Tabla1[[#This Row],[Avg Agua)]]/Tabla1[[#This Row],[Avg Musculo]]</f>
        <v>2.0259279525068772</v>
      </c>
    </row>
    <row r="103" spans="1:39" x14ac:dyDescent="0.3">
      <c r="A103">
        <v>4</v>
      </c>
      <c r="B103">
        <v>18</v>
      </c>
      <c r="C103" t="s">
        <v>24</v>
      </c>
      <c r="D103" s="4">
        <v>45231</v>
      </c>
      <c r="E103" s="6">
        <v>91.05</v>
      </c>
      <c r="F103" s="7">
        <f t="shared" si="85"/>
        <v>25.761090991398824</v>
      </c>
      <c r="G103" s="9">
        <v>0.18099999999999999</v>
      </c>
      <c r="H103" s="6">
        <f t="shared" si="291"/>
        <v>74.569950000000006</v>
      </c>
      <c r="I103" s="6">
        <f t="shared" si="292"/>
        <v>22.704500000000007</v>
      </c>
      <c r="J103">
        <v>3.7</v>
      </c>
      <c r="K103" s="5">
        <v>0.08</v>
      </c>
      <c r="L103" s="17">
        <v>2164</v>
      </c>
      <c r="M103" s="5">
        <v>0.52900000000000003</v>
      </c>
      <c r="N103" s="6">
        <f t="shared" si="304"/>
        <v>16.480049999999999</v>
      </c>
      <c r="O103" s="21">
        <f t="shared" si="426"/>
        <v>48.16545</v>
      </c>
      <c r="P103" s="8">
        <f t="shared" si="341"/>
        <v>47.507107142857144</v>
      </c>
      <c r="Q103" s="8">
        <f t="shared" si="437"/>
        <v>68.345499999999987</v>
      </c>
      <c r="R103" s="6">
        <f t="shared" si="438"/>
        <v>22.704500000000007</v>
      </c>
      <c r="S103" s="6">
        <f t="shared" si="439"/>
        <v>7.2839999999999998</v>
      </c>
      <c r="T103" s="6">
        <f t="shared" ref="T103" si="529">I103-I102</f>
        <v>-0.22919999999999874</v>
      </c>
      <c r="U103" s="6">
        <f t="shared" ref="U103" si="530">N103-N102</f>
        <v>0.29984999999999928</v>
      </c>
      <c r="V103" s="6">
        <f t="shared" ref="V103" si="531">E103-E102</f>
        <v>0.14999999999999147</v>
      </c>
      <c r="W103" s="9">
        <f>Tabla1[[#This Row],[Protein]]/Tabla1[[#This Row],[Peso (Kg)]]</f>
        <v>0.24936298736957724</v>
      </c>
      <c r="X103" s="9">
        <f t="shared" si="345"/>
        <v>0.25933916906271964</v>
      </c>
      <c r="Y103" s="6">
        <f t="shared" si="443"/>
        <v>42.884550000000004</v>
      </c>
      <c r="Z103" s="6">
        <f t="shared" si="346"/>
        <v>90.364285714285714</v>
      </c>
      <c r="AA103" s="6">
        <f t="shared" ref="AA103" si="532">AVERAGE(N97:N103)</f>
        <v>15.725750000000001</v>
      </c>
      <c r="AB103" s="6">
        <f t="shared" ref="AB103" si="533">AVERAGE(R97:R103)</f>
        <v>23.431428571428572</v>
      </c>
      <c r="AC103" s="6">
        <f t="shared" ref="AC103" si="534">100*(AB103/AB102-1)</f>
        <v>-2.2862542772172922E-3</v>
      </c>
      <c r="AD103" s="42">
        <f>Tabla1[[#This Row],[Avg Agua)]]/Tabla1[[#This Row],[Avg Musculo]]</f>
        <v>2.0274951225460311</v>
      </c>
      <c r="AG103" s="10">
        <f>E103-E75</f>
        <v>4.9999999999997158E-2</v>
      </c>
      <c r="AH103" s="10">
        <f>I103-I75</f>
        <v>-1.0774999999999935</v>
      </c>
      <c r="AI103" s="10">
        <f>N103-N75</f>
        <v>0.5550499999999996</v>
      </c>
      <c r="AJ103" s="10">
        <f>O103-O75</f>
        <v>0.57244999999999635</v>
      </c>
      <c r="AK103" s="10">
        <f>S103-S75</f>
        <v>0.45899999999999963</v>
      </c>
      <c r="AL103" s="10">
        <f>Y103-Y75</f>
        <v>-0.52244999999999919</v>
      </c>
    </row>
    <row r="104" spans="1:39" x14ac:dyDescent="0.3">
      <c r="A104">
        <v>4</v>
      </c>
      <c r="B104">
        <v>18</v>
      </c>
      <c r="C104" t="s">
        <v>22</v>
      </c>
      <c r="D104" s="4">
        <v>45232</v>
      </c>
      <c r="E104" s="6">
        <v>90.4</v>
      </c>
      <c r="F104" s="7">
        <f t="shared" si="85"/>
        <v>25.577184246265283</v>
      </c>
      <c r="G104" s="9">
        <v>0.17100000000000001</v>
      </c>
      <c r="H104" s="6">
        <f t="shared" si="291"/>
        <v>74.941600000000008</v>
      </c>
      <c r="I104" s="6">
        <f t="shared" si="292"/>
        <v>23.872000000000003</v>
      </c>
      <c r="J104">
        <v>3.7</v>
      </c>
      <c r="K104" s="5">
        <v>7.4999999999999997E-2</v>
      </c>
      <c r="L104" s="17">
        <v>2171</v>
      </c>
      <c r="M104" s="5">
        <v>0.52400000000000002</v>
      </c>
      <c r="N104" s="6">
        <f t="shared" si="304"/>
        <v>15.458400000000003</v>
      </c>
      <c r="O104" s="21">
        <f t="shared" si="426"/>
        <v>47.369600000000005</v>
      </c>
      <c r="P104" s="8">
        <f t="shared" si="341"/>
        <v>47.488792857142862</v>
      </c>
      <c r="Q104" s="8">
        <f t="shared" si="437"/>
        <v>66.528000000000006</v>
      </c>
      <c r="R104" s="6">
        <f t="shared" si="438"/>
        <v>23.872000000000003</v>
      </c>
      <c r="S104" s="6">
        <f t="shared" si="439"/>
        <v>6.78</v>
      </c>
      <c r="T104" s="6">
        <f t="shared" ref="T104" si="535">I104-I103</f>
        <v>1.1674999999999969</v>
      </c>
      <c r="U104" s="6">
        <f t="shared" ref="U104" si="536">N104-N103</f>
        <v>-1.0216499999999957</v>
      </c>
      <c r="V104" s="6">
        <f t="shared" ref="V104" si="537">E104-E103</f>
        <v>-0.64999999999999147</v>
      </c>
      <c r="W104" s="9">
        <f>Tabla1[[#This Row],[Protein]]/Tabla1[[#This Row],[Peso (Kg)]]</f>
        <v>0.264070796460177</v>
      </c>
      <c r="X104" s="9">
        <f t="shared" si="345"/>
        <v>0.26077421560654812</v>
      </c>
      <c r="Y104" s="6">
        <f t="shared" si="443"/>
        <v>43.030400000000007</v>
      </c>
      <c r="Z104" s="6">
        <f t="shared" si="346"/>
        <v>90.378571428571419</v>
      </c>
      <c r="AA104" s="6">
        <f t="shared" ref="AA104" si="538">AVERAGE(N98:N104)</f>
        <v>15.624992857142857</v>
      </c>
      <c r="AB104" s="6">
        <f t="shared" ref="AB104" si="539">AVERAGE(R98:R104)</f>
        <v>23.564785714285716</v>
      </c>
      <c r="AC104" s="6">
        <f t="shared" ref="AC104" si="540">100*(AB104/AB103-1)</f>
        <v>0.56913791001098613</v>
      </c>
      <c r="AD104" s="42">
        <f>Tabla1[[#This Row],[Avg Agua)]]/Tabla1[[#This Row],[Avg Musculo]]</f>
        <v>2.0152439930040891</v>
      </c>
    </row>
    <row r="105" spans="1:39" x14ac:dyDescent="0.3">
      <c r="A105">
        <v>4</v>
      </c>
      <c r="B105">
        <v>18</v>
      </c>
      <c r="C105" t="s">
        <v>20</v>
      </c>
      <c r="D105" s="4">
        <v>45233</v>
      </c>
      <c r="E105" s="6">
        <v>89.5</v>
      </c>
      <c r="F105" s="7">
        <f t="shared" si="85"/>
        <v>25.322544137618834</v>
      </c>
      <c r="G105" s="9">
        <v>0.16600000000000001</v>
      </c>
      <c r="H105" s="6">
        <f t="shared" si="291"/>
        <v>74.643000000000001</v>
      </c>
      <c r="I105" s="6">
        <f t="shared" si="292"/>
        <v>24.492500000000003</v>
      </c>
      <c r="J105">
        <v>3.7</v>
      </c>
      <c r="K105" s="5">
        <v>7.4999999999999997E-2</v>
      </c>
      <c r="L105" s="17">
        <v>2171</v>
      </c>
      <c r="M105" s="5">
        <v>0.51900000000000002</v>
      </c>
      <c r="N105" s="6">
        <f t="shared" si="304"/>
        <v>14.857000000000001</v>
      </c>
      <c r="O105" s="21">
        <f t="shared" si="426"/>
        <v>46.450499999999998</v>
      </c>
      <c r="P105" s="8">
        <f t="shared" si="341"/>
        <v>47.257978571428573</v>
      </c>
      <c r="Q105" s="8">
        <f t="shared" si="437"/>
        <v>65.007499999999993</v>
      </c>
      <c r="R105" s="6">
        <f t="shared" si="438"/>
        <v>24.492500000000003</v>
      </c>
      <c r="S105" s="6">
        <f t="shared" ref="S105:S119" si="541">K105*E105</f>
        <v>6.7124999999999995</v>
      </c>
      <c r="T105" s="6">
        <f t="shared" ref="T105" si="542">I105-I104</f>
        <v>0.62049999999999983</v>
      </c>
      <c r="U105" s="6">
        <f t="shared" ref="U105" si="543">N105-N104</f>
        <v>-0.60140000000000171</v>
      </c>
      <c r="V105" s="6">
        <f t="shared" ref="V105" si="544">E105-E104</f>
        <v>-0.90000000000000568</v>
      </c>
      <c r="W105" s="9">
        <f>Tabla1[[#This Row],[Protein]]/Tabla1[[#This Row],[Peso (Kg)]]</f>
        <v>0.27365921787709502</v>
      </c>
      <c r="X105" s="9">
        <f t="shared" si="345"/>
        <v>0.263861511574918</v>
      </c>
      <c r="Y105" s="6">
        <f t="shared" ref="Y105" si="545">R105+N105+J105</f>
        <v>43.049500000000009</v>
      </c>
      <c r="Z105" s="6">
        <f t="shared" si="346"/>
        <v>90.257142857142867</v>
      </c>
      <c r="AA105" s="6">
        <f t="shared" ref="AA105" si="546">AVERAGE(N99:N105)</f>
        <v>15.488671428571427</v>
      </c>
      <c r="AB105" s="6">
        <f t="shared" ref="AB105" si="547">AVERAGE(R99:R105)</f>
        <v>23.810492857142862</v>
      </c>
      <c r="AC105" s="6">
        <f t="shared" ref="AC105" si="548">100*(AB105/AB104-1)</f>
        <v>1.0426877877705021</v>
      </c>
      <c r="AD105" s="42">
        <f>Tabla1[[#This Row],[Avg Agua)]]/Tabla1[[#This Row],[Avg Musculo]]</f>
        <v>1.9847543204991553</v>
      </c>
    </row>
    <row r="106" spans="1:39" x14ac:dyDescent="0.3">
      <c r="A106">
        <v>4</v>
      </c>
      <c r="B106">
        <v>18</v>
      </c>
      <c r="C106" t="s">
        <v>25</v>
      </c>
      <c r="D106" s="4">
        <v>45234</v>
      </c>
      <c r="E106" s="6">
        <v>89.9</v>
      </c>
      <c r="F106" s="7">
        <f t="shared" si="85"/>
        <v>25.435717519239478</v>
      </c>
      <c r="G106" s="9">
        <v>0.16800000000000001</v>
      </c>
      <c r="H106" s="6">
        <f t="shared" si="291"/>
        <v>74.796800000000005</v>
      </c>
      <c r="I106" s="6">
        <f t="shared" si="292"/>
        <v>24.258900000000001</v>
      </c>
      <c r="J106">
        <v>3.7</v>
      </c>
      <c r="K106" s="5">
        <v>7.4999999999999997E-2</v>
      </c>
      <c r="L106" s="17">
        <v>2165</v>
      </c>
      <c r="M106" s="5">
        <v>0.52100000000000002</v>
      </c>
      <c r="N106" s="6">
        <f t="shared" si="304"/>
        <v>15.103200000000001</v>
      </c>
      <c r="O106" s="21">
        <f t="shared" si="426"/>
        <v>46.837900000000005</v>
      </c>
      <c r="P106" s="8">
        <f t="shared" si="341"/>
        <v>47.231928571428568</v>
      </c>
      <c r="Q106" s="8">
        <f t="shared" si="437"/>
        <v>65.641100000000009</v>
      </c>
      <c r="R106" s="6">
        <f t="shared" si="438"/>
        <v>24.258900000000001</v>
      </c>
      <c r="S106" s="6">
        <f t="shared" si="541"/>
        <v>6.7425000000000006</v>
      </c>
      <c r="T106" s="6">
        <f t="shared" ref="T106" si="549">I106-I105</f>
        <v>-0.23360000000000269</v>
      </c>
      <c r="U106" s="6">
        <f t="shared" ref="U106" si="550">N106-N105</f>
        <v>0.24619999999999997</v>
      </c>
      <c r="V106" s="6">
        <f t="shared" ref="V106" si="551">E106-E105</f>
        <v>0.40000000000000568</v>
      </c>
      <c r="W106" s="9">
        <f>Tabla1[[#This Row],[Protein]]/Tabla1[[#This Row],[Peso (Kg)]]</f>
        <v>0.26984315906562845</v>
      </c>
      <c r="X106" s="9">
        <f t="shared" si="345"/>
        <v>0.26441013857242174</v>
      </c>
      <c r="Y106" s="6">
        <f t="shared" ref="Y106" si="552">R106+N106+J106</f>
        <v>43.062100000000001</v>
      </c>
      <c r="Z106" s="6">
        <f t="shared" si="346"/>
        <v>90.20714285714287</v>
      </c>
      <c r="AA106" s="6">
        <f t="shared" ref="AA106" si="553">AVERAGE(N100:N106)</f>
        <v>15.428700000000001</v>
      </c>
      <c r="AB106" s="6">
        <f t="shared" ref="AB106" si="554">AVERAGE(R100:R106)</f>
        <v>23.846514285714289</v>
      </c>
      <c r="AC106" s="6">
        <f t="shared" ref="AC106" si="555">100*(AB106/AB105-1)</f>
        <v>0.15128384274758488</v>
      </c>
      <c r="AD106" s="42">
        <f>Tabla1[[#This Row],[Avg Agua)]]/Tabla1[[#This Row],[Avg Musculo]]</f>
        <v>1.9806638406571546</v>
      </c>
    </row>
    <row r="107" spans="1:39" x14ac:dyDescent="0.3">
      <c r="A107">
        <v>4</v>
      </c>
      <c r="B107">
        <v>18</v>
      </c>
      <c r="C107" t="s">
        <v>26</v>
      </c>
      <c r="D107" s="4">
        <v>45235</v>
      </c>
      <c r="E107" s="6">
        <v>89.35</v>
      </c>
      <c r="F107" s="7">
        <f t="shared" si="85"/>
        <v>25.28010411951109</v>
      </c>
      <c r="G107" s="9">
        <v>0.16300000000000001</v>
      </c>
      <c r="H107" s="6">
        <f t="shared" si="291"/>
        <v>74.78595</v>
      </c>
      <c r="I107" s="6">
        <f t="shared" si="292"/>
        <v>24.08785</v>
      </c>
      <c r="J107">
        <v>3.7</v>
      </c>
      <c r="K107" s="5">
        <v>7.0000000000000007E-2</v>
      </c>
      <c r="L107" s="17">
        <v>2164</v>
      </c>
      <c r="M107" s="5">
        <v>0.52600000000000002</v>
      </c>
      <c r="N107" s="6">
        <f t="shared" si="304"/>
        <v>14.56405</v>
      </c>
      <c r="O107" s="21">
        <f t="shared" si="426"/>
        <v>46.998100000000001</v>
      </c>
      <c r="P107" s="8">
        <f t="shared" si="341"/>
        <v>47.28830714285715</v>
      </c>
      <c r="Q107" s="8">
        <f t="shared" si="437"/>
        <v>65.262149999999991</v>
      </c>
      <c r="R107" s="6">
        <f t="shared" si="438"/>
        <v>24.08785</v>
      </c>
      <c r="S107" s="6">
        <f t="shared" si="541"/>
        <v>6.2545000000000002</v>
      </c>
      <c r="T107" s="6">
        <f t="shared" ref="T107" si="556">I107-I106</f>
        <v>-0.17105000000000103</v>
      </c>
      <c r="U107" s="6">
        <f t="shared" ref="U107" si="557">N107-N106</f>
        <v>-0.53915000000000113</v>
      </c>
      <c r="V107" s="6">
        <f t="shared" ref="V107" si="558">E107-E106</f>
        <v>-0.55000000000001137</v>
      </c>
      <c r="W107" s="9">
        <f>Tabla1[[#This Row],[Protein]]/Tabla1[[#This Row],[Peso (Kg)]]</f>
        <v>0.26958981533296028</v>
      </c>
      <c r="X107" s="9">
        <f t="shared" si="345"/>
        <v>0.26383209654021422</v>
      </c>
      <c r="Y107" s="6">
        <f t="shared" ref="Y107:Y121" si="559">R107+N107+J107</f>
        <v>42.351900000000001</v>
      </c>
      <c r="Z107" s="6">
        <f t="shared" si="346"/>
        <v>90.19285714285715</v>
      </c>
      <c r="AA107" s="6">
        <f t="shared" ref="AA107" si="560">AVERAGE(N101:N107)</f>
        <v>15.413592857142858</v>
      </c>
      <c r="AB107" s="6">
        <f t="shared" ref="AB107" si="561">AVERAGE(R101:R107)</f>
        <v>23.790957142857145</v>
      </c>
      <c r="AC107" s="6">
        <f t="shared" ref="AC107" si="562">100*(AB107/AB106-1)</f>
        <v>-0.23297804530880706</v>
      </c>
      <c r="AD107" s="42">
        <f>Tabla1[[#This Row],[Avg Agua)]]/Tabla1[[#This Row],[Avg Musculo]]</f>
        <v>1.9876588763918104</v>
      </c>
    </row>
    <row r="108" spans="1:39" x14ac:dyDescent="0.3">
      <c r="A108">
        <v>4</v>
      </c>
      <c r="B108">
        <v>19</v>
      </c>
      <c r="C108" t="s">
        <v>25</v>
      </c>
      <c r="D108" s="4">
        <v>45241</v>
      </c>
      <c r="E108" s="6">
        <v>90.05</v>
      </c>
      <c r="F108" s="7">
        <f t="shared" si="85"/>
        <v>25.478157537347215</v>
      </c>
      <c r="G108" s="9">
        <v>0.17100000000000001</v>
      </c>
      <c r="H108" s="6">
        <f t="shared" si="291"/>
        <v>74.651449999999997</v>
      </c>
      <c r="I108" s="6">
        <f t="shared" si="292"/>
        <v>23.855299999999996</v>
      </c>
      <c r="J108">
        <v>3.7</v>
      </c>
      <c r="K108" s="5">
        <v>7.4999999999999997E-2</v>
      </c>
      <c r="L108" s="17">
        <v>2163</v>
      </c>
      <c r="M108" s="5">
        <v>0.52300000000000002</v>
      </c>
      <c r="N108" s="6">
        <f t="shared" si="304"/>
        <v>15.39855</v>
      </c>
      <c r="O108" s="21">
        <f t="shared" si="426"/>
        <v>47.096150000000002</v>
      </c>
      <c r="P108" s="8">
        <f t="shared" si="341"/>
        <v>47.286257142857153</v>
      </c>
      <c r="Q108" s="8">
        <f t="shared" si="437"/>
        <v>66.194699999999997</v>
      </c>
      <c r="R108" s="6">
        <f t="shared" si="438"/>
        <v>23.855299999999996</v>
      </c>
      <c r="S108" s="6">
        <f t="shared" si="541"/>
        <v>6.7537499999999993</v>
      </c>
      <c r="T108" s="6">
        <f t="shared" ref="T108" si="563">I108-I107</f>
        <v>-0.23255000000000337</v>
      </c>
      <c r="U108" s="6">
        <f t="shared" ref="U108" si="564">N108-N107</f>
        <v>0.83450000000000024</v>
      </c>
      <c r="V108" s="6">
        <f t="shared" ref="V108" si="565">E108-E107</f>
        <v>0.70000000000000284</v>
      </c>
      <c r="W108" s="9">
        <f>Tabla1[[#This Row],[Protein]]/Tabla1[[#This Row],[Peso (Kg)]]</f>
        <v>0.26491171571349248</v>
      </c>
      <c r="X108" s="9">
        <f t="shared" si="345"/>
        <v>0.26339051734455571</v>
      </c>
      <c r="Y108" s="6">
        <f t="shared" si="559"/>
        <v>42.953850000000003</v>
      </c>
      <c r="Z108" s="6">
        <f t="shared" si="346"/>
        <v>90.164285714285711</v>
      </c>
      <c r="AA108" s="6">
        <f t="shared" ref="AA108" si="566">AVERAGE(N102:N108)</f>
        <v>15.434492857142857</v>
      </c>
      <c r="AB108" s="6">
        <f t="shared" ref="AB108" si="567">AVERAGE(R102:R108)</f>
        <v>23.743535714285716</v>
      </c>
      <c r="AC108" s="6">
        <f t="shared" ref="AC108" si="568">100*(AB108/AB107-1)</f>
        <v>-0.19932543397341851</v>
      </c>
      <c r="AD108" s="42">
        <f>Tabla1[[#This Row],[Avg Agua)]]/Tabla1[[#This Row],[Avg Musculo]]</f>
        <v>1.9915423596497697</v>
      </c>
      <c r="AE108" t="s">
        <v>47</v>
      </c>
    </row>
    <row r="109" spans="1:39" x14ac:dyDescent="0.3">
      <c r="A109">
        <v>4</v>
      </c>
      <c r="B109">
        <v>19</v>
      </c>
      <c r="C109" t="s">
        <v>26</v>
      </c>
      <c r="D109" s="4">
        <v>45242</v>
      </c>
      <c r="E109" s="6">
        <v>90.8</v>
      </c>
      <c r="F109" s="7">
        <f t="shared" si="85"/>
        <v>25.690357627885923</v>
      </c>
      <c r="G109" s="9">
        <v>0.17799999999999999</v>
      </c>
      <c r="H109" s="6">
        <f t="shared" si="291"/>
        <v>74.637599999999992</v>
      </c>
      <c r="I109" s="6">
        <f t="shared" si="292"/>
        <v>23.176799999999989</v>
      </c>
      <c r="J109">
        <v>3.7</v>
      </c>
      <c r="K109" s="5">
        <v>0.08</v>
      </c>
      <c r="L109" s="17">
        <v>2164</v>
      </c>
      <c r="M109" s="5">
        <v>0.52600000000000002</v>
      </c>
      <c r="N109" s="6">
        <f t="shared" si="304"/>
        <v>16.162399999999998</v>
      </c>
      <c r="O109" s="21">
        <f t="shared" si="426"/>
        <v>47.760800000000003</v>
      </c>
      <c r="P109" s="8">
        <f t="shared" si="341"/>
        <v>47.239785714285723</v>
      </c>
      <c r="Q109" s="8">
        <f t="shared" si="437"/>
        <v>67.623200000000011</v>
      </c>
      <c r="R109" s="6">
        <f t="shared" si="438"/>
        <v>23.176799999999989</v>
      </c>
      <c r="S109" s="6">
        <f t="shared" si="541"/>
        <v>7.2640000000000002</v>
      </c>
      <c r="T109" s="6">
        <f t="shared" ref="T109" si="569">I109-I108</f>
        <v>-0.67850000000000676</v>
      </c>
      <c r="U109" s="6">
        <f t="shared" ref="U109" si="570">N109-N108</f>
        <v>0.76384999999999792</v>
      </c>
      <c r="V109" s="6">
        <f t="shared" ref="V109" si="571">E109-E108</f>
        <v>0.75</v>
      </c>
      <c r="W109" s="9">
        <f>Tabla1[[#This Row],[Protein]]/Tabla1[[#This Row],[Peso (Kg)]]</f>
        <v>0.25525110132158579</v>
      </c>
      <c r="X109" s="9">
        <f t="shared" si="345"/>
        <v>0.26381268473435948</v>
      </c>
      <c r="Y109" s="6">
        <f t="shared" si="559"/>
        <v>43.039199999999994</v>
      </c>
      <c r="Z109" s="6">
        <f t="shared" si="346"/>
        <v>90.149999999999991</v>
      </c>
      <c r="AA109" s="6">
        <f t="shared" ref="AA109" si="572">AVERAGE(N103:N109)</f>
        <v>15.431950000000001</v>
      </c>
      <c r="AB109" s="6">
        <f t="shared" ref="AB109" si="573">AVERAGE(R103:R109)</f>
        <v>23.778264285714283</v>
      </c>
      <c r="AC109" s="6">
        <f t="shared" ref="AC109" si="574">100*(AB109/AB108-1)</f>
        <v>0.14626537448536592</v>
      </c>
      <c r="AD109" s="42">
        <f>Tabla1[[#This Row],[Avg Agua)]]/Tabla1[[#This Row],[Avg Musculo]]</f>
        <v>1.9866793112677641</v>
      </c>
    </row>
    <row r="110" spans="1:39" x14ac:dyDescent="0.3">
      <c r="A110">
        <v>4</v>
      </c>
      <c r="B110">
        <v>20</v>
      </c>
      <c r="C110" t="s">
        <v>21</v>
      </c>
      <c r="D110" s="4">
        <v>45243</v>
      </c>
      <c r="E110" s="6">
        <v>91</v>
      </c>
      <c r="F110" s="7">
        <f t="shared" si="85"/>
        <v>25.746944318696244</v>
      </c>
      <c r="G110" s="9">
        <v>0.17799999999999999</v>
      </c>
      <c r="H110" s="6">
        <f t="shared" si="291"/>
        <v>74.801999999999992</v>
      </c>
      <c r="I110" s="6">
        <f t="shared" si="292"/>
        <v>23.50899999999999</v>
      </c>
      <c r="J110">
        <v>3.7</v>
      </c>
      <c r="K110" s="5">
        <v>0.08</v>
      </c>
      <c r="L110" s="17">
        <v>2171</v>
      </c>
      <c r="M110" s="5">
        <v>0.52300000000000002</v>
      </c>
      <c r="N110" s="6">
        <f t="shared" si="304"/>
        <v>16.198</v>
      </c>
      <c r="O110" s="21">
        <f t="shared" si="426"/>
        <v>47.593000000000004</v>
      </c>
      <c r="P110" s="8">
        <f t="shared" si="341"/>
        <v>47.158007142857151</v>
      </c>
      <c r="Q110" s="8">
        <f t="shared" si="437"/>
        <v>67.491000000000014</v>
      </c>
      <c r="R110" s="6">
        <f t="shared" si="438"/>
        <v>23.50899999999999</v>
      </c>
      <c r="S110" s="6">
        <f t="shared" si="541"/>
        <v>7.28</v>
      </c>
      <c r="T110" s="6">
        <f t="shared" ref="T110" si="575">I110-I109</f>
        <v>0.33220000000000027</v>
      </c>
      <c r="U110" s="6">
        <f t="shared" ref="U110" si="576">N110-N109</f>
        <v>3.5600000000002296E-2</v>
      </c>
      <c r="V110" s="6">
        <f t="shared" ref="V110" si="577">E110-E109</f>
        <v>0.20000000000000284</v>
      </c>
      <c r="W110" s="9">
        <f>Tabla1[[#This Row],[Protein]]/Tabla1[[#This Row],[Peso (Kg)]]</f>
        <v>0.25834065934065925</v>
      </c>
      <c r="X110" s="9">
        <f t="shared" si="345"/>
        <v>0.26509520930165686</v>
      </c>
      <c r="Y110" s="6">
        <f t="shared" si="559"/>
        <v>43.406999999999996</v>
      </c>
      <c r="Z110" s="6">
        <f t="shared" si="346"/>
        <v>90.142857142857139</v>
      </c>
      <c r="AA110" s="6">
        <f t="shared" ref="AA110" si="578">AVERAGE(N104:N110)</f>
        <v>15.391657142857143</v>
      </c>
      <c r="AB110" s="6">
        <f t="shared" ref="AB110" si="579">AVERAGE(R104:R110)</f>
        <v>23.893192857142854</v>
      </c>
      <c r="AC110" s="6">
        <f t="shared" ref="AC110:AC114" si="580">100*(AB110/AB109-1)</f>
        <v>0.48333456995690582</v>
      </c>
      <c r="AD110" s="42">
        <f>Tabla1[[#This Row],[Avg Agua)]]/Tabla1[[#This Row],[Avg Musculo]]</f>
        <v>1.9737005190061612</v>
      </c>
      <c r="AE110" t="s">
        <v>48</v>
      </c>
    </row>
    <row r="111" spans="1:39" x14ac:dyDescent="0.3">
      <c r="A111">
        <v>4</v>
      </c>
      <c r="B111">
        <v>20</v>
      </c>
      <c r="C111" t="s">
        <v>23</v>
      </c>
      <c r="D111" s="4">
        <v>45244</v>
      </c>
      <c r="E111" s="6">
        <v>90.5</v>
      </c>
      <c r="F111" s="7">
        <f t="shared" si="85"/>
        <v>25.605477591670439</v>
      </c>
      <c r="G111" s="9">
        <v>0.17199999999999999</v>
      </c>
      <c r="H111" s="6">
        <f t="shared" si="291"/>
        <v>74.933999999999997</v>
      </c>
      <c r="I111" s="6">
        <f t="shared" si="292"/>
        <v>24.354999999999993</v>
      </c>
      <c r="J111">
        <v>3.7</v>
      </c>
      <c r="K111" s="5">
        <v>7.4999999999999997E-2</v>
      </c>
      <c r="L111" s="17">
        <v>2172</v>
      </c>
      <c r="M111" s="5">
        <v>0.51800000000000002</v>
      </c>
      <c r="N111" s="6">
        <f t="shared" si="304"/>
        <v>15.565999999999999</v>
      </c>
      <c r="O111" s="21">
        <f t="shared" si="426"/>
        <v>46.879000000000005</v>
      </c>
      <c r="P111" s="8">
        <f t="shared" si="341"/>
        <v>47.087921428571427</v>
      </c>
      <c r="Q111" s="8">
        <f t="shared" si="437"/>
        <v>66.14500000000001</v>
      </c>
      <c r="R111" s="6">
        <f t="shared" si="438"/>
        <v>24.354999999999993</v>
      </c>
      <c r="S111" s="6">
        <f t="shared" si="541"/>
        <v>6.7874999999999996</v>
      </c>
      <c r="T111" s="6">
        <f t="shared" ref="T111" si="581">I111-I110</f>
        <v>0.84600000000000364</v>
      </c>
      <c r="U111" s="6">
        <f t="shared" ref="U111" si="582">N111-N110</f>
        <v>-0.63200000000000145</v>
      </c>
      <c r="V111" s="6">
        <f t="shared" ref="V111" si="583">E111-E110</f>
        <v>-0.5</v>
      </c>
      <c r="W111" s="9">
        <f>Tabla1[[#This Row],[Protein]]/Tabla1[[#This Row],[Peso (Kg)]]</f>
        <v>0.26911602209944746</v>
      </c>
      <c r="X111" s="9">
        <f t="shared" si="345"/>
        <v>0.26581595582155265</v>
      </c>
      <c r="Y111" s="6">
        <f t="shared" si="559"/>
        <v>43.620999999999995</v>
      </c>
      <c r="Z111" s="6">
        <f t="shared" si="346"/>
        <v>90.157142857142858</v>
      </c>
      <c r="AA111" s="6">
        <f t="shared" ref="AA111" si="584">AVERAGE(N105:N111)</f>
        <v>15.407028571428571</v>
      </c>
      <c r="AB111" s="6">
        <f t="shared" ref="AB111" si="585">AVERAGE(R105:R111)</f>
        <v>23.962192857142856</v>
      </c>
      <c r="AC111" s="6">
        <f t="shared" si="580"/>
        <v>0.2887851799989738</v>
      </c>
      <c r="AD111" s="42">
        <f>Tabla1[[#This Row],[Avg Agua)]]/Tabla1[[#This Row],[Avg Musculo]]</f>
        <v>1.9650923314614361</v>
      </c>
    </row>
    <row r="112" spans="1:39" x14ac:dyDescent="0.3">
      <c r="A112">
        <v>4</v>
      </c>
      <c r="B112">
        <v>20</v>
      </c>
      <c r="C112" t="s">
        <v>24</v>
      </c>
      <c r="D112" s="4">
        <v>45245</v>
      </c>
      <c r="E112" s="6">
        <v>90.1</v>
      </c>
      <c r="F112" s="7">
        <f t="shared" si="85"/>
        <v>25.492304210049795</v>
      </c>
      <c r="G112" s="9">
        <v>0.17299999999999999</v>
      </c>
      <c r="H112" s="6">
        <f t="shared" si="291"/>
        <v>74.512699999999995</v>
      </c>
      <c r="I112" s="6">
        <f t="shared" si="292"/>
        <v>23.960699999999999</v>
      </c>
      <c r="J112">
        <v>3.7</v>
      </c>
      <c r="K112" s="5">
        <v>7.4999999999999997E-2</v>
      </c>
      <c r="L112" s="17">
        <v>2157</v>
      </c>
      <c r="M112" s="5">
        <v>0.52</v>
      </c>
      <c r="N112" s="6">
        <f t="shared" si="304"/>
        <v>15.587299999999997</v>
      </c>
      <c r="O112" s="21">
        <f t="shared" si="426"/>
        <v>46.851999999999997</v>
      </c>
      <c r="P112" s="8">
        <f t="shared" si="341"/>
        <v>47.14527857142857</v>
      </c>
      <c r="Q112" s="8">
        <f t="shared" si="437"/>
        <v>66.139299999999992</v>
      </c>
      <c r="R112" s="6">
        <f t="shared" si="438"/>
        <v>23.960699999999999</v>
      </c>
      <c r="S112" s="6">
        <f t="shared" si="541"/>
        <v>6.7574999999999994</v>
      </c>
      <c r="T112" s="6">
        <f t="shared" ref="T112" si="586">I112-I111</f>
        <v>-0.3942999999999941</v>
      </c>
      <c r="U112" s="6">
        <f t="shared" ref="U112" si="587">N112-N111</f>
        <v>2.129999999999832E-2</v>
      </c>
      <c r="V112" s="6">
        <f t="shared" ref="V112" si="588">E112-E111</f>
        <v>-0.40000000000000568</v>
      </c>
      <c r="W112" s="9">
        <f>Tabla1[[#This Row],[Protein]]/Tabla1[[#This Row],[Peso (Kg)]]</f>
        <v>0.26593451720310768</v>
      </c>
      <c r="X112" s="9">
        <f t="shared" si="345"/>
        <v>0.26471242715384019</v>
      </c>
      <c r="Y112" s="6">
        <f t="shared" si="559"/>
        <v>43.247999999999998</v>
      </c>
      <c r="Z112" s="6">
        <f t="shared" si="346"/>
        <v>90.242857142857147</v>
      </c>
      <c r="AA112" s="6">
        <f t="shared" ref="AA112" si="589">AVERAGE(N106:N112)</f>
        <v>15.511357142857142</v>
      </c>
      <c r="AB112" s="6">
        <f t="shared" ref="AB112" si="590">AVERAGE(R106:R112)</f>
        <v>23.886221428571424</v>
      </c>
      <c r="AC112" s="6">
        <f t="shared" si="580"/>
        <v>-0.3170470625303623</v>
      </c>
      <c r="AD112" s="42">
        <f>Tabla1[[#This Row],[Avg Agua)]]/Tabla1[[#This Row],[Avg Musculo]]</f>
        <v>1.9737436794852743</v>
      </c>
    </row>
    <row r="113" spans="1:38" x14ac:dyDescent="0.3">
      <c r="A113">
        <v>4</v>
      </c>
      <c r="B113">
        <v>20</v>
      </c>
      <c r="C113" t="s">
        <v>22</v>
      </c>
      <c r="D113" s="4">
        <v>45246</v>
      </c>
      <c r="E113" s="6">
        <v>90.35</v>
      </c>
      <c r="F113" s="7">
        <f t="shared" si="85"/>
        <v>25.563037573562699</v>
      </c>
      <c r="G113" s="9">
        <v>0.17499999999999999</v>
      </c>
      <c r="H113" s="6">
        <f t="shared" si="291"/>
        <v>74.538749999999993</v>
      </c>
      <c r="I113" s="6">
        <f t="shared" si="292"/>
        <v>24.308499999999999</v>
      </c>
      <c r="J113">
        <v>3.7</v>
      </c>
      <c r="K113" s="5">
        <v>7.4999999999999997E-2</v>
      </c>
      <c r="L113" s="17">
        <v>2159</v>
      </c>
      <c r="M113" s="5">
        <v>0.51500000000000001</v>
      </c>
      <c r="N113" s="6">
        <f t="shared" si="304"/>
        <v>15.811249999999998</v>
      </c>
      <c r="O113" s="21">
        <f t="shared" si="426"/>
        <v>46.530249999999995</v>
      </c>
      <c r="P113" s="8">
        <f t="shared" si="341"/>
        <v>47.101328571428567</v>
      </c>
      <c r="Q113" s="8">
        <f t="shared" si="437"/>
        <v>66.041499999999999</v>
      </c>
      <c r="R113" s="6">
        <f t="shared" si="438"/>
        <v>24.308499999999999</v>
      </c>
      <c r="S113" s="6">
        <f t="shared" si="541"/>
        <v>6.7762499999999992</v>
      </c>
      <c r="T113" s="6">
        <f t="shared" ref="T113" si="591">I113-I112</f>
        <v>0.34779999999999944</v>
      </c>
      <c r="U113" s="6">
        <f t="shared" ref="U113" si="592">N113-N112</f>
        <v>0.22395000000000032</v>
      </c>
      <c r="V113" s="6">
        <f t="shared" ref="V113" si="593">E113-E112</f>
        <v>0.25</v>
      </c>
      <c r="W113" s="9">
        <f>Tabla1[[#This Row],[Protein]]/Tabla1[[#This Row],[Peso (Kg)]]</f>
        <v>0.2690481460985058</v>
      </c>
      <c r="X113" s="9">
        <f t="shared" si="345"/>
        <v>0.26459885387282267</v>
      </c>
      <c r="Y113" s="6">
        <f t="shared" si="559"/>
        <v>43.819749999999999</v>
      </c>
      <c r="Z113" s="6">
        <f t="shared" si="346"/>
        <v>90.30714285714285</v>
      </c>
      <c r="AA113" s="6">
        <f t="shared" ref="AA113" si="594">AVERAGE(N107:N113)</f>
        <v>15.612507142857142</v>
      </c>
      <c r="AB113" s="6">
        <f t="shared" ref="AB113" si="595">AVERAGE(R107:R113)</f>
        <v>23.89330714285714</v>
      </c>
      <c r="AC113" s="6">
        <f t="shared" si="580"/>
        <v>2.9664441933197061E-2</v>
      </c>
      <c r="AD113" s="42">
        <f>Tabla1[[#This Row],[Avg Agua)]]/Tabla1[[#This Row],[Avg Musculo]]</f>
        <v>1.9713189258318902</v>
      </c>
    </row>
    <row r="114" spans="1:38" x14ac:dyDescent="0.3">
      <c r="A114">
        <v>4</v>
      </c>
      <c r="B114">
        <v>20</v>
      </c>
      <c r="C114" t="s">
        <v>25</v>
      </c>
      <c r="D114" s="4">
        <v>45248</v>
      </c>
      <c r="E114" s="6">
        <v>90.55</v>
      </c>
      <c r="F114" s="7">
        <f t="shared" si="85"/>
        <v>25.619624264373019</v>
      </c>
      <c r="G114" s="9">
        <v>0.17599999999999999</v>
      </c>
      <c r="H114" s="6">
        <f t="shared" si="291"/>
        <v>74.613200000000006</v>
      </c>
      <c r="I114" s="6">
        <f t="shared" si="292"/>
        <v>23.283900000000006</v>
      </c>
      <c r="J114">
        <v>3.7</v>
      </c>
      <c r="K114" s="5">
        <v>7.4999999999999997E-2</v>
      </c>
      <c r="L114" s="17">
        <v>2164</v>
      </c>
      <c r="M114" s="5">
        <v>0.52600000000000002</v>
      </c>
      <c r="N114" s="6">
        <f t="shared" si="304"/>
        <v>15.936799999999998</v>
      </c>
      <c r="O114" s="21">
        <f t="shared" si="426"/>
        <v>47.629300000000001</v>
      </c>
      <c r="P114" s="8">
        <f t="shared" si="341"/>
        <v>47.191500000000005</v>
      </c>
      <c r="Q114" s="8">
        <f t="shared" si="437"/>
        <v>67.266099999999994</v>
      </c>
      <c r="R114" s="6">
        <f t="shared" si="438"/>
        <v>23.283900000000006</v>
      </c>
      <c r="S114" s="6">
        <f t="shared" si="541"/>
        <v>6.7912499999999998</v>
      </c>
      <c r="T114" s="6">
        <f t="shared" ref="T114" si="596">I114-I113</f>
        <v>-1.0245999999999924</v>
      </c>
      <c r="U114" s="6">
        <f t="shared" ref="U114" si="597">N114-N113</f>
        <v>0.12555000000000049</v>
      </c>
      <c r="V114" s="6">
        <f t="shared" ref="V114" si="598">E114-E113</f>
        <v>0.20000000000000284</v>
      </c>
      <c r="W114" s="9">
        <f>Tabla1[[#This Row],[Protein]]/Tabla1[[#This Row],[Peso (Kg)]]</f>
        <v>0.25713859745996692</v>
      </c>
      <c r="X114" s="9">
        <f t="shared" si="345"/>
        <v>0.26282010846239506</v>
      </c>
      <c r="Y114" s="6">
        <f t="shared" si="559"/>
        <v>42.920700000000011</v>
      </c>
      <c r="Z114" s="6">
        <f t="shared" si="346"/>
        <v>90.478571428571428</v>
      </c>
      <c r="AA114" s="6">
        <f t="shared" ref="AA114" si="599">AVERAGE(N108:N114)</f>
        <v>15.808614285714286</v>
      </c>
      <c r="AB114" s="6">
        <f t="shared" ref="AB114" si="600">AVERAGE(R108:R114)</f>
        <v>23.778457142857143</v>
      </c>
      <c r="AC114" s="6">
        <f t="shared" si="580"/>
        <v>-0.48067854028458479</v>
      </c>
      <c r="AD114" s="42">
        <f>Tabla1[[#This Row],[Avg Agua)]]/Tabla1[[#This Row],[Avg Musculo]]</f>
        <v>1.9846325485493475</v>
      </c>
    </row>
    <row r="115" spans="1:38" x14ac:dyDescent="0.3">
      <c r="A115">
        <v>4</v>
      </c>
      <c r="B115">
        <v>20</v>
      </c>
      <c r="C115" t="s">
        <v>26</v>
      </c>
      <c r="D115" s="4">
        <v>45249</v>
      </c>
      <c r="E115" s="6">
        <v>90.2</v>
      </c>
      <c r="F115" s="7">
        <f t="shared" si="85"/>
        <v>25.520597555454959</v>
      </c>
      <c r="G115" s="9">
        <v>0.17199999999999999</v>
      </c>
      <c r="H115" s="6">
        <f t="shared" si="291"/>
        <v>74.685600000000008</v>
      </c>
      <c r="I115" s="6">
        <f t="shared" si="292"/>
        <v>23.450200000000006</v>
      </c>
      <c r="J115">
        <v>3.7</v>
      </c>
      <c r="K115" s="5">
        <v>7.4999999999999997E-2</v>
      </c>
      <c r="L115" s="17">
        <v>2167</v>
      </c>
      <c r="M115" s="5">
        <v>0.52700000000000002</v>
      </c>
      <c r="N115" s="6">
        <f t="shared" si="304"/>
        <v>15.514399999999998</v>
      </c>
      <c r="O115" s="21">
        <f t="shared" si="426"/>
        <v>47.535400000000003</v>
      </c>
      <c r="P115" s="8">
        <f t="shared" si="341"/>
        <v>47.254249999999999</v>
      </c>
      <c r="Q115" s="8">
        <f t="shared" si="437"/>
        <v>66.749799999999993</v>
      </c>
      <c r="R115" s="6">
        <f t="shared" si="438"/>
        <v>23.450200000000006</v>
      </c>
      <c r="S115" s="6">
        <f t="shared" si="541"/>
        <v>6.7649999999999997</v>
      </c>
      <c r="T115" s="6">
        <f t="shared" ref="T115" si="601">I115-I114</f>
        <v>0.16629999999999967</v>
      </c>
      <c r="U115" s="6">
        <f t="shared" ref="U115" si="602">N115-N114</f>
        <v>-0.42239999999999966</v>
      </c>
      <c r="V115" s="6">
        <f t="shared" ref="V115" si="603">E115-E114</f>
        <v>-0.34999999999999432</v>
      </c>
      <c r="W115" s="9">
        <f>Tabla1[[#This Row],[Protein]]/Tabla1[[#This Row],[Peso (Kg)]]</f>
        <v>0.25998004434589805</v>
      </c>
      <c r="X115" s="9">
        <f t="shared" si="345"/>
        <v>0.26211558398131013</v>
      </c>
      <c r="Y115" s="6">
        <f t="shared" si="559"/>
        <v>42.664600000000007</v>
      </c>
      <c r="Z115" s="6">
        <f t="shared" si="346"/>
        <v>90.5</v>
      </c>
      <c r="AA115" s="6">
        <f t="shared" ref="AA115" si="604">AVERAGE(N109:N115)</f>
        <v>15.825164285714285</v>
      </c>
      <c r="AB115" s="6">
        <f t="shared" ref="AB115" si="605">AVERAGE(R109:R115)</f>
        <v>23.720585714285711</v>
      </c>
      <c r="AC115" s="6">
        <f t="shared" ref="AC115" si="606">100*(AB115/AB114-1)</f>
        <v>-0.24337755903904856</v>
      </c>
      <c r="AD115" s="42">
        <f>Tabla1[[#This Row],[Avg Agua)]]/Tabla1[[#This Row],[Avg Musculo]]</f>
        <v>1.9921198645420104</v>
      </c>
    </row>
    <row r="116" spans="1:38" x14ac:dyDescent="0.3">
      <c r="A116">
        <v>4</v>
      </c>
      <c r="B116">
        <v>21</v>
      </c>
      <c r="C116" t="s">
        <v>21</v>
      </c>
      <c r="D116" s="4">
        <v>45250</v>
      </c>
      <c r="E116" s="6">
        <v>90.1</v>
      </c>
      <c r="F116" s="7">
        <f t="shared" si="85"/>
        <v>25.492304210049795</v>
      </c>
      <c r="G116" s="9">
        <v>0.16900000000000001</v>
      </c>
      <c r="H116" s="6">
        <f t="shared" si="291"/>
        <v>74.873099999999994</v>
      </c>
      <c r="I116" s="6">
        <f t="shared" si="292"/>
        <v>23.690399999999993</v>
      </c>
      <c r="J116">
        <v>3.7</v>
      </c>
      <c r="K116" s="5">
        <v>7.4999999999999997E-2</v>
      </c>
      <c r="L116" s="17">
        <v>2168</v>
      </c>
      <c r="M116" s="5">
        <v>0.52700000000000002</v>
      </c>
      <c r="N116" s="6">
        <f t="shared" si="304"/>
        <v>15.226900000000001</v>
      </c>
      <c r="O116" s="21">
        <f t="shared" si="426"/>
        <v>47.482700000000001</v>
      </c>
      <c r="P116" s="8">
        <f t="shared" si="341"/>
        <v>47.214521428571437</v>
      </c>
      <c r="Q116" s="8">
        <f t="shared" si="437"/>
        <v>66.409599999999998</v>
      </c>
      <c r="R116" s="6">
        <f t="shared" si="438"/>
        <v>23.690399999999993</v>
      </c>
      <c r="S116" s="6">
        <f t="shared" si="541"/>
        <v>6.7574999999999994</v>
      </c>
      <c r="T116" s="6">
        <f t="shared" ref="T116" si="607">I116-I115</f>
        <v>0.24019999999998731</v>
      </c>
      <c r="U116" s="6">
        <f t="shared" ref="U116" si="608">N116-N115</f>
        <v>-0.28749999999999787</v>
      </c>
      <c r="V116" s="6">
        <f t="shared" ref="V116" si="609">E116-E115</f>
        <v>-0.10000000000000853</v>
      </c>
      <c r="W116" s="9">
        <f>Tabla1[[#This Row],[Protein]]/Tabla1[[#This Row],[Peso (Kg)]]</f>
        <v>0.26293451720310762</v>
      </c>
      <c r="X116" s="9">
        <f t="shared" si="345"/>
        <v>0.26321321482152754</v>
      </c>
      <c r="Y116" s="6">
        <f t="shared" si="559"/>
        <v>42.6173</v>
      </c>
      <c r="Z116" s="6">
        <f t="shared" si="346"/>
        <v>90.4</v>
      </c>
      <c r="AA116" s="6">
        <f t="shared" ref="AA116" si="610">AVERAGE(N110:N116)</f>
        <v>15.691521428571425</v>
      </c>
      <c r="AB116" s="6">
        <f t="shared" ref="AB116" si="611">AVERAGE(R110:R116)</f>
        <v>23.793957142857135</v>
      </c>
      <c r="AC116" s="6">
        <f t="shared" ref="AC116" si="612">100*(AB116/AB115-1)</f>
        <v>0.30931541680792041</v>
      </c>
      <c r="AD116" s="42">
        <f>Tabla1[[#This Row],[Avg Agua)]]/Tabla1[[#This Row],[Avg Musculo]]</f>
        <v>1.9843072400735611</v>
      </c>
    </row>
    <row r="117" spans="1:38" x14ac:dyDescent="0.3">
      <c r="A117">
        <v>4</v>
      </c>
      <c r="B117">
        <v>21</v>
      </c>
      <c r="C117" t="s">
        <v>23</v>
      </c>
      <c r="D117" s="4">
        <v>45251</v>
      </c>
      <c r="E117" s="6">
        <v>90.2</v>
      </c>
      <c r="F117" s="7">
        <f t="shared" si="85"/>
        <v>25.520597555454959</v>
      </c>
      <c r="G117" s="9">
        <v>0.17100000000000001</v>
      </c>
      <c r="H117" s="6">
        <f t="shared" si="291"/>
        <v>74.775800000000004</v>
      </c>
      <c r="I117" s="6">
        <f t="shared" si="292"/>
        <v>23.540400000000002</v>
      </c>
      <c r="J117">
        <v>3.7</v>
      </c>
      <c r="K117" s="5">
        <v>7.4999999999999997E-2</v>
      </c>
      <c r="L117" s="17">
        <v>2165</v>
      </c>
      <c r="M117" s="5">
        <v>0.52700000000000002</v>
      </c>
      <c r="N117" s="6">
        <f t="shared" si="304"/>
        <v>15.424200000000001</v>
      </c>
      <c r="O117" s="21">
        <f t="shared" si="426"/>
        <v>47.535400000000003</v>
      </c>
      <c r="P117" s="8">
        <f t="shared" si="341"/>
        <v>47.206292857142856</v>
      </c>
      <c r="Q117" s="8">
        <f t="shared" si="437"/>
        <v>66.659599999999998</v>
      </c>
      <c r="R117" s="6">
        <f t="shared" si="438"/>
        <v>23.540400000000002</v>
      </c>
      <c r="S117" s="6">
        <f t="shared" si="541"/>
        <v>6.7649999999999997</v>
      </c>
      <c r="T117" s="6">
        <f t="shared" ref="T117" si="613">I117-I116</f>
        <v>-0.14999999999999147</v>
      </c>
      <c r="U117" s="6">
        <f t="shared" ref="U117" si="614">N117-N116</f>
        <v>0.19730000000000025</v>
      </c>
      <c r="V117" s="6">
        <f t="shared" ref="V117" si="615">E117-E116</f>
        <v>0.10000000000000853</v>
      </c>
      <c r="W117" s="9">
        <f>Tabla1[[#This Row],[Protein]]/Tabla1[[#This Row],[Peso (Kg)]]</f>
        <v>0.260980044345898</v>
      </c>
      <c r="X117" s="9">
        <f t="shared" si="345"/>
        <v>0.26359026982227596</v>
      </c>
      <c r="Y117" s="6">
        <f t="shared" si="559"/>
        <v>42.664600000000007</v>
      </c>
      <c r="Z117" s="6">
        <f t="shared" si="346"/>
        <v>90.285714285714292</v>
      </c>
      <c r="AA117" s="6">
        <f t="shared" ref="AA117" si="616">AVERAGE(N111:N117)</f>
        <v>15.58097857142857</v>
      </c>
      <c r="AB117" s="6">
        <f t="shared" ref="AB117" si="617">AVERAGE(R111:R117)</f>
        <v>23.798442857142856</v>
      </c>
      <c r="AC117" s="6">
        <f t="shared" ref="AC117" si="618">100*(AB117/AB116-1)</f>
        <v>1.8852325650531299E-2</v>
      </c>
      <c r="AD117" s="42">
        <f>Tabla1[[#This Row],[Avg Agua)]]/Tabla1[[#This Row],[Avg Musculo]]</f>
        <v>1.9835874616046307</v>
      </c>
    </row>
    <row r="118" spans="1:38" x14ac:dyDescent="0.3">
      <c r="A118">
        <v>4</v>
      </c>
      <c r="B118">
        <v>21</v>
      </c>
      <c r="C118" t="s">
        <v>24</v>
      </c>
      <c r="D118" s="4">
        <v>45252</v>
      </c>
      <c r="E118" s="6">
        <v>90.35</v>
      </c>
      <c r="F118" s="7">
        <f t="shared" si="85"/>
        <v>25.563037573562699</v>
      </c>
      <c r="G118" s="9">
        <v>0.17399999999999999</v>
      </c>
      <c r="H118" s="6">
        <f t="shared" si="291"/>
        <v>74.629099999999994</v>
      </c>
      <c r="I118" s="6">
        <f t="shared" si="292"/>
        <v>23.585699999999999</v>
      </c>
      <c r="J118">
        <v>3.7</v>
      </c>
      <c r="K118" s="5">
        <v>7.4999999999999997E-2</v>
      </c>
      <c r="L118" s="17">
        <v>2164</v>
      </c>
      <c r="M118" s="5">
        <v>0.52400000000000002</v>
      </c>
      <c r="N118" s="6">
        <f t="shared" si="304"/>
        <v>15.720899999999999</v>
      </c>
      <c r="O118" s="21">
        <f t="shared" si="426"/>
        <v>47.343399999999995</v>
      </c>
      <c r="P118" s="8">
        <f t="shared" si="341"/>
        <v>47.272635714285705</v>
      </c>
      <c r="Q118" s="8">
        <f t="shared" si="437"/>
        <v>66.764299999999992</v>
      </c>
      <c r="R118" s="6">
        <f t="shared" si="438"/>
        <v>23.585699999999999</v>
      </c>
      <c r="S118" s="6">
        <f t="shared" si="541"/>
        <v>6.7762499999999992</v>
      </c>
      <c r="T118" s="6">
        <f t="shared" ref="T118" si="619">I118-I117</f>
        <v>4.5299999999997453E-2</v>
      </c>
      <c r="U118" s="6">
        <f t="shared" ref="U118" si="620">N118-N117</f>
        <v>0.29669999999999774</v>
      </c>
      <c r="V118" s="6">
        <f t="shared" ref="V118" si="621">E118-E117</f>
        <v>0.14999999999999147</v>
      </c>
      <c r="W118" s="9">
        <f>Tabla1[[#This Row],[Protein]]/Tabla1[[#This Row],[Peso (Kg)]]</f>
        <v>0.2610481460985058</v>
      </c>
      <c r="X118" s="9">
        <f t="shared" si="345"/>
        <v>0.26243771610785566</v>
      </c>
      <c r="Y118" s="6">
        <f t="shared" si="559"/>
        <v>43.006599999999999</v>
      </c>
      <c r="Z118" s="6">
        <f t="shared" si="346"/>
        <v>90.26428571428572</v>
      </c>
      <c r="AA118" s="6">
        <f t="shared" ref="AA118" si="622">AVERAGE(N112:N118)</f>
        <v>15.603107142857141</v>
      </c>
      <c r="AB118" s="6">
        <f t="shared" ref="AB118" si="623">AVERAGE(R112:R118)</f>
        <v>23.68854285714286</v>
      </c>
      <c r="AC118" s="6">
        <f t="shared" ref="AC118" si="624">100*(AB118/AB117-1)</f>
        <v>-0.46179491935545158</v>
      </c>
      <c r="AD118" s="42">
        <f>Tabla1[[#This Row],[Avg Agua)]]/Tabla1[[#This Row],[Avg Musculo]]</f>
        <v>1.9955906954416776</v>
      </c>
    </row>
    <row r="119" spans="1:38" x14ac:dyDescent="0.3">
      <c r="A119">
        <v>4</v>
      </c>
      <c r="B119">
        <v>21</v>
      </c>
      <c r="C119" t="s">
        <v>22</v>
      </c>
      <c r="D119" s="4">
        <v>45253</v>
      </c>
      <c r="E119" s="6">
        <v>90.35</v>
      </c>
      <c r="F119" s="7">
        <f t="shared" si="85"/>
        <v>25.563037573562699</v>
      </c>
      <c r="G119" s="9">
        <v>0.16900000000000001</v>
      </c>
      <c r="H119" s="6">
        <f t="shared" si="291"/>
        <v>75.080849999999998</v>
      </c>
      <c r="I119" s="6">
        <f t="shared" si="292"/>
        <v>24.127799999999997</v>
      </c>
      <c r="J119">
        <v>3.7</v>
      </c>
      <c r="K119" s="5">
        <v>7.4999999999999997E-2</v>
      </c>
      <c r="L119" s="17">
        <v>2175</v>
      </c>
      <c r="M119" s="5">
        <v>0.52300000000000002</v>
      </c>
      <c r="N119" s="6">
        <f t="shared" si="304"/>
        <v>15.26915</v>
      </c>
      <c r="O119" s="21">
        <f t="shared" si="426"/>
        <v>47.253050000000002</v>
      </c>
      <c r="P119" s="8">
        <f t="shared" si="341"/>
        <v>47.329928571428567</v>
      </c>
      <c r="Q119" s="8">
        <f t="shared" si="437"/>
        <v>66.222200000000001</v>
      </c>
      <c r="R119" s="6">
        <f t="shared" si="438"/>
        <v>24.127799999999997</v>
      </c>
      <c r="S119" s="6">
        <f t="shared" si="541"/>
        <v>6.7762499999999992</v>
      </c>
      <c r="T119" s="6">
        <f t="shared" ref="T119" si="625">I119-I118</f>
        <v>0.54209999999999781</v>
      </c>
      <c r="U119" s="6">
        <f t="shared" ref="U119" si="626">N119-N118</f>
        <v>-0.45174999999999876</v>
      </c>
      <c r="V119" s="6">
        <f t="shared" ref="V119" si="627">E119-E118</f>
        <v>0</v>
      </c>
      <c r="W119" s="9">
        <f>Tabla1[[#This Row],[Protein]]/Tabla1[[#This Row],[Peso (Kg)]]</f>
        <v>0.2670481460985058</v>
      </c>
      <c r="X119" s="9">
        <f t="shared" si="345"/>
        <v>0.26259680595005541</v>
      </c>
      <c r="Y119" s="6">
        <f t="shared" si="559"/>
        <v>43.09695</v>
      </c>
      <c r="Z119" s="6">
        <f t="shared" si="346"/>
        <v>90.299999999999983</v>
      </c>
      <c r="AA119" s="6">
        <f t="shared" ref="AA119" si="628">AVERAGE(N113:N119)</f>
        <v>15.557657142857142</v>
      </c>
      <c r="AB119" s="6">
        <f t="shared" ref="AB119" si="629">AVERAGE(R113:R119)</f>
        <v>23.712414285714289</v>
      </c>
      <c r="AC119" s="6">
        <f t="shared" ref="AC119" si="630">100*(AB119/AB118-1)</f>
        <v>0.10077204290439568</v>
      </c>
      <c r="AD119" s="42">
        <f>Tabla1[[#This Row],[Avg Agua)]]/Tabla1[[#This Row],[Avg Musculo]]</f>
        <v>1.9959978769408908</v>
      </c>
    </row>
    <row r="120" spans="1:38" x14ac:dyDescent="0.3">
      <c r="A120">
        <v>4</v>
      </c>
      <c r="B120">
        <v>21</v>
      </c>
      <c r="C120" t="s">
        <v>20</v>
      </c>
      <c r="D120" s="4">
        <v>45254</v>
      </c>
      <c r="E120" s="6">
        <v>90.45</v>
      </c>
      <c r="F120" s="7">
        <f t="shared" si="85"/>
        <v>25.591330918967863</v>
      </c>
      <c r="G120" s="9">
        <v>0.17199999999999999</v>
      </c>
      <c r="H120" s="6">
        <f t="shared" si="291"/>
        <v>74.892600000000002</v>
      </c>
      <c r="I120" s="6">
        <f t="shared" si="292"/>
        <v>23.434999999999999</v>
      </c>
      <c r="J120">
        <v>3.7</v>
      </c>
      <c r="K120" s="5">
        <v>7.4999999999999997E-2</v>
      </c>
      <c r="L120" s="17">
        <v>2171</v>
      </c>
      <c r="M120" s="5">
        <v>0.52800000000000002</v>
      </c>
      <c r="N120" s="6">
        <f t="shared" si="304"/>
        <v>15.557399999999999</v>
      </c>
      <c r="O120" s="21">
        <f t="shared" si="426"/>
        <v>47.757600000000004</v>
      </c>
      <c r="P120" s="8">
        <f t="shared" si="341"/>
        <v>47.505264285714297</v>
      </c>
      <c r="Q120" s="8">
        <f t="shared" si="437"/>
        <v>67.015000000000001</v>
      </c>
      <c r="R120" s="6">
        <f t="shared" si="438"/>
        <v>23.434999999999999</v>
      </c>
      <c r="S120" s="6">
        <f t="shared" ref="S120:S121" si="631">K120*E120</f>
        <v>6.7837500000000004</v>
      </c>
      <c r="T120" s="6">
        <f t="shared" ref="T120" si="632">I120-I119</f>
        <v>-0.69279999999999831</v>
      </c>
      <c r="U120" s="6">
        <f t="shared" ref="U120" si="633">N120-N119</f>
        <v>0.28824999999999967</v>
      </c>
      <c r="V120" s="6">
        <f t="shared" ref="V120" si="634">E120-E119</f>
        <v>0.10000000000000853</v>
      </c>
      <c r="W120" s="9">
        <f>Tabla1[[#This Row],[Protein]]/Tabla1[[#This Row],[Peso (Kg)]]</f>
        <v>0.2590934217799889</v>
      </c>
      <c r="X120" s="9">
        <f t="shared" si="345"/>
        <v>0.26117470247598157</v>
      </c>
      <c r="Y120" s="6">
        <f t="shared" si="559"/>
        <v>42.692399999999999</v>
      </c>
      <c r="Z120" s="6">
        <f t="shared" si="346"/>
        <v>90.314285714285717</v>
      </c>
      <c r="AA120" s="6">
        <f t="shared" ref="AA120" si="635">AVERAGE(N114:N120)</f>
        <v>15.521392857142857</v>
      </c>
      <c r="AB120" s="6">
        <f t="shared" ref="AB120" si="636">AVERAGE(R114:R120)</f>
        <v>23.587628571428574</v>
      </c>
      <c r="AC120" s="6">
        <f t="shared" ref="AC120" si="637">100*(AB120/AB119-1)</f>
        <v>-0.52624634835640727</v>
      </c>
      <c r="AD120" s="42">
        <f>Tabla1[[#This Row],[Avg Agua)]]/Tabla1[[#This Row],[Avg Musculo]]</f>
        <v>2.0139906876122717</v>
      </c>
    </row>
    <row r="121" spans="1:38" x14ac:dyDescent="0.3">
      <c r="A121">
        <v>4</v>
      </c>
      <c r="B121">
        <v>21</v>
      </c>
      <c r="C121" t="s">
        <v>25</v>
      </c>
      <c r="D121" s="4">
        <v>45255</v>
      </c>
      <c r="E121" s="6">
        <v>90.6</v>
      </c>
      <c r="F121" s="7">
        <f t="shared" si="85"/>
        <v>25.6337709370756</v>
      </c>
      <c r="G121" s="9">
        <v>0.16900000000000001</v>
      </c>
      <c r="H121" s="6">
        <f t="shared" si="291"/>
        <v>75.288599999999988</v>
      </c>
      <c r="I121" s="6">
        <f t="shared" si="292"/>
        <v>23.842399999999987</v>
      </c>
      <c r="J121">
        <v>3.7</v>
      </c>
      <c r="K121" s="5">
        <v>7.4999999999999997E-2</v>
      </c>
      <c r="L121" s="17">
        <v>2181</v>
      </c>
      <c r="M121" s="5">
        <v>0.52700000000000002</v>
      </c>
      <c r="N121" s="6">
        <f t="shared" si="304"/>
        <v>15.311400000000001</v>
      </c>
      <c r="O121" s="21">
        <f t="shared" si="426"/>
        <v>47.746200000000002</v>
      </c>
      <c r="P121" s="8">
        <f t="shared" si="341"/>
        <v>47.521964285714283</v>
      </c>
      <c r="Q121" s="8">
        <f t="shared" si="437"/>
        <v>66.757600000000011</v>
      </c>
      <c r="R121" s="6">
        <f t="shared" si="438"/>
        <v>23.842399999999987</v>
      </c>
      <c r="S121" s="6">
        <f t="shared" si="631"/>
        <v>6.794999999999999</v>
      </c>
      <c r="T121" s="6">
        <f t="shared" ref="T121" si="638">I121-I120</f>
        <v>0.40739999999998844</v>
      </c>
      <c r="U121" s="6">
        <f t="shared" ref="U121" si="639">N121-N120</f>
        <v>-0.24599999999999866</v>
      </c>
      <c r="V121" s="6">
        <f t="shared" ref="V121" si="640">E121-E120</f>
        <v>0.14999999999999147</v>
      </c>
      <c r="W121" s="9">
        <f>Tabla1[[#This Row],[Protein]]/Tabla1[[#This Row],[Peso (Kg)]]</f>
        <v>0.26316114790286965</v>
      </c>
      <c r="X121" s="9">
        <f t="shared" si="345"/>
        <v>0.26203506682496769</v>
      </c>
      <c r="Y121" s="6">
        <f t="shared" si="559"/>
        <v>42.853799999999993</v>
      </c>
      <c r="Z121" s="6">
        <f t="shared" si="346"/>
        <v>90.321428571428584</v>
      </c>
      <c r="AA121" s="6">
        <f t="shared" ref="AA121" si="641">AVERAGE(N115:N121)</f>
        <v>15.432050000000002</v>
      </c>
      <c r="AB121" s="6">
        <f t="shared" ref="AB121" si="642">AVERAGE(R115:R121)</f>
        <v>23.667414285714283</v>
      </c>
      <c r="AC121" s="6">
        <f t="shared" ref="AC121" si="643">100*(AB121/AB120-1)</f>
        <v>0.33825237685127796</v>
      </c>
      <c r="AD121" s="42">
        <f>Tabla1[[#This Row],[Avg Agua)]]/Tabla1[[#This Row],[Avg Musculo]]</f>
        <v>2.0079068930820494</v>
      </c>
    </row>
    <row r="122" spans="1:38" x14ac:dyDescent="0.3">
      <c r="A122">
        <v>4</v>
      </c>
      <c r="B122">
        <v>21</v>
      </c>
      <c r="C122" t="s">
        <v>26</v>
      </c>
      <c r="D122" s="4">
        <v>45256</v>
      </c>
      <c r="E122" s="6">
        <v>90.55</v>
      </c>
      <c r="F122" s="7">
        <f t="shared" si="85"/>
        <v>25.619624264373019</v>
      </c>
      <c r="G122" s="9">
        <v>0.16900000000000001</v>
      </c>
      <c r="H122" s="6">
        <f t="shared" si="291"/>
        <v>75.247050000000002</v>
      </c>
      <c r="I122" s="6">
        <f t="shared" ref="I122:I292" si="644">E122-N122-O122-J122</f>
        <v>24.008300000000002</v>
      </c>
      <c r="J122">
        <v>3.7</v>
      </c>
      <c r="K122" s="5">
        <v>7.4999999999999997E-2</v>
      </c>
      <c r="L122" s="17">
        <v>2181</v>
      </c>
      <c r="M122" s="5">
        <v>0.52500000000000002</v>
      </c>
      <c r="N122" s="6">
        <f t="shared" si="304"/>
        <v>15.302950000000001</v>
      </c>
      <c r="O122" s="21">
        <f t="shared" si="426"/>
        <v>47.53875</v>
      </c>
      <c r="P122" s="8">
        <f t="shared" si="341"/>
        <v>47.522442857142856</v>
      </c>
      <c r="Q122" s="8">
        <f t="shared" si="437"/>
        <v>66.541699999999992</v>
      </c>
      <c r="R122" s="6">
        <f t="shared" ref="R122:R124" si="645">I122</f>
        <v>24.008300000000002</v>
      </c>
      <c r="S122" s="6">
        <f t="shared" ref="S122:S124" si="646">K122*E122</f>
        <v>6.7912499999999998</v>
      </c>
      <c r="T122" s="6">
        <f t="shared" ref="T122" si="647">I122-I121</f>
        <v>0.16590000000001481</v>
      </c>
      <c r="U122" s="6">
        <f t="shared" ref="U122" si="648">N122-N121</f>
        <v>-8.4499999999998465E-3</v>
      </c>
      <c r="V122" s="6">
        <f t="shared" ref="V122" si="649">E122-E121</f>
        <v>-4.9999999999997158E-2</v>
      </c>
      <c r="W122" s="9">
        <f>Tabla1[[#This Row],[Protein]]/Tabla1[[#This Row],[Peso (Kg)]]</f>
        <v>0.26513859745996687</v>
      </c>
      <c r="X122" s="9">
        <f t="shared" si="345"/>
        <v>0.2627720029841204</v>
      </c>
      <c r="Y122" s="6">
        <f t="shared" ref="Y122:Y124" si="650">R122+N122+J122</f>
        <v>43.011250000000004</v>
      </c>
      <c r="Z122" s="6">
        <f t="shared" si="346"/>
        <v>90.371428571428552</v>
      </c>
      <c r="AA122" s="6">
        <f t="shared" ref="AA122" si="651">AVERAGE(N116:N122)</f>
        <v>15.401842857142857</v>
      </c>
      <c r="AB122" s="6">
        <f t="shared" ref="AB122" si="652">AVERAGE(R116:R122)</f>
        <v>23.747142857142851</v>
      </c>
      <c r="AC122" s="6">
        <f t="shared" ref="AC122" si="653">100*(AB122/AB121-1)</f>
        <v>0.33687064613852069</v>
      </c>
      <c r="AD122" s="42">
        <f>Tabla1[[#This Row],[Avg Agua)]]/Tabla1[[#This Row],[Avg Musculo]]</f>
        <v>2.0011857065511647</v>
      </c>
    </row>
    <row r="123" spans="1:38" x14ac:dyDescent="0.3">
      <c r="A123">
        <v>4</v>
      </c>
      <c r="B123">
        <v>22</v>
      </c>
      <c r="C123" t="s">
        <v>21</v>
      </c>
      <c r="D123" s="4">
        <v>45257</v>
      </c>
      <c r="E123" s="6">
        <v>90.75</v>
      </c>
      <c r="F123" s="7">
        <f t="shared" si="85"/>
        <v>25.676210955183343</v>
      </c>
      <c r="G123" s="9">
        <v>0.16900000000000001</v>
      </c>
      <c r="H123" s="6">
        <f t="shared" si="291"/>
        <v>75.413250000000005</v>
      </c>
      <c r="I123" s="6">
        <f t="shared" si="644"/>
        <v>24.160250000000001</v>
      </c>
      <c r="J123">
        <v>3.7</v>
      </c>
      <c r="K123" s="5">
        <v>7.4999999999999997E-2</v>
      </c>
      <c r="L123" s="17">
        <v>2186</v>
      </c>
      <c r="M123" s="5">
        <v>0.52400000000000002</v>
      </c>
      <c r="N123" s="6">
        <f t="shared" si="304"/>
        <v>15.33675</v>
      </c>
      <c r="O123" s="21">
        <f t="shared" si="426"/>
        <v>47.553000000000004</v>
      </c>
      <c r="P123" s="8">
        <f t="shared" si="341"/>
        <v>47.532485714285713</v>
      </c>
      <c r="Q123" s="8">
        <f t="shared" si="437"/>
        <v>66.589749999999995</v>
      </c>
      <c r="R123" s="6">
        <f t="shared" si="645"/>
        <v>24.160250000000001</v>
      </c>
      <c r="S123" s="6">
        <f t="shared" si="646"/>
        <v>6.8062499999999995</v>
      </c>
      <c r="T123" s="6">
        <f t="shared" ref="T123" si="654">I123-I122</f>
        <v>0.15194999999999936</v>
      </c>
      <c r="U123" s="6">
        <f t="shared" ref="U123" si="655">N123-N122</f>
        <v>3.3799999999999386E-2</v>
      </c>
      <c r="V123" s="6">
        <f t="shared" ref="V123" si="656">E123-E122</f>
        <v>0.20000000000000284</v>
      </c>
      <c r="W123" s="9">
        <f>Tabla1[[#This Row],[Protein]]/Tabla1[[#This Row],[Peso (Kg)]]</f>
        <v>0.26622865013774105</v>
      </c>
      <c r="X123" s="9">
        <f t="shared" si="345"/>
        <v>0.26324259340335371</v>
      </c>
      <c r="Y123" s="6">
        <f t="shared" si="650"/>
        <v>43.197000000000003</v>
      </c>
      <c r="Z123" s="6">
        <f t="shared" si="346"/>
        <v>90.464285714285694</v>
      </c>
      <c r="AA123" s="6">
        <f t="shared" ref="AA123" si="657">AVERAGE(N117:N123)</f>
        <v>15.417535714285714</v>
      </c>
      <c r="AB123" s="6">
        <f t="shared" ref="AB123" si="658">AVERAGE(R117:R123)</f>
        <v>23.81426428571428</v>
      </c>
      <c r="AC123" s="6">
        <f t="shared" ref="AC123" si="659">100*(AB123/AB122-1)</f>
        <v>0.28265054442639936</v>
      </c>
      <c r="AD123" s="42">
        <f>Tabla1[[#This Row],[Avg Agua)]]/Tabla1[[#This Row],[Avg Musculo]]</f>
        <v>1.9959670029697092</v>
      </c>
    </row>
    <row r="124" spans="1:38" x14ac:dyDescent="0.3">
      <c r="A124">
        <v>4</v>
      </c>
      <c r="B124">
        <v>22</v>
      </c>
      <c r="C124" t="s">
        <v>23</v>
      </c>
      <c r="D124" s="4">
        <v>45258</v>
      </c>
      <c r="E124" s="6">
        <v>89.9</v>
      </c>
      <c r="F124" s="7">
        <f t="shared" si="85"/>
        <v>25.435717519239478</v>
      </c>
      <c r="G124" s="9">
        <v>0.16700000000000001</v>
      </c>
      <c r="H124" s="6">
        <f t="shared" si="291"/>
        <v>74.886700000000005</v>
      </c>
      <c r="I124" s="6">
        <f t="shared" si="644"/>
        <v>24.258900000000001</v>
      </c>
      <c r="J124">
        <v>3.7</v>
      </c>
      <c r="K124" s="5">
        <v>7.4999999999999997E-2</v>
      </c>
      <c r="L124" s="17">
        <v>2168</v>
      </c>
      <c r="M124" s="5">
        <v>0.52200000000000002</v>
      </c>
      <c r="N124" s="6">
        <f t="shared" si="304"/>
        <v>15.013300000000001</v>
      </c>
      <c r="O124" s="21">
        <f t="shared" si="426"/>
        <v>46.927800000000005</v>
      </c>
      <c r="P124" s="8">
        <f t="shared" si="341"/>
        <v>47.445685714285716</v>
      </c>
      <c r="Q124" s="8">
        <f t="shared" si="437"/>
        <v>65.641100000000009</v>
      </c>
      <c r="R124" s="6">
        <f t="shared" si="645"/>
        <v>24.258900000000001</v>
      </c>
      <c r="S124" s="6">
        <f t="shared" si="646"/>
        <v>6.7425000000000006</v>
      </c>
      <c r="T124" s="6">
        <f t="shared" ref="T124" si="660">I124-I123</f>
        <v>9.8649999999999238E-2</v>
      </c>
      <c r="U124" s="6">
        <f t="shared" ref="U124" si="661">N124-N123</f>
        <v>-0.32344999999999935</v>
      </c>
      <c r="V124" s="6">
        <f t="shared" ref="V124" si="662">E124-E123</f>
        <v>-0.84999999999999432</v>
      </c>
      <c r="W124" s="9">
        <f>Tabla1[[#This Row],[Protein]]/Tabla1[[#This Row],[Peso (Kg)]]</f>
        <v>0.26984315906562845</v>
      </c>
      <c r="X124" s="9">
        <f t="shared" si="345"/>
        <v>0.26450875264902957</v>
      </c>
      <c r="Y124" s="6">
        <f t="shared" si="650"/>
        <v>42.972200000000001</v>
      </c>
      <c r="Z124" s="6">
        <f t="shared" si="346"/>
        <v>90.421428571428564</v>
      </c>
      <c r="AA124" s="6">
        <f t="shared" ref="AA124" si="663">AVERAGE(N118:N124)</f>
        <v>15.358835714285714</v>
      </c>
      <c r="AB124" s="6">
        <f t="shared" ref="AB124" si="664">AVERAGE(R118:R124)</f>
        <v>23.916907142857145</v>
      </c>
      <c r="AC124" s="6">
        <f t="shared" ref="AC124" si="665">100*(AB124/AB123-1)</f>
        <v>0.43101418507578426</v>
      </c>
      <c r="AD124" s="42">
        <f>Tabla1[[#This Row],[Avg Agua)]]/Tabla1[[#This Row],[Avg Musculo]]</f>
        <v>1.9837717908461048</v>
      </c>
    </row>
    <row r="125" spans="1:38" x14ac:dyDescent="0.3">
      <c r="A125">
        <v>4</v>
      </c>
      <c r="B125">
        <v>22</v>
      </c>
      <c r="C125" t="s">
        <v>24</v>
      </c>
      <c r="D125" s="4">
        <v>45259</v>
      </c>
      <c r="E125" s="6">
        <v>89.8</v>
      </c>
      <c r="F125" s="7">
        <f t="shared" si="85"/>
        <v>25.407424173834315</v>
      </c>
      <c r="G125" s="9">
        <v>0.16600000000000001</v>
      </c>
      <c r="H125" s="6">
        <f t="shared" si="291"/>
        <v>74.893199999999993</v>
      </c>
      <c r="I125" s="6">
        <f t="shared" si="644"/>
        <v>24.227799999999991</v>
      </c>
      <c r="J125">
        <v>3.7</v>
      </c>
      <c r="K125" s="5">
        <v>7.4999999999999997E-2</v>
      </c>
      <c r="L125" s="17">
        <v>2168</v>
      </c>
      <c r="M125" s="5">
        <v>0.52300000000000002</v>
      </c>
      <c r="N125" s="6">
        <f t="shared" si="304"/>
        <v>14.9068</v>
      </c>
      <c r="O125" s="21">
        <f t="shared" si="426"/>
        <v>46.965400000000002</v>
      </c>
      <c r="P125" s="8">
        <f t="shared" si="341"/>
        <v>47.391685714285707</v>
      </c>
      <c r="Q125" s="8">
        <f t="shared" ref="Q125:Q137" si="666">E125-R125</f>
        <v>65.572200000000009</v>
      </c>
      <c r="R125" s="6">
        <f t="shared" ref="R125:R126" si="667">I125</f>
        <v>24.227799999999991</v>
      </c>
      <c r="S125" s="6">
        <f t="shared" ref="S125:S126" si="668">K125*E125</f>
        <v>6.7349999999999994</v>
      </c>
      <c r="T125" s="6">
        <f t="shared" ref="T125" si="669">I125-I124</f>
        <v>-3.1100000000009231E-2</v>
      </c>
      <c r="U125" s="6">
        <f t="shared" ref="U125" si="670">N125-N124</f>
        <v>-0.10650000000000048</v>
      </c>
      <c r="V125" s="6">
        <f t="shared" ref="V125" si="671">E125-E124</f>
        <v>-0.10000000000000853</v>
      </c>
      <c r="W125" s="9">
        <f>Tabla1[[#This Row],[Protein]]/Tabla1[[#This Row],[Peso (Kg)]]</f>
        <v>0.26979732739420925</v>
      </c>
      <c r="X125" s="9">
        <f t="shared" si="345"/>
        <v>0.26575863569127289</v>
      </c>
      <c r="Y125" s="6">
        <f t="shared" ref="Y125" si="672">R125+N125+J125</f>
        <v>42.834599999999995</v>
      </c>
      <c r="Z125" s="6">
        <f t="shared" si="346"/>
        <v>90.342857142857142</v>
      </c>
      <c r="AA125" s="6">
        <f t="shared" ref="AA125" si="673">AVERAGE(N119:N125)</f>
        <v>15.242535714285713</v>
      </c>
      <c r="AB125" s="6">
        <f t="shared" ref="AB125" si="674">AVERAGE(R119:R125)</f>
        <v>24.008635714285713</v>
      </c>
      <c r="AC125" s="6">
        <f t="shared" ref="AC125" si="675">100*(AB125/AB124-1)</f>
        <v>0.38353024026338556</v>
      </c>
      <c r="AD125" s="42">
        <f>Tabla1[[#This Row],[Avg Agua)]]/Tabla1[[#This Row],[Avg Musculo]]</f>
        <v>1.9739433043288885</v>
      </c>
    </row>
    <row r="126" spans="1:38" x14ac:dyDescent="0.3">
      <c r="A126">
        <v>4</v>
      </c>
      <c r="B126">
        <v>22</v>
      </c>
      <c r="C126" t="s">
        <v>22</v>
      </c>
      <c r="D126" s="4">
        <v>45260</v>
      </c>
      <c r="E126" s="6">
        <v>90.3</v>
      </c>
      <c r="F126" s="7">
        <f t="shared" si="85"/>
        <v>25.548890900860119</v>
      </c>
      <c r="G126" s="9">
        <v>0.17199999999999999</v>
      </c>
      <c r="H126" s="6">
        <f t="shared" si="291"/>
        <v>74.7684</v>
      </c>
      <c r="I126" s="6">
        <f t="shared" si="644"/>
        <v>23.389999999999997</v>
      </c>
      <c r="J126">
        <v>3.7</v>
      </c>
      <c r="K126" s="5">
        <v>7.4999999999999997E-2</v>
      </c>
      <c r="L126" s="17">
        <v>2167</v>
      </c>
      <c r="M126" s="5">
        <v>0.52800000000000002</v>
      </c>
      <c r="N126" s="6">
        <f t="shared" si="304"/>
        <v>15.531599999999997</v>
      </c>
      <c r="O126" s="21">
        <f t="shared" si="426"/>
        <v>47.678400000000003</v>
      </c>
      <c r="P126" s="8">
        <f t="shared" si="341"/>
        <v>47.452449999999999</v>
      </c>
      <c r="Q126" s="8">
        <f t="shared" si="666"/>
        <v>66.91</v>
      </c>
      <c r="R126" s="6">
        <f t="shared" si="667"/>
        <v>23.389999999999997</v>
      </c>
      <c r="S126" s="6">
        <f t="shared" si="668"/>
        <v>6.7725</v>
      </c>
      <c r="T126" s="6">
        <f t="shared" ref="T126" si="676">I126-I125</f>
        <v>-0.83779999999999433</v>
      </c>
      <c r="U126" s="6">
        <f t="shared" ref="U126" si="677">N126-N125</f>
        <v>0.62479999999999691</v>
      </c>
      <c r="V126" s="6">
        <f t="shared" ref="V126" si="678">E126-E125</f>
        <v>0.5</v>
      </c>
      <c r="W126" s="9">
        <f>Tabla1[[#This Row],[Protein]]/Tabla1[[#This Row],[Peso (Kg)]]</f>
        <v>0.25902547065337761</v>
      </c>
      <c r="X126" s="9">
        <f t="shared" si="345"/>
        <v>0.26461253919911171</v>
      </c>
      <c r="Y126" s="6">
        <f t="shared" ref="Y126" si="679">R126+N126+J126</f>
        <v>42.621600000000001</v>
      </c>
      <c r="Z126" s="6">
        <f t="shared" si="346"/>
        <v>90.335714285714275</v>
      </c>
      <c r="AA126" s="6">
        <f t="shared" ref="AA126" si="680">AVERAGE(N120:N126)</f>
        <v>15.280028571428574</v>
      </c>
      <c r="AB126" s="6">
        <f t="shared" ref="AB126" si="681">AVERAGE(R120:R126)</f>
        <v>23.90323571428571</v>
      </c>
      <c r="AC126" s="6">
        <f t="shared" ref="AC126" si="682">100*(AB126/AB125-1)</f>
        <v>-0.43900870192840058</v>
      </c>
      <c r="AD126" s="42">
        <f>Tabla1[[#This Row],[Avg Agua)]]/Tabla1[[#This Row],[Avg Musculo]]</f>
        <v>1.9851893930678246</v>
      </c>
    </row>
    <row r="127" spans="1:38" x14ac:dyDescent="0.3">
      <c r="A127">
        <v>4</v>
      </c>
      <c r="B127">
        <v>22</v>
      </c>
      <c r="C127" t="s">
        <v>20</v>
      </c>
      <c r="D127" s="4">
        <v>45261</v>
      </c>
      <c r="E127" s="6">
        <v>89.8</v>
      </c>
      <c r="F127" s="7">
        <f t="shared" si="85"/>
        <v>25.407424173834315</v>
      </c>
      <c r="G127" s="9">
        <v>0.16700000000000001</v>
      </c>
      <c r="H127" s="6">
        <f t="shared" si="291"/>
        <v>74.803399999999996</v>
      </c>
      <c r="I127" s="6">
        <f t="shared" si="644"/>
        <v>23.688999999999997</v>
      </c>
      <c r="J127">
        <v>3.7</v>
      </c>
      <c r="K127" s="5">
        <v>7.4999999999999997E-2</v>
      </c>
      <c r="L127" s="17">
        <v>2164</v>
      </c>
      <c r="M127" s="5">
        <v>0.52800000000000002</v>
      </c>
      <c r="N127" s="6">
        <f t="shared" si="304"/>
        <v>14.996600000000001</v>
      </c>
      <c r="O127" s="21">
        <f t="shared" si="426"/>
        <v>47.414400000000001</v>
      </c>
      <c r="P127" s="8">
        <f t="shared" si="341"/>
        <v>47.403421428571434</v>
      </c>
      <c r="Q127" s="8">
        <f t="shared" si="666"/>
        <v>66.111000000000004</v>
      </c>
      <c r="R127" s="6">
        <f t="shared" ref="R127:R137" si="683">I127</f>
        <v>23.688999999999997</v>
      </c>
      <c r="S127" s="6">
        <f t="shared" ref="S127:S256" si="684">K127*E127</f>
        <v>6.7349999999999994</v>
      </c>
      <c r="T127" s="6">
        <f t="shared" ref="T127" si="685">I127-I126</f>
        <v>0.29899999999999949</v>
      </c>
      <c r="U127" s="6">
        <f t="shared" ref="U127" si="686">N127-N126</f>
        <v>-0.53499999999999659</v>
      </c>
      <c r="V127" s="6">
        <f t="shared" ref="V127" si="687">E127-E126</f>
        <v>-0.5</v>
      </c>
      <c r="W127" s="9">
        <f>Tabla1[[#This Row],[Protein]]/Tabla1[[#This Row],[Peso (Kg)]]</f>
        <v>0.2637973273942093</v>
      </c>
      <c r="X127" s="9">
        <f t="shared" si="345"/>
        <v>0.26528452571542893</v>
      </c>
      <c r="Y127" s="6">
        <f t="shared" ref="Y127:Y137" si="688">R127+N127+J127</f>
        <v>42.385599999999997</v>
      </c>
      <c r="Z127" s="6">
        <f t="shared" si="346"/>
        <v>90.242857142857133</v>
      </c>
      <c r="AA127" s="6">
        <f t="shared" ref="AA127" si="689">AVERAGE(N121:N127)</f>
        <v>15.199914285714286</v>
      </c>
      <c r="AB127" s="6">
        <f t="shared" ref="AB127" si="690">AVERAGE(R121:R127)</f>
        <v>23.939521428571425</v>
      </c>
      <c r="AC127" s="6">
        <f t="shared" ref="AC127" si="691">100*(AB127/AB126-1)</f>
        <v>0.15180252045972065</v>
      </c>
      <c r="AD127" s="42">
        <f>Tabla1[[#This Row],[Avg Agua)]]/Tabla1[[#This Row],[Avg Musculo]]</f>
        <v>1.9801323752444036</v>
      </c>
      <c r="AG127">
        <f>E127-E103</f>
        <v>-1.25</v>
      </c>
      <c r="AH127">
        <f>R127-R103</f>
        <v>0.98449999999998994</v>
      </c>
      <c r="AI127">
        <f>N127-N103</f>
        <v>-1.4834499999999977</v>
      </c>
      <c r="AJ127">
        <f>O127-O103</f>
        <v>-0.75104999999999933</v>
      </c>
      <c r="AK127">
        <f>S103-S127</f>
        <v>0.54900000000000038</v>
      </c>
      <c r="AL127">
        <f>Y127-Y103</f>
        <v>-0.49895000000000778</v>
      </c>
    </row>
    <row r="128" spans="1:38" x14ac:dyDescent="0.3">
      <c r="A128">
        <v>4</v>
      </c>
      <c r="B128">
        <v>22</v>
      </c>
      <c r="C128" t="s">
        <v>25</v>
      </c>
      <c r="D128" s="4">
        <v>45262</v>
      </c>
      <c r="E128" s="6">
        <v>89.85</v>
      </c>
      <c r="F128" s="7">
        <f t="shared" si="85"/>
        <v>25.421570846536895</v>
      </c>
      <c r="G128" s="9">
        <v>0.16700000000000001</v>
      </c>
      <c r="H128" s="6">
        <f t="shared" si="291"/>
        <v>74.845050000000001</v>
      </c>
      <c r="I128" s="6">
        <f t="shared" si="644"/>
        <v>23.704250000000005</v>
      </c>
      <c r="J128">
        <v>3.7</v>
      </c>
      <c r="K128" s="5">
        <v>7.4999999999999997E-2</v>
      </c>
      <c r="L128" s="17">
        <v>2164</v>
      </c>
      <c r="M128" s="5">
        <v>0.52800000000000002</v>
      </c>
      <c r="N128" s="6">
        <f t="shared" si="304"/>
        <v>15.004949999999999</v>
      </c>
      <c r="O128" s="21">
        <f t="shared" si="426"/>
        <v>47.440799999999996</v>
      </c>
      <c r="P128" s="8">
        <f t="shared" si="341"/>
        <v>47.359792857142857</v>
      </c>
      <c r="Q128" s="8">
        <f t="shared" si="666"/>
        <v>66.145749999999992</v>
      </c>
      <c r="R128" s="6">
        <f t="shared" si="683"/>
        <v>23.704250000000005</v>
      </c>
      <c r="S128" s="6">
        <f t="shared" si="684"/>
        <v>6.7387499999999996</v>
      </c>
      <c r="T128" s="6">
        <f t="shared" ref="T128" si="692">I128-I127</f>
        <v>1.5250000000008868E-2</v>
      </c>
      <c r="U128" s="6">
        <f t="shared" ref="U128" si="693">N128-N127</f>
        <v>8.3499999999983032E-3</v>
      </c>
      <c r="V128" s="6">
        <f t="shared" ref="V128" si="694">E128-E127</f>
        <v>4.9999999999997158E-2</v>
      </c>
      <c r="W128" s="9">
        <f>Tabla1[[#This Row],[Protein]]/Tabla1[[#This Row],[Peso (Kg)]]</f>
        <v>0.26382025598219261</v>
      </c>
      <c r="X128" s="9">
        <f t="shared" si="345"/>
        <v>0.26537868401247505</v>
      </c>
      <c r="Y128" s="6">
        <f t="shared" si="688"/>
        <v>42.409200000000006</v>
      </c>
      <c r="Z128" s="6">
        <f t="shared" si="346"/>
        <v>90.135714285714286</v>
      </c>
      <c r="AA128" s="6">
        <f t="shared" ref="AA128" si="695">AVERAGE(N122:N128)</f>
        <v>15.156135714285714</v>
      </c>
      <c r="AB128" s="6">
        <f t="shared" ref="AB128" si="696">AVERAGE(R122:R128)</f>
        <v>23.919785714285716</v>
      </c>
      <c r="AC128" s="6">
        <f t="shared" ref="AC128:AC129" si="697">100*(AB128/AB127-1)</f>
        <v>-8.2439886463869794E-2</v>
      </c>
      <c r="AD128" s="42">
        <f>Tabla1[[#This Row],[Avg Agua)]]/Tabla1[[#This Row],[Avg Musculo]]</f>
        <v>1.9799421877286285</v>
      </c>
    </row>
    <row r="129" spans="1:31" x14ac:dyDescent="0.3">
      <c r="A129">
        <v>4</v>
      </c>
      <c r="B129">
        <v>22</v>
      </c>
      <c r="C129" t="s">
        <v>26</v>
      </c>
      <c r="D129" s="4">
        <v>45263</v>
      </c>
      <c r="E129" s="6">
        <v>90.9</v>
      </c>
      <c r="F129" s="7">
        <f t="shared" si="85"/>
        <v>25.718650973291084</v>
      </c>
      <c r="G129" s="9">
        <v>0.17399999999999999</v>
      </c>
      <c r="H129" s="6">
        <f t="shared" si="291"/>
        <v>75.083400000000012</v>
      </c>
      <c r="I129" s="6">
        <f t="shared" si="644"/>
        <v>23.388200000000008</v>
      </c>
      <c r="J129">
        <v>3.7</v>
      </c>
      <c r="K129" s="5">
        <v>7.4999999999999997E-2</v>
      </c>
      <c r="L129" s="17">
        <v>2176</v>
      </c>
      <c r="M129" s="5">
        <v>0.52800000000000002</v>
      </c>
      <c r="N129" s="6">
        <f t="shared" si="304"/>
        <v>15.816599999999999</v>
      </c>
      <c r="O129" s="21">
        <f t="shared" si="426"/>
        <v>47.995200000000004</v>
      </c>
      <c r="P129" s="8">
        <f t="shared" si="341"/>
        <v>47.425000000000011</v>
      </c>
      <c r="Q129" s="8">
        <f t="shared" si="666"/>
        <v>67.511799999999994</v>
      </c>
      <c r="R129" s="6">
        <f t="shared" si="683"/>
        <v>23.388200000000008</v>
      </c>
      <c r="S129" s="6">
        <f t="shared" si="684"/>
        <v>6.8174999999999999</v>
      </c>
      <c r="T129" s="6">
        <f t="shared" ref="T129" si="698">I129-I128</f>
        <v>-0.31604999999999706</v>
      </c>
      <c r="U129" s="6">
        <f t="shared" ref="U129" si="699">N129-N128</f>
        <v>0.8116500000000002</v>
      </c>
      <c r="V129" s="6">
        <f t="shared" ref="V129" si="700">E129-E128</f>
        <v>1.0500000000000114</v>
      </c>
      <c r="W129" s="9">
        <f>Tabla1[[#This Row],[Protein]]/Tabla1[[#This Row],[Peso (Kg)]]</f>
        <v>0.25729592959295938</v>
      </c>
      <c r="X129" s="9">
        <f t="shared" si="345"/>
        <v>0.26425830288861685</v>
      </c>
      <c r="Y129" s="6">
        <f t="shared" si="688"/>
        <v>42.904800000000009</v>
      </c>
      <c r="Z129" s="6">
        <f t="shared" si="346"/>
        <v>90.185714285714283</v>
      </c>
      <c r="AA129" s="6">
        <f t="shared" ref="AA129" si="701">AVERAGE(N123:N129)</f>
        <v>15.229514285714284</v>
      </c>
      <c r="AB129" s="6">
        <f t="shared" ref="AB129" si="702">AVERAGE(R123:R129)</f>
        <v>23.831199999999999</v>
      </c>
      <c r="AC129" s="6">
        <f t="shared" si="697"/>
        <v>-0.37034493261706158</v>
      </c>
      <c r="AD129" s="42">
        <f>Tabla1[[#This Row],[Avg Agua)]]/Tabla1[[#This Row],[Avg Musculo]]</f>
        <v>1.9900382691597576</v>
      </c>
      <c r="AE129" t="s">
        <v>49</v>
      </c>
    </row>
    <row r="130" spans="1:31" x14ac:dyDescent="0.3">
      <c r="A130">
        <v>4</v>
      </c>
      <c r="B130">
        <v>23</v>
      </c>
      <c r="C130" t="s">
        <v>21</v>
      </c>
      <c r="D130" s="4">
        <v>45264</v>
      </c>
      <c r="E130" s="6">
        <v>90.4</v>
      </c>
      <c r="F130" s="7">
        <f t="shared" si="85"/>
        <v>25.577184246265283</v>
      </c>
      <c r="G130" s="9">
        <v>0.17199999999999999</v>
      </c>
      <c r="H130" s="6">
        <f t="shared" si="291"/>
        <v>74.851200000000006</v>
      </c>
      <c r="I130" s="6">
        <f t="shared" si="644"/>
        <v>23.600800000000003</v>
      </c>
      <c r="J130">
        <v>3.7</v>
      </c>
      <c r="K130" s="5">
        <v>7.4999999999999997E-2</v>
      </c>
      <c r="L130" s="17">
        <v>2169</v>
      </c>
      <c r="M130" s="5">
        <v>0.52600000000000002</v>
      </c>
      <c r="N130" s="6">
        <f t="shared" si="304"/>
        <v>15.5488</v>
      </c>
      <c r="O130" s="21">
        <f t="shared" si="426"/>
        <v>47.550400000000003</v>
      </c>
      <c r="P130" s="8">
        <f t="shared" si="341"/>
        <v>47.424628571428578</v>
      </c>
      <c r="Q130" s="8">
        <f t="shared" si="666"/>
        <v>66.799199999999999</v>
      </c>
      <c r="R130" s="6">
        <f t="shared" si="683"/>
        <v>23.600800000000003</v>
      </c>
      <c r="S130" s="6">
        <f t="shared" si="684"/>
        <v>6.78</v>
      </c>
      <c r="T130" s="6">
        <f t="shared" ref="T130" si="703">I130-I129</f>
        <v>0.21259999999999479</v>
      </c>
      <c r="U130" s="6">
        <f t="shared" ref="U130" si="704">N130-N129</f>
        <v>-0.26779999999999937</v>
      </c>
      <c r="V130" s="6">
        <f t="shared" ref="V130" si="705">E130-E129</f>
        <v>-0.5</v>
      </c>
      <c r="W130" s="9">
        <f>Tabla1[[#This Row],[Protein]]/Tabla1[[#This Row],[Peso (Kg)]]</f>
        <v>0.261070796460177</v>
      </c>
      <c r="X130" s="9">
        <f t="shared" si="345"/>
        <v>0.26352146664896481</v>
      </c>
      <c r="Y130" s="6">
        <f t="shared" si="688"/>
        <v>42.849600000000009</v>
      </c>
      <c r="Z130" s="6">
        <f t="shared" si="346"/>
        <v>90.135714285714272</v>
      </c>
      <c r="AA130" s="6">
        <f t="shared" ref="AA130" si="706">AVERAGE(N124:N130)</f>
        <v>15.259807142857142</v>
      </c>
      <c r="AB130" s="6">
        <f t="shared" ref="AB130" si="707">AVERAGE(R124:R130)</f>
        <v>23.751278571428568</v>
      </c>
      <c r="AC130" s="6">
        <f t="shared" ref="AC130:AC132" si="708">100*(AB130/AB129-1)</f>
        <v>-0.33536468399170127</v>
      </c>
      <c r="AD130" s="42">
        <f>Tabla1[[#This Row],[Avg Agua)]]/Tabla1[[#This Row],[Avg Musculo]]</f>
        <v>1.9967189736251798</v>
      </c>
    </row>
    <row r="131" spans="1:31" x14ac:dyDescent="0.3">
      <c r="A131">
        <v>4</v>
      </c>
      <c r="B131">
        <v>23</v>
      </c>
      <c r="C131" t="s">
        <v>23</v>
      </c>
      <c r="D131" s="4">
        <v>45265</v>
      </c>
      <c r="E131" s="6">
        <v>90.2</v>
      </c>
      <c r="F131" s="7">
        <f t="shared" si="85"/>
        <v>25.520597555454959</v>
      </c>
      <c r="G131" s="9">
        <v>0.17199999999999999</v>
      </c>
      <c r="H131" s="6">
        <f t="shared" si="291"/>
        <v>74.685600000000008</v>
      </c>
      <c r="I131" s="6">
        <f t="shared" si="644"/>
        <v>23.360000000000003</v>
      </c>
      <c r="J131">
        <v>3.7</v>
      </c>
      <c r="K131" s="5">
        <v>7.4999999999999997E-2</v>
      </c>
      <c r="L131" s="17">
        <v>2164</v>
      </c>
      <c r="M131" s="5">
        <v>0.52800000000000002</v>
      </c>
      <c r="N131" s="6">
        <f t="shared" si="304"/>
        <v>15.514399999999998</v>
      </c>
      <c r="O131" s="21">
        <f t="shared" si="426"/>
        <v>47.625600000000006</v>
      </c>
      <c r="P131" s="8">
        <f t="shared" si="341"/>
        <v>47.52431428571429</v>
      </c>
      <c r="Q131" s="8">
        <f t="shared" si="666"/>
        <v>66.84</v>
      </c>
      <c r="R131" s="6">
        <f t="shared" si="683"/>
        <v>23.360000000000003</v>
      </c>
      <c r="S131" s="6">
        <f t="shared" si="684"/>
        <v>6.7649999999999997</v>
      </c>
      <c r="T131" s="6">
        <f t="shared" ref="T131" si="709">I131-I130</f>
        <v>-0.24080000000000013</v>
      </c>
      <c r="U131" s="6">
        <f t="shared" ref="U131" si="710">N131-N130</f>
        <v>-3.440000000000154E-2</v>
      </c>
      <c r="V131" s="6">
        <f t="shared" ref="V131" si="711">E131-E130</f>
        <v>-0.20000000000000284</v>
      </c>
      <c r="W131" s="9">
        <f>Tabla1[[#This Row],[Protein]]/Tabla1[[#This Row],[Peso (Kg)]]</f>
        <v>0.25898004434589805</v>
      </c>
      <c r="X131" s="9">
        <f t="shared" si="345"/>
        <v>0.26196959311757473</v>
      </c>
      <c r="Y131" s="6">
        <f t="shared" si="688"/>
        <v>42.574400000000004</v>
      </c>
      <c r="Z131" s="6">
        <f t="shared" si="346"/>
        <v>90.178571428571431</v>
      </c>
      <c r="AA131" s="6">
        <f t="shared" ref="AA131" si="712">AVERAGE(N125:N131)</f>
        <v>15.331392857142857</v>
      </c>
      <c r="AB131" s="6">
        <f t="shared" ref="AB131" si="713">AVERAGE(R125:R131)</f>
        <v>23.622864285714286</v>
      </c>
      <c r="AC131" s="6">
        <f t="shared" si="708"/>
        <v>-0.54066262297456369</v>
      </c>
      <c r="AD131" s="42">
        <f>Tabla1[[#This Row],[Avg Agua)]]/Tabla1[[#This Row],[Avg Musculo]]</f>
        <v>2.0117930540054871</v>
      </c>
    </row>
    <row r="132" spans="1:31" x14ac:dyDescent="0.3">
      <c r="A132">
        <v>4</v>
      </c>
      <c r="B132">
        <v>23</v>
      </c>
      <c r="C132" t="s">
        <v>24</v>
      </c>
      <c r="D132" s="4">
        <v>45266</v>
      </c>
      <c r="E132" s="6">
        <v>89.05</v>
      </c>
      <c r="F132" s="7">
        <f t="shared" si="85"/>
        <v>25.19522408329561</v>
      </c>
      <c r="G132" s="9">
        <v>0.16500000000000001</v>
      </c>
      <c r="H132" s="6">
        <f t="shared" si="291"/>
        <v>74.356749999999991</v>
      </c>
      <c r="I132" s="6">
        <f t="shared" si="644"/>
        <v>23.994549999999993</v>
      </c>
      <c r="J132">
        <v>3.7</v>
      </c>
      <c r="K132" s="5">
        <v>7.4999999999999997E-2</v>
      </c>
      <c r="L132" s="17">
        <v>2152</v>
      </c>
      <c r="M132" s="5">
        <v>0.52400000000000002</v>
      </c>
      <c r="N132" s="6">
        <f t="shared" si="304"/>
        <v>14.693250000000001</v>
      </c>
      <c r="O132" s="21">
        <f t="shared" si="426"/>
        <v>46.662199999999999</v>
      </c>
      <c r="P132" s="8">
        <f t="shared" si="341"/>
        <v>47.481000000000002</v>
      </c>
      <c r="Q132" s="8">
        <f t="shared" si="666"/>
        <v>65.055450000000008</v>
      </c>
      <c r="R132" s="6">
        <f t="shared" si="683"/>
        <v>23.994549999999993</v>
      </c>
      <c r="S132" s="6">
        <f t="shared" si="684"/>
        <v>6.67875</v>
      </c>
      <c r="T132" s="6">
        <f t="shared" ref="T132" si="714">I132-I131</f>
        <v>0.63454999999999018</v>
      </c>
      <c r="U132" s="6">
        <f t="shared" ref="U132" si="715">N132-N131</f>
        <v>-0.8211499999999976</v>
      </c>
      <c r="V132" s="6">
        <f t="shared" ref="V132" si="716">E132-E131</f>
        <v>-1.1500000000000057</v>
      </c>
      <c r="W132" s="9">
        <f>Tabla1[[#This Row],[Protein]]/Tabla1[[#This Row],[Peso (Kg)]]</f>
        <v>0.26945030881527227</v>
      </c>
      <c r="X132" s="9">
        <f t="shared" si="345"/>
        <v>0.26192001903486944</v>
      </c>
      <c r="Y132" s="6">
        <f t="shared" si="688"/>
        <v>42.387799999999999</v>
      </c>
      <c r="Z132" s="6">
        <f t="shared" si="346"/>
        <v>90.071428571428569</v>
      </c>
      <c r="AA132" s="6">
        <f t="shared" ref="AA132" si="717">AVERAGE(N126:N132)</f>
        <v>15.300885714285714</v>
      </c>
      <c r="AB132" s="6">
        <f t="shared" ref="AB132" si="718">AVERAGE(R126:R132)</f>
        <v>23.589542857142863</v>
      </c>
      <c r="AC132" s="6">
        <f t="shared" si="708"/>
        <v>-0.1410558354330238</v>
      </c>
      <c r="AD132" s="42">
        <f>Tabla1[[#This Row],[Avg Agua)]]/Tabla1[[#This Row],[Avg Musculo]]</f>
        <v>2.0127986492804313</v>
      </c>
    </row>
    <row r="133" spans="1:31" x14ac:dyDescent="0.3">
      <c r="A133">
        <v>4</v>
      </c>
      <c r="B133">
        <v>23</v>
      </c>
      <c r="C133" t="s">
        <v>22</v>
      </c>
      <c r="D133" s="4">
        <v>45267</v>
      </c>
      <c r="E133" s="6">
        <v>89.25</v>
      </c>
      <c r="F133" s="7">
        <f t="shared" si="85"/>
        <v>25.25181077410593</v>
      </c>
      <c r="G133" s="9">
        <v>0.16300000000000001</v>
      </c>
      <c r="H133" s="6">
        <f t="shared" si="291"/>
        <v>74.702249999999992</v>
      </c>
      <c r="I133" s="6">
        <f t="shared" si="644"/>
        <v>24.14599999999999</v>
      </c>
      <c r="J133">
        <v>3.7</v>
      </c>
      <c r="K133" s="5">
        <v>7.0000000000000007E-2</v>
      </c>
      <c r="L133" s="17">
        <v>2161</v>
      </c>
      <c r="M133" s="5">
        <v>0.52500000000000002</v>
      </c>
      <c r="N133" s="6">
        <f t="shared" si="304"/>
        <v>14.547750000000001</v>
      </c>
      <c r="O133" s="21">
        <f t="shared" si="426"/>
        <v>46.856250000000003</v>
      </c>
      <c r="P133" s="8">
        <f t="shared" si="341"/>
        <v>47.363549999999996</v>
      </c>
      <c r="Q133" s="8">
        <f t="shared" si="666"/>
        <v>65.104000000000013</v>
      </c>
      <c r="R133" s="6">
        <f t="shared" si="683"/>
        <v>24.14599999999999</v>
      </c>
      <c r="S133" s="6">
        <f t="shared" si="684"/>
        <v>6.2475000000000005</v>
      </c>
      <c r="T133" s="6">
        <f t="shared" ref="T133" si="719">I133-I132</f>
        <v>0.15144999999999698</v>
      </c>
      <c r="U133" s="6">
        <f t="shared" ref="U133" si="720">N133-N132</f>
        <v>-0.14550000000000018</v>
      </c>
      <c r="V133" s="6">
        <f t="shared" ref="V133" si="721">E133-E132</f>
        <v>0.20000000000000284</v>
      </c>
      <c r="W133" s="9">
        <f>Tabla1[[#This Row],[Protein]]/Tabla1[[#This Row],[Peso (Kg)]]</f>
        <v>0.27054341736694665</v>
      </c>
      <c r="X133" s="9">
        <f t="shared" si="345"/>
        <v>0.26356543999395077</v>
      </c>
      <c r="Y133" s="6">
        <f t="shared" si="688"/>
        <v>42.393749999999997</v>
      </c>
      <c r="Z133" s="6">
        <f t="shared" si="346"/>
        <v>89.921428571428564</v>
      </c>
      <c r="AA133" s="6">
        <f t="shared" ref="AA133" si="722">AVERAGE(N127:N133)</f>
        <v>15.160335714285717</v>
      </c>
      <c r="AB133" s="6">
        <f t="shared" ref="AB133" si="723">AVERAGE(R127:R133)</f>
        <v>23.697542857142857</v>
      </c>
      <c r="AC133" s="6">
        <f t="shared" ref="AC133:AC134" si="724">100*(AB133/AB132-1)</f>
        <v>0.45782998277683618</v>
      </c>
      <c r="AD133" s="42">
        <f>Tabla1[[#This Row],[Avg Agua)]]/Tabla1[[#This Row],[Avg Musculo]]</f>
        <v>1.9986692411750946</v>
      </c>
    </row>
    <row r="134" spans="1:31" x14ac:dyDescent="0.3">
      <c r="A134">
        <v>4</v>
      </c>
      <c r="B134">
        <v>23</v>
      </c>
      <c r="C134" t="s">
        <v>20</v>
      </c>
      <c r="D134" s="4">
        <v>45268</v>
      </c>
      <c r="E134" s="6">
        <v>89.6</v>
      </c>
      <c r="F134" s="7">
        <f t="shared" si="85"/>
        <v>25.350837483023994</v>
      </c>
      <c r="G134" s="9">
        <v>0.16400000000000001</v>
      </c>
      <c r="H134" s="6">
        <f t="shared" si="291"/>
        <v>74.905599999999993</v>
      </c>
      <c r="I134" s="6">
        <f t="shared" si="644"/>
        <v>23.807199999999991</v>
      </c>
      <c r="J134">
        <v>3.7</v>
      </c>
      <c r="K134" s="5">
        <v>7.4999999999999997E-2</v>
      </c>
      <c r="L134" s="17">
        <v>2168</v>
      </c>
      <c r="M134" s="5">
        <v>0.52900000000000003</v>
      </c>
      <c r="N134" s="6">
        <f t="shared" si="304"/>
        <v>14.6944</v>
      </c>
      <c r="O134" s="21">
        <f t="shared" si="426"/>
        <v>47.398400000000002</v>
      </c>
      <c r="P134" s="8">
        <f t="shared" si="341"/>
        <v>47.361264285714284</v>
      </c>
      <c r="Q134" s="8">
        <f t="shared" si="666"/>
        <v>65.7928</v>
      </c>
      <c r="R134" s="6">
        <f t="shared" si="683"/>
        <v>23.807199999999991</v>
      </c>
      <c r="S134" s="6">
        <f t="shared" si="684"/>
        <v>6.72</v>
      </c>
      <c r="T134" s="6">
        <f t="shared" ref="T134" si="725">I134-I133</f>
        <v>-0.3387999999999991</v>
      </c>
      <c r="U134" s="6">
        <f t="shared" ref="U134" si="726">N134-N133</f>
        <v>0.14664999999999928</v>
      </c>
      <c r="V134" s="6">
        <f t="shared" ref="V134" si="727">E134-E133</f>
        <v>0.34999999999999432</v>
      </c>
      <c r="W134" s="9">
        <f>Tabla1[[#This Row],[Protein]]/Tabla1[[#This Row],[Peso (Kg)]]</f>
        <v>0.26570535714285703</v>
      </c>
      <c r="X134" s="9">
        <f t="shared" si="345"/>
        <v>0.26383801567232901</v>
      </c>
      <c r="Y134" s="6">
        <f t="shared" si="688"/>
        <v>42.201599999999992</v>
      </c>
      <c r="Z134" s="6">
        <f t="shared" si="346"/>
        <v>89.892857142857139</v>
      </c>
      <c r="AA134" s="6">
        <f t="shared" ref="AA134" si="728">AVERAGE(N128:N134)</f>
        <v>15.117164285714287</v>
      </c>
      <c r="AB134" s="6">
        <f t="shared" ref="AB134" si="729">AVERAGE(R128:R134)</f>
        <v>23.714428571428574</v>
      </c>
      <c r="AC134" s="6">
        <f t="shared" si="724"/>
        <v>7.1255127113856176E-2</v>
      </c>
      <c r="AD134" s="42">
        <f>Tabla1[[#This Row],[Avg Agua)]]/Tabla1[[#This Row],[Avg Musculo]]</f>
        <v>1.9971497159655662</v>
      </c>
    </row>
    <row r="135" spans="1:31" x14ac:dyDescent="0.3">
      <c r="A135">
        <v>4</v>
      </c>
      <c r="B135">
        <v>23</v>
      </c>
      <c r="C135" t="s">
        <v>25</v>
      </c>
      <c r="D135" s="4">
        <v>45269</v>
      </c>
      <c r="E135" s="6">
        <v>90.2</v>
      </c>
      <c r="F135" s="7">
        <f t="shared" si="85"/>
        <v>25.520597555454959</v>
      </c>
      <c r="G135" s="9">
        <v>0.17199999999999999</v>
      </c>
      <c r="H135" s="6">
        <f t="shared" si="291"/>
        <v>74.685600000000008</v>
      </c>
      <c r="I135" s="6">
        <f t="shared" si="644"/>
        <v>22.999200000000005</v>
      </c>
      <c r="J135">
        <v>3.7</v>
      </c>
      <c r="K135" s="5">
        <v>7.4999999999999997E-2</v>
      </c>
      <c r="L135" s="17">
        <v>2163</v>
      </c>
      <c r="M135" s="5">
        <v>0.53200000000000003</v>
      </c>
      <c r="N135" s="6">
        <f t="shared" si="304"/>
        <v>15.514399999999998</v>
      </c>
      <c r="O135" s="21">
        <f t="shared" si="426"/>
        <v>47.986400000000003</v>
      </c>
      <c r="P135" s="8">
        <f t="shared" si="341"/>
        <v>47.439207142857136</v>
      </c>
      <c r="Q135" s="8">
        <f t="shared" si="666"/>
        <v>67.200800000000001</v>
      </c>
      <c r="R135" s="6">
        <f t="shared" si="683"/>
        <v>22.999200000000005</v>
      </c>
      <c r="S135" s="6">
        <f t="shared" si="684"/>
        <v>6.7649999999999997</v>
      </c>
      <c r="T135" s="6">
        <f t="shared" ref="T135" si="730">I135-I134</f>
        <v>-0.80799999999998562</v>
      </c>
      <c r="U135" s="6">
        <f t="shared" ref="U135" si="731">N135-N134</f>
        <v>0.81999999999999851</v>
      </c>
      <c r="V135" s="6">
        <f t="shared" ref="V135" si="732">E135-E134</f>
        <v>0.60000000000000853</v>
      </c>
      <c r="W135" s="9">
        <f>Tabla1[[#This Row],[Protein]]/Tabla1[[#This Row],[Peso (Kg)]]</f>
        <v>0.25498004434589805</v>
      </c>
      <c r="X135" s="9">
        <f t="shared" si="345"/>
        <v>0.2625751282957155</v>
      </c>
      <c r="Y135" s="6">
        <f t="shared" si="688"/>
        <v>42.213600000000007</v>
      </c>
      <c r="Z135" s="6">
        <f t="shared" si="346"/>
        <v>89.94285714285715</v>
      </c>
      <c r="AA135" s="6">
        <f t="shared" ref="AA135" si="733">AVERAGE(N129:N135)</f>
        <v>15.189942857142857</v>
      </c>
      <c r="AB135" s="6">
        <f t="shared" ref="AB135" si="734">AVERAGE(R129:R135)</f>
        <v>23.613707142857141</v>
      </c>
      <c r="AC135" s="6">
        <f t="shared" ref="AC135" si="735">100*(AB135/AB134-1)</f>
        <v>-0.42472635707015982</v>
      </c>
      <c r="AD135" s="42">
        <f>Tabla1[[#This Row],[Avg Agua)]]/Tabla1[[#This Row],[Avg Musculo]]</f>
        <v>2.0089690642753193</v>
      </c>
    </row>
    <row r="136" spans="1:31" x14ac:dyDescent="0.3">
      <c r="A136">
        <v>4</v>
      </c>
      <c r="B136">
        <v>23</v>
      </c>
      <c r="C136" t="s">
        <v>26</v>
      </c>
      <c r="D136" s="4">
        <v>45270</v>
      </c>
      <c r="E136" s="6">
        <v>89.5</v>
      </c>
      <c r="F136" s="7">
        <f t="shared" si="85"/>
        <v>25.322544137618834</v>
      </c>
      <c r="G136" s="9">
        <v>0.16600000000000001</v>
      </c>
      <c r="H136" s="6">
        <f t="shared" si="291"/>
        <v>74.643000000000001</v>
      </c>
      <c r="I136" s="6">
        <f t="shared" si="644"/>
        <v>23.328999999999997</v>
      </c>
      <c r="J136">
        <v>3.7</v>
      </c>
      <c r="K136" s="5">
        <v>7.4999999999999997E-2</v>
      </c>
      <c r="L136" s="17">
        <v>2159</v>
      </c>
      <c r="M136" s="5">
        <v>0.53200000000000003</v>
      </c>
      <c r="N136" s="6">
        <f t="shared" si="304"/>
        <v>14.857000000000001</v>
      </c>
      <c r="O136" s="21">
        <f t="shared" si="426"/>
        <v>47.614000000000004</v>
      </c>
      <c r="P136" s="8">
        <f t="shared" si="341"/>
        <v>47.384750000000004</v>
      </c>
      <c r="Q136" s="8">
        <f t="shared" si="666"/>
        <v>66.171000000000006</v>
      </c>
      <c r="R136" s="6">
        <f t="shared" si="683"/>
        <v>23.328999999999997</v>
      </c>
      <c r="S136" s="6">
        <f t="shared" si="684"/>
        <v>6.7124999999999995</v>
      </c>
      <c r="T136" s="6">
        <f t="shared" ref="T136" si="736">I136-I135</f>
        <v>0.32979999999999166</v>
      </c>
      <c r="U136" s="6">
        <f t="shared" ref="U136" si="737">N136-N135</f>
        <v>-0.65739999999999732</v>
      </c>
      <c r="V136" s="6">
        <f t="shared" ref="V136" si="738">E136-E135</f>
        <v>-0.70000000000000284</v>
      </c>
      <c r="W136" s="9">
        <f>Tabla1[[#This Row],[Protein]]/Tabla1[[#This Row],[Peso (Kg)]]</f>
        <v>0.26065921787709495</v>
      </c>
      <c r="X136" s="9">
        <f t="shared" si="345"/>
        <v>0.26305559805059203</v>
      </c>
      <c r="Y136" s="6">
        <f t="shared" si="688"/>
        <v>41.886000000000003</v>
      </c>
      <c r="Z136" s="6">
        <f t="shared" si="346"/>
        <v>89.742857142857147</v>
      </c>
      <c r="AA136" s="6">
        <f t="shared" ref="AA136" si="739">AVERAGE(N130:N136)</f>
        <v>15.052857142857141</v>
      </c>
      <c r="AB136" s="6">
        <f t="shared" ref="AB136" si="740">AVERAGE(R130:R136)</f>
        <v>23.605250000000002</v>
      </c>
      <c r="AC136" s="6">
        <f t="shared" ref="AC136" si="741">100*(AB136/AB135-1)</f>
        <v>-3.5814549600265977E-2</v>
      </c>
      <c r="AD136" s="42">
        <f>Tabla1[[#This Row],[Avg Agua)]]/Tabla1[[#This Row],[Avg Musculo]]</f>
        <v>2.0073818324313448</v>
      </c>
    </row>
    <row r="137" spans="1:31" x14ac:dyDescent="0.3">
      <c r="A137">
        <v>5</v>
      </c>
      <c r="B137">
        <v>24</v>
      </c>
      <c r="C137" t="s">
        <v>21</v>
      </c>
      <c r="D137" s="4">
        <v>45271</v>
      </c>
      <c r="E137" s="6">
        <v>89.45</v>
      </c>
      <c r="F137" s="7">
        <f t="shared" si="85"/>
        <v>25.308397464916254</v>
      </c>
      <c r="G137" s="9">
        <v>0.16500000000000001</v>
      </c>
      <c r="H137" s="6">
        <f t="shared" si="291"/>
        <v>74.690750000000008</v>
      </c>
      <c r="I137" s="6">
        <f t="shared" si="644"/>
        <v>23.582250000000005</v>
      </c>
      <c r="J137">
        <v>3.7</v>
      </c>
      <c r="K137" s="5">
        <v>7.4999999999999997E-2</v>
      </c>
      <c r="L137" s="17">
        <v>2161</v>
      </c>
      <c r="M137" s="5">
        <v>0.53</v>
      </c>
      <c r="N137" s="6">
        <f t="shared" si="304"/>
        <v>14.759250000000002</v>
      </c>
      <c r="O137" s="21">
        <f t="shared" si="426"/>
        <v>47.408500000000004</v>
      </c>
      <c r="P137" s="8">
        <f t="shared" ref="P137:P200" si="742">AVERAGE(O131:O137)</f>
        <v>47.36447857142857</v>
      </c>
      <c r="Q137" s="8">
        <f t="shared" si="666"/>
        <v>65.867750000000001</v>
      </c>
      <c r="R137" s="6">
        <f t="shared" si="683"/>
        <v>23.582250000000005</v>
      </c>
      <c r="S137" s="6">
        <f t="shared" si="684"/>
        <v>6.7087500000000002</v>
      </c>
      <c r="T137" s="6">
        <f t="shared" ref="T137" si="743">I137-I136</f>
        <v>0.25325000000000841</v>
      </c>
      <c r="U137" s="6">
        <f t="shared" ref="U137" si="744">N137-N136</f>
        <v>-9.7749999999999559E-2</v>
      </c>
      <c r="V137" s="6">
        <f t="shared" ref="V137" si="745">E137-E136</f>
        <v>-4.9999999999997158E-2</v>
      </c>
      <c r="W137" s="9">
        <f>Tabla1[[#This Row],[Protein]]/Tabla1[[#This Row],[Peso (Kg)]]</f>
        <v>0.2636361095584126</v>
      </c>
      <c r="X137" s="9">
        <f t="shared" ref="X137:X200" si="746">AVERAGE(W131:W137)</f>
        <v>0.26342207135033996</v>
      </c>
      <c r="Y137" s="6">
        <f t="shared" si="688"/>
        <v>42.041500000000013</v>
      </c>
      <c r="Z137" s="6">
        <f t="shared" ref="Z137:Z200" si="747">AVERAGE(E131:E137)</f>
        <v>89.607142857142861</v>
      </c>
      <c r="AA137" s="6">
        <f t="shared" ref="AA137" si="748">AVERAGE(N131:N137)</f>
        <v>14.940064285714287</v>
      </c>
      <c r="AB137" s="6">
        <f t="shared" ref="AB137" si="749">AVERAGE(R131:R137)</f>
        <v>23.602599999999999</v>
      </c>
      <c r="AC137" s="6">
        <f t="shared" ref="AC137" si="750">100*(AB137/AB136-1)</f>
        <v>-1.1226316179679952E-2</v>
      </c>
      <c r="AD137" s="42">
        <f>Tabla1[[#This Row],[Avg Agua)]]/Tabla1[[#This Row],[Avg Musculo]]</f>
        <v>2.006748348547557</v>
      </c>
    </row>
    <row r="138" spans="1:31" x14ac:dyDescent="0.3">
      <c r="A138">
        <v>5</v>
      </c>
      <c r="B138">
        <v>24</v>
      </c>
      <c r="C138" t="s">
        <v>23</v>
      </c>
      <c r="D138" s="4">
        <v>45272</v>
      </c>
      <c r="E138" s="6">
        <v>89.15</v>
      </c>
      <c r="F138" s="7">
        <f t="shared" si="85"/>
        <v>25.223517428700774</v>
      </c>
      <c r="G138" s="9">
        <v>0.161</v>
      </c>
      <c r="H138" s="6">
        <f t="shared" si="291"/>
        <v>74.796850000000006</v>
      </c>
      <c r="I138" s="6">
        <f t="shared" si="644"/>
        <v>24.114799999999999</v>
      </c>
      <c r="J138">
        <v>3.7</v>
      </c>
      <c r="K138" s="5">
        <v>7.0000000000000007E-2</v>
      </c>
      <c r="L138" s="17">
        <v>2163</v>
      </c>
      <c r="M138" s="5">
        <v>0.52700000000000002</v>
      </c>
      <c r="N138" s="6">
        <f t="shared" si="304"/>
        <v>14.353150000000001</v>
      </c>
      <c r="O138" s="21">
        <f t="shared" ref="O138:O292" si="751">M138*E138</f>
        <v>46.982050000000008</v>
      </c>
      <c r="P138" s="8">
        <f t="shared" si="742"/>
        <v>47.272542857142859</v>
      </c>
      <c r="Q138" s="8">
        <f t="shared" ref="Q138:Q257" si="752">E138-R138</f>
        <v>65.035200000000003</v>
      </c>
      <c r="R138" s="6">
        <f t="shared" ref="R138:R257" si="753">I138</f>
        <v>24.114799999999999</v>
      </c>
      <c r="S138" s="6">
        <f t="shared" si="684"/>
        <v>6.2405000000000008</v>
      </c>
      <c r="T138" s="6">
        <f t="shared" ref="T138" si="754">I138-I137</f>
        <v>0.53254999999999342</v>
      </c>
      <c r="U138" s="6">
        <f t="shared" ref="U138" si="755">N138-N137</f>
        <v>-0.40610000000000035</v>
      </c>
      <c r="V138" s="6">
        <f t="shared" ref="V138" si="756">E138-E137</f>
        <v>-0.29999999999999716</v>
      </c>
      <c r="W138" s="9">
        <f>Tabla1[[#This Row],[Protein]]/Tabla1[[#This Row],[Peso (Kg)]]</f>
        <v>0.27049691531127312</v>
      </c>
      <c r="X138" s="9">
        <f t="shared" si="746"/>
        <v>0.26506733863110782</v>
      </c>
      <c r="Y138" s="6">
        <f t="shared" ref="Y138" si="757">R138+N138+J138</f>
        <v>42.167950000000005</v>
      </c>
      <c r="Z138" s="6">
        <f t="shared" si="747"/>
        <v>89.457142857142841</v>
      </c>
      <c r="AA138" s="6">
        <f t="shared" ref="AA138" si="758">AVERAGE(N132:N138)</f>
        <v>14.774171428571426</v>
      </c>
      <c r="AB138" s="6">
        <f t="shared" ref="AB138" si="759">AVERAGE(R132:R138)</f>
        <v>23.710428571428569</v>
      </c>
      <c r="AC138" s="6">
        <f t="shared" ref="AC138" si="760">100*(AB138/AB137-1)</f>
        <v>0.45685039541647487</v>
      </c>
      <c r="AD138" s="42">
        <f>Tabla1[[#This Row],[Avg Agua)]]/Tabla1[[#This Row],[Avg Musculo]]</f>
        <v>1.9937447657149057</v>
      </c>
    </row>
    <row r="139" spans="1:31" x14ac:dyDescent="0.3">
      <c r="A139">
        <v>5</v>
      </c>
      <c r="B139">
        <v>24</v>
      </c>
      <c r="C139" t="s">
        <v>24</v>
      </c>
      <c r="D139" s="4">
        <v>45273</v>
      </c>
      <c r="E139" s="6">
        <v>90.2</v>
      </c>
      <c r="F139" s="7">
        <f t="shared" si="85"/>
        <v>25.520597555454959</v>
      </c>
      <c r="G139" s="9">
        <v>0.17</v>
      </c>
      <c r="H139" s="6">
        <f t="shared" si="291"/>
        <v>74.866</v>
      </c>
      <c r="I139" s="6">
        <f t="shared" si="644"/>
        <v>23.089400000000008</v>
      </c>
      <c r="J139">
        <v>3.7</v>
      </c>
      <c r="K139" s="5">
        <v>7.4999999999999997E-2</v>
      </c>
      <c r="L139" s="17">
        <v>2169</v>
      </c>
      <c r="M139" s="5">
        <v>0.53299999999999992</v>
      </c>
      <c r="N139" s="6">
        <f t="shared" si="304"/>
        <v>15.334000000000001</v>
      </c>
      <c r="O139" s="21">
        <f t="shared" si="751"/>
        <v>48.076599999999992</v>
      </c>
      <c r="P139" s="8">
        <f t="shared" si="742"/>
        <v>47.474600000000002</v>
      </c>
      <c r="Q139" s="8">
        <f t="shared" si="752"/>
        <v>67.110599999999991</v>
      </c>
      <c r="R139" s="6">
        <f t="shared" si="753"/>
        <v>23.089400000000008</v>
      </c>
      <c r="S139" s="6">
        <f t="shared" si="684"/>
        <v>6.7649999999999997</v>
      </c>
      <c r="T139" s="6">
        <f t="shared" ref="T139" si="761">I139-I138</f>
        <v>-1.0253999999999905</v>
      </c>
      <c r="U139" s="6">
        <f t="shared" ref="U139" si="762">N139-N138</f>
        <v>0.98085000000000022</v>
      </c>
      <c r="V139" s="6">
        <f t="shared" ref="V139" si="763">E139-E138</f>
        <v>1.0499999999999972</v>
      </c>
      <c r="W139" s="9">
        <f>Tabla1[[#This Row],[Protein]]/Tabla1[[#This Row],[Peso (Kg)]]</f>
        <v>0.25598004434589811</v>
      </c>
      <c r="X139" s="9">
        <f t="shared" si="746"/>
        <v>0.26314301513548294</v>
      </c>
      <c r="Y139" s="6">
        <f t="shared" ref="Y139:Y151" si="764">R139+N139+J139</f>
        <v>42.123400000000011</v>
      </c>
      <c r="Z139" s="6">
        <f t="shared" si="747"/>
        <v>89.621428571428581</v>
      </c>
      <c r="AA139" s="6">
        <f t="shared" ref="AA139" si="765">AVERAGE(N133:N139)</f>
        <v>14.865707142857145</v>
      </c>
      <c r="AB139" s="6">
        <f t="shared" ref="AB139" si="766">AVERAGE(R133:R139)</f>
        <v>23.581121428571429</v>
      </c>
      <c r="AC139" s="6">
        <f t="shared" ref="AC139" si="767">100*(AB139/AB138-1)</f>
        <v>-0.54535978743529556</v>
      </c>
      <c r="AD139" s="42">
        <f>Tabla1[[#This Row],[Avg Agua)]]/Tabla1[[#This Row],[Avg Musculo]]</f>
        <v>2.0132460682077098</v>
      </c>
    </row>
    <row r="140" spans="1:31" x14ac:dyDescent="0.3">
      <c r="A140">
        <v>5</v>
      </c>
      <c r="B140">
        <v>24</v>
      </c>
      <c r="C140" t="s">
        <v>22</v>
      </c>
      <c r="D140" s="4">
        <v>45274</v>
      </c>
      <c r="E140" s="6">
        <v>90.15</v>
      </c>
      <c r="F140" s="7">
        <f t="shared" si="85"/>
        <v>25.506450882752379</v>
      </c>
      <c r="G140" s="9">
        <v>0.16800000000000001</v>
      </c>
      <c r="H140" s="6">
        <f t="shared" si="291"/>
        <v>75.004800000000003</v>
      </c>
      <c r="I140" s="6">
        <f t="shared" si="644"/>
        <v>23.435149999999997</v>
      </c>
      <c r="J140">
        <v>3.7</v>
      </c>
      <c r="K140" s="5">
        <v>7.4999999999999997E-2</v>
      </c>
      <c r="L140" s="17">
        <v>2172</v>
      </c>
      <c r="M140" s="5">
        <v>0.53100000000000003</v>
      </c>
      <c r="N140" s="6">
        <f t="shared" si="304"/>
        <v>15.145200000000003</v>
      </c>
      <c r="O140" s="21">
        <f t="shared" si="751"/>
        <v>47.869650000000007</v>
      </c>
      <c r="P140" s="8">
        <f t="shared" si="742"/>
        <v>47.619371428571426</v>
      </c>
      <c r="Q140" s="8">
        <f t="shared" si="752"/>
        <v>66.714850000000013</v>
      </c>
      <c r="R140" s="6">
        <f t="shared" si="753"/>
        <v>23.435149999999997</v>
      </c>
      <c r="S140" s="6">
        <f t="shared" si="684"/>
        <v>6.7612500000000004</v>
      </c>
      <c r="T140" s="6">
        <f t="shared" ref="T140" si="768">I140-I139</f>
        <v>0.34574999999998823</v>
      </c>
      <c r="U140" s="6">
        <f t="shared" ref="U140" si="769">N140-N139</f>
        <v>-0.18879999999999875</v>
      </c>
      <c r="V140" s="6">
        <f t="shared" ref="V140" si="770">E140-E139</f>
        <v>-4.9999999999997158E-2</v>
      </c>
      <c r="W140" s="9">
        <f>Tabla1[[#This Row],[Protein]]/Tabla1[[#This Row],[Peso (Kg)]]</f>
        <v>0.25995729339988904</v>
      </c>
      <c r="X140" s="9">
        <f t="shared" si="746"/>
        <v>0.26163071171161756</v>
      </c>
      <c r="Y140" s="6">
        <f t="shared" si="764"/>
        <v>42.280349999999999</v>
      </c>
      <c r="Z140" s="6">
        <f t="shared" si="747"/>
        <v>89.75</v>
      </c>
      <c r="AA140" s="6">
        <f t="shared" ref="AA140" si="771">AVERAGE(N134:N140)</f>
        <v>14.951057142857143</v>
      </c>
      <c r="AB140" s="6">
        <f t="shared" ref="AB140" si="772">AVERAGE(R134:R140)</f>
        <v>23.479571428571429</v>
      </c>
      <c r="AC140" s="6">
        <f t="shared" ref="AC140" si="773">100*(AB140/AB139-1)</f>
        <v>-0.43064109697921182</v>
      </c>
      <c r="AD140" s="42">
        <f>Tabla1[[#This Row],[Avg Agua)]]/Tabla1[[#This Row],[Avg Musculo]]</f>
        <v>2.0281192769398322</v>
      </c>
    </row>
    <row r="141" spans="1:31" x14ac:dyDescent="0.3">
      <c r="A141">
        <v>5</v>
      </c>
      <c r="B141">
        <v>24</v>
      </c>
      <c r="C141" t="s">
        <v>20</v>
      </c>
      <c r="D141" s="4">
        <v>45275</v>
      </c>
      <c r="E141" s="6">
        <v>90</v>
      </c>
      <c r="F141" s="7">
        <f t="shared" si="85"/>
        <v>25.464010864644639</v>
      </c>
      <c r="G141" s="9">
        <v>0.16800000000000001</v>
      </c>
      <c r="H141" s="6">
        <f t="shared" si="291"/>
        <v>74.88</v>
      </c>
      <c r="I141" s="6">
        <f t="shared" si="644"/>
        <v>23.479999999999993</v>
      </c>
      <c r="J141">
        <v>3.7</v>
      </c>
      <c r="K141" s="5">
        <v>7.4999999999999997E-2</v>
      </c>
      <c r="L141" s="17">
        <v>2167</v>
      </c>
      <c r="M141" s="5">
        <v>0.53</v>
      </c>
      <c r="N141" s="6">
        <f t="shared" si="304"/>
        <v>15.120000000000001</v>
      </c>
      <c r="O141" s="21">
        <f t="shared" si="751"/>
        <v>47.7</v>
      </c>
      <c r="P141" s="8">
        <f t="shared" si="742"/>
        <v>47.662457142857143</v>
      </c>
      <c r="Q141" s="8">
        <f t="shared" si="752"/>
        <v>66.52000000000001</v>
      </c>
      <c r="R141" s="6">
        <f t="shared" si="753"/>
        <v>23.479999999999993</v>
      </c>
      <c r="S141" s="6">
        <f t="shared" si="684"/>
        <v>6.75</v>
      </c>
      <c r="T141" s="6">
        <f t="shared" ref="T141" si="774">I141-I140</f>
        <v>4.4849999999996726E-2</v>
      </c>
      <c r="U141" s="6">
        <f t="shared" ref="U141" si="775">N141-N140</f>
        <v>-2.5200000000001666E-2</v>
      </c>
      <c r="V141" s="6">
        <f t="shared" ref="V141" si="776">E141-E140</f>
        <v>-0.15000000000000568</v>
      </c>
      <c r="W141" s="9">
        <f>Tabla1[[#This Row],[Protein]]/Tabla1[[#This Row],[Peso (Kg)]]</f>
        <v>0.26088888888888884</v>
      </c>
      <c r="X141" s="9">
        <f t="shared" si="746"/>
        <v>0.26094264481819351</v>
      </c>
      <c r="Y141" s="6">
        <f t="shared" si="764"/>
        <v>42.3</v>
      </c>
      <c r="Z141" s="6">
        <f t="shared" si="747"/>
        <v>89.80714285714285</v>
      </c>
      <c r="AA141" s="6">
        <f t="shared" ref="AA141" si="777">AVERAGE(N135:N141)</f>
        <v>15.011857142857144</v>
      </c>
      <c r="AB141" s="6">
        <f t="shared" ref="AB141" si="778">AVERAGE(R135:R141)</f>
        <v>23.432828571428576</v>
      </c>
      <c r="AC141" s="6">
        <f t="shared" ref="AC141" si="779">100*(AB141/AB140-1)</f>
        <v>-0.19907883448831987</v>
      </c>
      <c r="AD141" s="42">
        <f>Tabla1[[#This Row],[Avg Agua)]]/Tabla1[[#This Row],[Avg Musculo]]</f>
        <v>2.0340035773987406</v>
      </c>
    </row>
    <row r="142" spans="1:31" x14ac:dyDescent="0.3">
      <c r="A142">
        <v>5</v>
      </c>
      <c r="B142">
        <v>24</v>
      </c>
      <c r="C142" t="s">
        <v>25</v>
      </c>
      <c r="D142" s="4">
        <v>45276</v>
      </c>
      <c r="E142" s="6">
        <v>89.35</v>
      </c>
      <c r="F142" s="7">
        <f t="shared" si="85"/>
        <v>25.28010411951109</v>
      </c>
      <c r="G142" s="9">
        <v>0.16500000000000001</v>
      </c>
      <c r="H142" s="6">
        <f t="shared" si="291"/>
        <v>74.607249999999993</v>
      </c>
      <c r="I142" s="6">
        <f t="shared" si="644"/>
        <v>23.730449999999994</v>
      </c>
      <c r="J142">
        <v>3.7</v>
      </c>
      <c r="K142" s="5">
        <v>7.4999999999999997E-2</v>
      </c>
      <c r="L142" s="17">
        <v>2158</v>
      </c>
      <c r="M142" s="5">
        <v>0.52800000000000002</v>
      </c>
      <c r="N142" s="6">
        <f t="shared" si="304"/>
        <v>14.742749999999999</v>
      </c>
      <c r="O142" s="21">
        <f t="shared" si="751"/>
        <v>47.1768</v>
      </c>
      <c r="P142" s="8">
        <f t="shared" si="742"/>
        <v>47.546800000000005</v>
      </c>
      <c r="Q142" s="8">
        <f t="shared" si="752"/>
        <v>65.619550000000004</v>
      </c>
      <c r="R142" s="6">
        <f t="shared" si="753"/>
        <v>23.730449999999994</v>
      </c>
      <c r="S142" s="6">
        <f t="shared" si="684"/>
        <v>6.701249999999999</v>
      </c>
      <c r="T142" s="6">
        <f t="shared" ref="T142" si="780">I142-I141</f>
        <v>0.25045000000000073</v>
      </c>
      <c r="U142" s="6">
        <f t="shared" ref="U142" si="781">N142-N141</f>
        <v>-0.37725000000000186</v>
      </c>
      <c r="V142" s="6">
        <f t="shared" ref="V142" si="782">E142-E141</f>
        <v>-0.65000000000000568</v>
      </c>
      <c r="W142" s="9">
        <f>Tabla1[[#This Row],[Protein]]/Tabla1[[#This Row],[Peso (Kg)]]</f>
        <v>0.26558981533296022</v>
      </c>
      <c r="X142" s="9">
        <f t="shared" si="746"/>
        <v>0.26245832638777383</v>
      </c>
      <c r="Y142" s="6">
        <f t="shared" si="764"/>
        <v>42.173199999999994</v>
      </c>
      <c r="Z142" s="6">
        <f t="shared" si="747"/>
        <v>89.685714285714297</v>
      </c>
      <c r="AA142" s="6">
        <f t="shared" ref="AA142" si="783">AVERAGE(N136:N142)</f>
        <v>14.901621428571429</v>
      </c>
      <c r="AB142" s="6">
        <f t="shared" ref="AB142" si="784">AVERAGE(R136:R142)</f>
        <v>23.537292857142855</v>
      </c>
      <c r="AC142" s="6">
        <f t="shared" ref="AC142" si="785">100*(AB142/AB141-1)</f>
        <v>0.44580314064881499</v>
      </c>
      <c r="AD142" s="42">
        <f>Tabla1[[#This Row],[Avg Agua)]]/Tabla1[[#This Row],[Avg Musculo]]</f>
        <v>2.0200623873178767</v>
      </c>
    </row>
    <row r="143" spans="1:31" x14ac:dyDescent="0.3">
      <c r="A143">
        <v>5</v>
      </c>
      <c r="B143">
        <v>24</v>
      </c>
      <c r="C143" t="s">
        <v>26</v>
      </c>
      <c r="D143" s="4">
        <v>45277</v>
      </c>
      <c r="E143" s="6">
        <v>89</v>
      </c>
      <c r="F143" s="7">
        <f t="shared" si="85"/>
        <v>25.18107741059303</v>
      </c>
      <c r="G143" s="9">
        <v>0.161</v>
      </c>
      <c r="H143" s="6">
        <f t="shared" si="291"/>
        <v>74.670999999999992</v>
      </c>
      <c r="I143" s="6">
        <f t="shared" si="644"/>
        <v>24.067999999999994</v>
      </c>
      <c r="J143">
        <v>3.7</v>
      </c>
      <c r="K143" s="5">
        <v>7.0000000000000007E-2</v>
      </c>
      <c r="L143" s="17">
        <v>2158</v>
      </c>
      <c r="M143" s="5">
        <v>0.52700000000000002</v>
      </c>
      <c r="N143" s="6">
        <f t="shared" si="304"/>
        <v>14.329000000000001</v>
      </c>
      <c r="O143" s="21">
        <f t="shared" si="751"/>
        <v>46.902999999999999</v>
      </c>
      <c r="P143" s="8">
        <f t="shared" si="742"/>
        <v>47.445228571428579</v>
      </c>
      <c r="Q143" s="8">
        <f t="shared" si="752"/>
        <v>64.932000000000002</v>
      </c>
      <c r="R143" s="6">
        <f t="shared" si="753"/>
        <v>24.067999999999994</v>
      </c>
      <c r="S143" s="6">
        <f t="shared" si="684"/>
        <v>6.23</v>
      </c>
      <c r="T143" s="6">
        <f t="shared" ref="T143" si="786">I143-I142</f>
        <v>0.33755000000000024</v>
      </c>
      <c r="U143" s="6">
        <f t="shared" ref="U143" si="787">N143-N142</f>
        <v>-0.41374999999999851</v>
      </c>
      <c r="V143" s="6">
        <f t="shared" ref="V143" si="788">E143-E142</f>
        <v>-0.34999999999999432</v>
      </c>
      <c r="W143" s="9">
        <f>Tabla1[[#This Row],[Protein]]/Tabla1[[#This Row],[Peso (Kg)]]</f>
        <v>0.27042696629213475</v>
      </c>
      <c r="X143" s="9">
        <f t="shared" si="746"/>
        <v>0.2638537190184938</v>
      </c>
      <c r="Y143" s="6">
        <f t="shared" si="764"/>
        <v>42.096999999999994</v>
      </c>
      <c r="Z143" s="6">
        <f t="shared" si="747"/>
        <v>89.614285714285728</v>
      </c>
      <c r="AA143" s="6">
        <f t="shared" ref="AA143" si="789">AVERAGE(N137:N143)</f>
        <v>14.826192857142859</v>
      </c>
      <c r="AB143" s="6">
        <f t="shared" ref="AB143" si="790">AVERAGE(R137:R143)</f>
        <v>23.642864285714285</v>
      </c>
      <c r="AC143" s="6">
        <f t="shared" ref="AC143" si="791">100*(AB143/AB142-1)</f>
        <v>0.44852833846349416</v>
      </c>
      <c r="AD143" s="42">
        <f>Tabla1[[#This Row],[Avg Agua)]]/Tabla1[[#This Row],[Avg Musculo]]</f>
        <v>2.0067462215268215</v>
      </c>
    </row>
    <row r="144" spans="1:31" x14ac:dyDescent="0.3">
      <c r="A144">
        <v>5</v>
      </c>
      <c r="B144">
        <v>25</v>
      </c>
      <c r="C144" t="s">
        <v>21</v>
      </c>
      <c r="D144" s="4">
        <v>45278</v>
      </c>
      <c r="E144" s="6">
        <v>89.6</v>
      </c>
      <c r="F144" s="7">
        <f t="shared" si="85"/>
        <v>25.350837483023994</v>
      </c>
      <c r="G144" s="9">
        <v>0.16900000000000001</v>
      </c>
      <c r="H144" s="6">
        <f t="shared" si="291"/>
        <v>74.457599999999999</v>
      </c>
      <c r="I144" s="6">
        <f t="shared" si="644"/>
        <v>22.911199999999997</v>
      </c>
      <c r="J144">
        <v>3.7</v>
      </c>
      <c r="K144" s="5">
        <v>7.4999999999999997E-2</v>
      </c>
      <c r="L144" s="17">
        <v>2156</v>
      </c>
      <c r="M144" s="5">
        <v>0.53400000000000003</v>
      </c>
      <c r="N144" s="6">
        <f t="shared" si="304"/>
        <v>15.1424</v>
      </c>
      <c r="O144" s="21">
        <f t="shared" si="751"/>
        <v>47.846400000000003</v>
      </c>
      <c r="P144" s="8">
        <f t="shared" si="742"/>
        <v>47.507785714285724</v>
      </c>
      <c r="Q144" s="8">
        <f t="shared" si="752"/>
        <v>66.688800000000001</v>
      </c>
      <c r="R144" s="6">
        <f t="shared" si="753"/>
        <v>22.911199999999997</v>
      </c>
      <c r="S144" s="6">
        <f t="shared" si="684"/>
        <v>6.72</v>
      </c>
      <c r="T144" s="6">
        <f t="shared" ref="T144" si="792">I144-I143</f>
        <v>-1.1567999999999969</v>
      </c>
      <c r="U144" s="6">
        <f t="shared" ref="U144" si="793">N144-N143</f>
        <v>0.81339999999999968</v>
      </c>
      <c r="V144" s="6">
        <f t="shared" ref="V144" si="794">E144-E143</f>
        <v>0.59999999999999432</v>
      </c>
      <c r="W144" s="9">
        <f>Tabla1[[#This Row],[Protein]]/Tabla1[[#This Row],[Peso (Kg)]]</f>
        <v>0.25570535714285714</v>
      </c>
      <c r="X144" s="9">
        <f t="shared" si="746"/>
        <v>0.26272075438770021</v>
      </c>
      <c r="Y144" s="6">
        <f t="shared" si="764"/>
        <v>41.753599999999999</v>
      </c>
      <c r="Z144" s="6">
        <f t="shared" si="747"/>
        <v>89.635714285714286</v>
      </c>
      <c r="AA144" s="6">
        <f t="shared" ref="AA144" si="795">AVERAGE(N138:N144)</f>
        <v>14.880928571428571</v>
      </c>
      <c r="AB144" s="6">
        <f t="shared" ref="AB144" si="796">AVERAGE(R138:R144)</f>
        <v>23.546999999999997</v>
      </c>
      <c r="AC144" s="6">
        <f t="shared" ref="AC144:AC145" si="797">100*(AB144/AB143-1)</f>
        <v>-0.40546815544769688</v>
      </c>
      <c r="AD144" s="42">
        <f>Tabla1[[#This Row],[Avg Agua)]]/Tabla1[[#This Row],[Avg Musculo]]</f>
        <v>2.0175727572211208</v>
      </c>
    </row>
    <row r="145" spans="1:31" x14ac:dyDescent="0.3">
      <c r="A145">
        <v>5</v>
      </c>
      <c r="B145">
        <v>25</v>
      </c>
      <c r="C145" t="s">
        <v>23</v>
      </c>
      <c r="D145" s="4">
        <v>45279</v>
      </c>
      <c r="E145" s="6">
        <v>89.65</v>
      </c>
      <c r="F145" s="7">
        <f t="shared" si="85"/>
        <v>25.364984155726578</v>
      </c>
      <c r="G145" s="9">
        <v>0.16600000000000001</v>
      </c>
      <c r="H145" s="6">
        <f t="shared" si="291"/>
        <v>74.768100000000004</v>
      </c>
      <c r="I145" s="6">
        <f t="shared" si="644"/>
        <v>23.28465000000001</v>
      </c>
      <c r="J145">
        <v>3.7</v>
      </c>
      <c r="K145" s="5">
        <v>7.4999999999999997E-2</v>
      </c>
      <c r="L145" s="17">
        <v>2163</v>
      </c>
      <c r="M145" s="5">
        <v>0.53299999999999992</v>
      </c>
      <c r="N145" s="6">
        <f t="shared" si="304"/>
        <v>14.881900000000002</v>
      </c>
      <c r="O145" s="21">
        <f t="shared" si="751"/>
        <v>47.783449999999995</v>
      </c>
      <c r="P145" s="8">
        <f t="shared" si="742"/>
        <v>47.62227142857143</v>
      </c>
      <c r="Q145" s="8">
        <f t="shared" si="752"/>
        <v>66.365349999999992</v>
      </c>
      <c r="R145" s="6">
        <f t="shared" si="753"/>
        <v>23.28465000000001</v>
      </c>
      <c r="S145" s="6">
        <f t="shared" si="684"/>
        <v>6.7237499999999999</v>
      </c>
      <c r="T145" s="6">
        <f t="shared" ref="T145" si="798">I145-I144</f>
        <v>0.37345000000001249</v>
      </c>
      <c r="U145" s="6">
        <f t="shared" ref="U145" si="799">N145-N144</f>
        <v>-0.26049999999999862</v>
      </c>
      <c r="V145" s="6">
        <f t="shared" ref="V145" si="800">E145-E144</f>
        <v>5.0000000000011369E-2</v>
      </c>
      <c r="W145" s="9">
        <f>Tabla1[[#This Row],[Protein]]/Tabla1[[#This Row],[Peso (Kg)]]</f>
        <v>0.25972838817624105</v>
      </c>
      <c r="X145" s="9">
        <f t="shared" si="746"/>
        <v>0.26118239336840993</v>
      </c>
      <c r="Y145" s="6">
        <f t="shared" si="764"/>
        <v>41.866550000000018</v>
      </c>
      <c r="Z145" s="6">
        <f t="shared" si="747"/>
        <v>89.70714285714287</v>
      </c>
      <c r="AA145" s="6">
        <f t="shared" ref="AA145" si="801">AVERAGE(N139:N145)</f>
        <v>14.956464285714286</v>
      </c>
      <c r="AB145" s="6">
        <f t="shared" ref="AB145" si="802">AVERAGE(R139:R145)</f>
        <v>23.428407142857139</v>
      </c>
      <c r="AC145" s="6">
        <f t="shared" si="797"/>
        <v>-0.50364316958787514</v>
      </c>
      <c r="AD145" s="42">
        <f>Tabla1[[#This Row],[Avg Agua)]]/Tabla1[[#This Row],[Avg Musculo]]</f>
        <v>2.0326721803232162</v>
      </c>
    </row>
    <row r="146" spans="1:31" x14ac:dyDescent="0.3">
      <c r="A146">
        <v>5</v>
      </c>
      <c r="B146">
        <v>25</v>
      </c>
      <c r="C146" t="s">
        <v>24</v>
      </c>
      <c r="D146" s="4">
        <v>45280</v>
      </c>
      <c r="E146" s="6">
        <v>89.65</v>
      </c>
      <c r="F146" s="7">
        <f t="shared" si="85"/>
        <v>25.364984155726578</v>
      </c>
      <c r="G146" s="9">
        <v>0.16400000000000001</v>
      </c>
      <c r="H146" s="6">
        <f t="shared" si="291"/>
        <v>74.947400000000002</v>
      </c>
      <c r="I146" s="6">
        <f t="shared" si="644"/>
        <v>23.553599999999999</v>
      </c>
      <c r="J146">
        <v>3.7</v>
      </c>
      <c r="K146" s="5">
        <v>7.4999999999999997E-2</v>
      </c>
      <c r="L146" s="17">
        <v>2169</v>
      </c>
      <c r="M146" s="5">
        <v>0.53200000000000003</v>
      </c>
      <c r="N146" s="6">
        <f t="shared" si="304"/>
        <v>14.702600000000002</v>
      </c>
      <c r="O146" s="21">
        <f t="shared" si="751"/>
        <v>47.693800000000003</v>
      </c>
      <c r="P146" s="8">
        <f t="shared" si="742"/>
        <v>47.56758571428572</v>
      </c>
      <c r="Q146" s="8">
        <f t="shared" si="752"/>
        <v>66.096400000000003</v>
      </c>
      <c r="R146" s="6">
        <f t="shared" si="753"/>
        <v>23.553599999999999</v>
      </c>
      <c r="S146" s="6">
        <f t="shared" si="684"/>
        <v>6.7237499999999999</v>
      </c>
      <c r="T146" s="6">
        <f t="shared" ref="T146" si="803">I146-I145</f>
        <v>0.26894999999998959</v>
      </c>
      <c r="U146" s="6">
        <f t="shared" ref="U146" si="804">N146-N145</f>
        <v>-0.17929999999999957</v>
      </c>
      <c r="V146" s="6">
        <f t="shared" ref="V146" si="805">E146-E145</f>
        <v>0</v>
      </c>
      <c r="W146" s="9">
        <f>Tabla1[[#This Row],[Protein]]/Tabla1[[#This Row],[Peso (Kg)]]</f>
        <v>0.26272838817624089</v>
      </c>
      <c r="X146" s="9">
        <f t="shared" si="746"/>
        <v>0.26214644248703028</v>
      </c>
      <c r="Y146" s="6">
        <f t="shared" si="764"/>
        <v>41.956200000000003</v>
      </c>
      <c r="Z146" s="6">
        <f t="shared" si="747"/>
        <v>89.628571428571419</v>
      </c>
      <c r="AA146" s="6">
        <f t="shared" ref="AA146" si="806">AVERAGE(N140:N146)</f>
        <v>14.866264285714285</v>
      </c>
      <c r="AB146" s="6">
        <f t="shared" ref="AB146" si="807">AVERAGE(R140:R146)</f>
        <v>23.494721428571427</v>
      </c>
      <c r="AC146" s="6">
        <f t="shared" ref="AC146" si="808">100*(AB146/AB145-1)</f>
        <v>0.28305076529500095</v>
      </c>
      <c r="AD146" s="42">
        <f>Tabla1[[#This Row],[Avg Agua)]]/Tabla1[[#This Row],[Avg Musculo]]</f>
        <v>2.0246073510128872</v>
      </c>
    </row>
    <row r="147" spans="1:31" x14ac:dyDescent="0.3">
      <c r="A147">
        <v>5</v>
      </c>
      <c r="B147">
        <v>25</v>
      </c>
      <c r="C147" t="s">
        <v>22</v>
      </c>
      <c r="D147" s="4">
        <v>45281</v>
      </c>
      <c r="E147" s="6">
        <v>89.6</v>
      </c>
      <c r="F147" s="7">
        <f t="shared" si="85"/>
        <v>25.350837483023994</v>
      </c>
      <c r="G147" s="9">
        <v>0.16400000000000001</v>
      </c>
      <c r="H147" s="6">
        <f t="shared" si="291"/>
        <v>74.905599999999993</v>
      </c>
      <c r="I147" s="6">
        <f t="shared" si="644"/>
        <v>23.807199999999991</v>
      </c>
      <c r="J147">
        <v>3.7</v>
      </c>
      <c r="K147" s="5">
        <v>7.4999999999999997E-2</v>
      </c>
      <c r="L147" s="17">
        <v>2166</v>
      </c>
      <c r="M147" s="5">
        <v>0.52900000000000003</v>
      </c>
      <c r="N147" s="6">
        <f t="shared" si="304"/>
        <v>14.6944</v>
      </c>
      <c r="O147" s="21">
        <f t="shared" si="751"/>
        <v>47.398400000000002</v>
      </c>
      <c r="P147" s="8">
        <f t="shared" si="742"/>
        <v>47.500264285714273</v>
      </c>
      <c r="Q147" s="8">
        <f t="shared" si="752"/>
        <v>65.7928</v>
      </c>
      <c r="R147" s="6">
        <f t="shared" si="753"/>
        <v>23.807199999999991</v>
      </c>
      <c r="S147" s="6">
        <f t="shared" si="684"/>
        <v>6.72</v>
      </c>
      <c r="T147" s="6">
        <f t="shared" ref="T147" si="809">I147-I146</f>
        <v>0.25359999999999161</v>
      </c>
      <c r="U147" s="6">
        <f t="shared" ref="U147" si="810">N147-N146</f>
        <v>-8.2000000000022055E-3</v>
      </c>
      <c r="V147" s="6">
        <f t="shared" ref="V147" si="811">E147-E146</f>
        <v>-5.0000000000011369E-2</v>
      </c>
      <c r="W147" s="9">
        <f>Tabla1[[#This Row],[Protein]]/Tabla1[[#This Row],[Peso (Kg)]]</f>
        <v>0.26570535714285703</v>
      </c>
      <c r="X147" s="9">
        <f t="shared" si="746"/>
        <v>0.26296759445031143</v>
      </c>
      <c r="Y147" s="6">
        <f t="shared" si="764"/>
        <v>42.201599999999992</v>
      </c>
      <c r="Z147" s="6">
        <f t="shared" si="747"/>
        <v>89.55</v>
      </c>
      <c r="AA147" s="6">
        <f t="shared" ref="AA147" si="812">AVERAGE(N141:N147)</f>
        <v>14.801864285714286</v>
      </c>
      <c r="AB147" s="6">
        <f t="shared" ref="AB147" si="813">AVERAGE(R141:R147)</f>
        <v>23.547871428571426</v>
      </c>
      <c r="AC147" s="6">
        <f t="shared" ref="AC147" si="814">100*(AB147/AB146-1)</f>
        <v>0.22622102654668019</v>
      </c>
      <c r="AD147" s="42">
        <f>Tabla1[[#This Row],[Avg Agua)]]/Tabla1[[#This Row],[Avg Musculo]]</f>
        <v>2.0171786834236149</v>
      </c>
    </row>
    <row r="148" spans="1:31" x14ac:dyDescent="0.3">
      <c r="A148">
        <v>5</v>
      </c>
      <c r="B148">
        <v>25</v>
      </c>
      <c r="C148" t="s">
        <v>20</v>
      </c>
      <c r="D148" s="4">
        <v>45282</v>
      </c>
      <c r="E148" s="6">
        <v>90.15</v>
      </c>
      <c r="F148" s="7">
        <f t="shared" si="85"/>
        <v>25.506450882752379</v>
      </c>
      <c r="G148" s="9">
        <v>0.16800000000000001</v>
      </c>
      <c r="H148" s="6">
        <f t="shared" si="291"/>
        <v>75.004800000000003</v>
      </c>
      <c r="I148" s="6">
        <f t="shared" si="644"/>
        <v>23.074549999999999</v>
      </c>
      <c r="J148">
        <v>3.7</v>
      </c>
      <c r="K148" s="5">
        <v>7.4999999999999997E-2</v>
      </c>
      <c r="L148" s="17">
        <v>2172</v>
      </c>
      <c r="M148" s="5">
        <v>0.53500000000000003</v>
      </c>
      <c r="N148" s="6">
        <f t="shared" si="304"/>
        <v>15.145200000000003</v>
      </c>
      <c r="O148" s="21">
        <f t="shared" si="751"/>
        <v>48.230250000000005</v>
      </c>
      <c r="P148" s="8">
        <f t="shared" si="742"/>
        <v>47.576014285714287</v>
      </c>
      <c r="Q148" s="8">
        <f t="shared" si="752"/>
        <v>67.075450000000004</v>
      </c>
      <c r="R148" s="6">
        <f t="shared" si="753"/>
        <v>23.074549999999999</v>
      </c>
      <c r="S148" s="6">
        <f t="shared" si="684"/>
        <v>6.7612500000000004</v>
      </c>
      <c r="T148" s="6">
        <f t="shared" ref="T148" si="815">I148-I147</f>
        <v>-0.73264999999999247</v>
      </c>
      <c r="U148" s="6">
        <f t="shared" ref="U148" si="816">N148-N147</f>
        <v>0.45080000000000275</v>
      </c>
      <c r="V148" s="6">
        <f t="shared" ref="V148" si="817">E148-E147</f>
        <v>0.55000000000001137</v>
      </c>
      <c r="W148" s="9">
        <f>Tabla1[[#This Row],[Protein]]/Tabla1[[#This Row],[Peso (Kg)]]</f>
        <v>0.25595729339988904</v>
      </c>
      <c r="X148" s="9">
        <f t="shared" si="746"/>
        <v>0.26226308080902577</v>
      </c>
      <c r="Y148" s="6">
        <f t="shared" si="764"/>
        <v>41.919750000000008</v>
      </c>
      <c r="Z148" s="6">
        <f t="shared" si="747"/>
        <v>89.571428571428569</v>
      </c>
      <c r="AA148" s="6">
        <f t="shared" ref="AA148" si="818">AVERAGE(N142:N148)</f>
        <v>14.805464285714288</v>
      </c>
      <c r="AB148" s="6">
        <f t="shared" ref="AB148" si="819">AVERAGE(R142:R148)</f>
        <v>23.489949999999997</v>
      </c>
      <c r="AC148" s="6">
        <f t="shared" ref="AC148" si="820">100*(AB148/AB147-1)</f>
        <v>-0.24597309674941892</v>
      </c>
      <c r="AD148" s="42">
        <f>Tabla1[[#This Row],[Avg Agua)]]/Tabla1[[#This Row],[Avg Musculo]]</f>
        <v>2.0253774182454323</v>
      </c>
    </row>
    <row r="149" spans="1:31" x14ac:dyDescent="0.3">
      <c r="A149">
        <v>5</v>
      </c>
      <c r="B149">
        <v>25</v>
      </c>
      <c r="C149" t="s">
        <v>25</v>
      </c>
      <c r="D149" s="4">
        <v>45283</v>
      </c>
      <c r="E149" s="6">
        <v>90.6</v>
      </c>
      <c r="F149" s="7">
        <f t="shared" si="85"/>
        <v>25.6337709370756</v>
      </c>
      <c r="G149" s="9">
        <v>0.17199999999999999</v>
      </c>
      <c r="H149" s="6">
        <f t="shared" si="291"/>
        <v>75.016799999999989</v>
      </c>
      <c r="I149" s="6">
        <f t="shared" si="644"/>
        <v>22.755199999999991</v>
      </c>
      <c r="J149">
        <v>3.7</v>
      </c>
      <c r="K149" s="5">
        <v>7.4999999999999997E-2</v>
      </c>
      <c r="L149" s="17">
        <v>2176</v>
      </c>
      <c r="M149" s="5">
        <v>0.53600000000000003</v>
      </c>
      <c r="N149" s="6">
        <f t="shared" si="304"/>
        <v>15.583199999999998</v>
      </c>
      <c r="O149" s="21">
        <f t="shared" si="751"/>
        <v>48.561599999999999</v>
      </c>
      <c r="P149" s="8">
        <f t="shared" si="742"/>
        <v>47.77384285714286</v>
      </c>
      <c r="Q149" s="8">
        <f t="shared" si="752"/>
        <v>67.844800000000006</v>
      </c>
      <c r="R149" s="6">
        <f t="shared" si="753"/>
        <v>22.755199999999991</v>
      </c>
      <c r="S149" s="6">
        <f t="shared" si="684"/>
        <v>6.794999999999999</v>
      </c>
      <c r="T149" s="6">
        <f t="shared" ref="T149" si="821">I149-I148</f>
        <v>-0.31935000000000713</v>
      </c>
      <c r="U149" s="6">
        <f t="shared" ref="U149" si="822">N149-N148</f>
        <v>0.43799999999999528</v>
      </c>
      <c r="V149" s="6">
        <f t="shared" ref="V149" si="823">E149-E148</f>
        <v>0.44999999999998863</v>
      </c>
      <c r="W149" s="9">
        <f>Tabla1[[#This Row],[Protein]]/Tabla1[[#This Row],[Peso (Kg)]]</f>
        <v>0.2511611479028697</v>
      </c>
      <c r="X149" s="9">
        <f t="shared" si="746"/>
        <v>0.26020184260472712</v>
      </c>
      <c r="Y149" s="6">
        <f t="shared" si="764"/>
        <v>42.038399999999996</v>
      </c>
      <c r="Z149" s="6">
        <f t="shared" si="747"/>
        <v>89.75</v>
      </c>
      <c r="AA149" s="6">
        <f t="shared" ref="AA149" si="824">AVERAGE(N143:N149)</f>
        <v>14.925528571428572</v>
      </c>
      <c r="AB149" s="6">
        <f t="shared" ref="AB149" si="825">AVERAGE(R143:R149)</f>
        <v>23.350628571428569</v>
      </c>
      <c r="AC149" s="6">
        <f t="shared" ref="AC149" si="826">100*(AB149/AB148-1)</f>
        <v>-0.59311079236621378</v>
      </c>
      <c r="AD149" s="42">
        <f>Tabla1[[#This Row],[Avg Agua)]]/Tabla1[[#This Row],[Avg Musculo]]</f>
        <v>2.0459339118433033</v>
      </c>
    </row>
    <row r="150" spans="1:31" x14ac:dyDescent="0.3">
      <c r="A150">
        <v>5</v>
      </c>
      <c r="B150">
        <v>25</v>
      </c>
      <c r="C150" t="s">
        <v>26</v>
      </c>
      <c r="D150" s="4">
        <v>45284</v>
      </c>
      <c r="E150" s="6">
        <v>90.05</v>
      </c>
      <c r="F150" s="7">
        <f t="shared" si="85"/>
        <v>25.478157537347215</v>
      </c>
      <c r="G150" s="9">
        <v>0.16900000000000001</v>
      </c>
      <c r="H150" s="6">
        <f t="shared" si="291"/>
        <v>74.831549999999993</v>
      </c>
      <c r="I150" s="6">
        <f t="shared" si="644"/>
        <v>23.224949999999989</v>
      </c>
      <c r="J150">
        <v>3.7</v>
      </c>
      <c r="K150" s="5">
        <v>7.4999999999999997E-2</v>
      </c>
      <c r="L150" s="17">
        <v>2167</v>
      </c>
      <c r="M150" s="5">
        <v>0.53200000000000003</v>
      </c>
      <c r="N150" s="6">
        <f t="shared" si="304"/>
        <v>15.218450000000001</v>
      </c>
      <c r="O150" s="21">
        <f t="shared" si="751"/>
        <v>47.906600000000005</v>
      </c>
      <c r="P150" s="8">
        <f t="shared" si="742"/>
        <v>47.917214285714294</v>
      </c>
      <c r="Q150" s="8">
        <f t="shared" si="752"/>
        <v>66.825050000000005</v>
      </c>
      <c r="R150" s="6">
        <f t="shared" si="753"/>
        <v>23.224949999999989</v>
      </c>
      <c r="S150" s="6">
        <f t="shared" si="684"/>
        <v>6.7537499999999993</v>
      </c>
      <c r="T150" s="6">
        <f t="shared" ref="T150" si="827">I150-I149</f>
        <v>0.46974999999999767</v>
      </c>
      <c r="U150" s="6">
        <f t="shared" ref="U150" si="828">N150-N149</f>
        <v>-0.36474999999999724</v>
      </c>
      <c r="V150" s="6">
        <f t="shared" ref="V150" si="829">E150-E149</f>
        <v>-0.54999999999999716</v>
      </c>
      <c r="W150" s="9">
        <f>Tabla1[[#This Row],[Protein]]/Tabla1[[#This Row],[Peso (Kg)]]</f>
        <v>0.25791171571349242</v>
      </c>
      <c r="X150" s="9">
        <f t="shared" si="746"/>
        <v>0.25841394966492104</v>
      </c>
      <c r="Y150" s="6">
        <f t="shared" si="764"/>
        <v>42.143399999999993</v>
      </c>
      <c r="Z150" s="6">
        <f t="shared" si="747"/>
        <v>89.899999999999991</v>
      </c>
      <c r="AA150" s="6">
        <f t="shared" ref="AA150" si="830">AVERAGE(N144:N150)</f>
        <v>15.05259285714286</v>
      </c>
      <c r="AB150" s="6">
        <f t="shared" ref="AB150" si="831">AVERAGE(R144:R150)</f>
        <v>23.230192857142857</v>
      </c>
      <c r="AC150" s="6">
        <f t="shared" ref="AC150" si="832">100*(AB150/AB149-1)</f>
        <v>-0.51577075930656635</v>
      </c>
      <c r="AD150" s="42">
        <f>Tabla1[[#This Row],[Avg Agua)]]/Tabla1[[#This Row],[Avg Musculo]]</f>
        <v>2.062712719622585</v>
      </c>
      <c r="AE150" t="s">
        <v>51</v>
      </c>
    </row>
    <row r="151" spans="1:31" x14ac:dyDescent="0.3">
      <c r="A151">
        <v>5</v>
      </c>
      <c r="B151">
        <v>26</v>
      </c>
      <c r="C151" t="s">
        <v>21</v>
      </c>
      <c r="D151" s="4">
        <v>45285</v>
      </c>
      <c r="E151" s="6">
        <v>90.35</v>
      </c>
      <c r="F151" s="7">
        <f t="shared" si="85"/>
        <v>25.563037573562699</v>
      </c>
      <c r="G151" s="9">
        <v>0.17499999999999999</v>
      </c>
      <c r="H151" s="6">
        <f t="shared" si="291"/>
        <v>74.538749999999993</v>
      </c>
      <c r="I151" s="6">
        <f t="shared" si="644"/>
        <v>22.049749999999992</v>
      </c>
      <c r="J151">
        <v>3.7</v>
      </c>
      <c r="K151" s="5">
        <v>7.4999999999999997E-2</v>
      </c>
      <c r="L151" s="17">
        <v>2161</v>
      </c>
      <c r="M151" s="5">
        <v>0.54</v>
      </c>
      <c r="N151" s="6">
        <f t="shared" si="304"/>
        <v>15.811249999999998</v>
      </c>
      <c r="O151" s="21">
        <f t="shared" si="751"/>
        <v>48.789000000000001</v>
      </c>
      <c r="P151" s="8">
        <f t="shared" si="742"/>
        <v>48.051871428571431</v>
      </c>
      <c r="Q151" s="8">
        <f t="shared" si="752"/>
        <v>68.300250000000005</v>
      </c>
      <c r="R151" s="6">
        <f t="shared" si="753"/>
        <v>22.049749999999992</v>
      </c>
      <c r="S151" s="6">
        <f t="shared" si="684"/>
        <v>6.7762499999999992</v>
      </c>
      <c r="T151" s="6">
        <f t="shared" ref="T151" si="833">I151-I150</f>
        <v>-1.1751999999999967</v>
      </c>
      <c r="U151" s="6">
        <f t="shared" ref="U151" si="834">N151-N150</f>
        <v>0.59279999999999688</v>
      </c>
      <c r="V151" s="6">
        <f t="shared" ref="V151" si="835">E151-E150</f>
        <v>0.29999999999999716</v>
      </c>
      <c r="W151" s="9">
        <f>Tabla1[[#This Row],[Protein]]/Tabla1[[#This Row],[Peso (Kg)]]</f>
        <v>0.24404814609850575</v>
      </c>
      <c r="X151" s="9">
        <f t="shared" si="746"/>
        <v>0.25674863380144225</v>
      </c>
      <c r="Y151" s="6">
        <f t="shared" si="764"/>
        <v>41.560999999999993</v>
      </c>
      <c r="Z151" s="6">
        <f t="shared" si="747"/>
        <v>90.007142857142853</v>
      </c>
      <c r="AA151" s="6">
        <f t="shared" ref="AA151" si="836">AVERAGE(N145:N151)</f>
        <v>15.14814285714286</v>
      </c>
      <c r="AB151" s="6">
        <f t="shared" ref="AB151" si="837">AVERAGE(R145:R151)</f>
        <v>23.107128571428568</v>
      </c>
      <c r="AC151" s="6">
        <f t="shared" ref="AC151:AC153" si="838">100*(AB151/AB150-1)</f>
        <v>-0.52976006902348827</v>
      </c>
      <c r="AD151" s="42">
        <f>Tabla1[[#This Row],[Avg Agua)]]/Tabla1[[#This Row],[Avg Musculo]]</f>
        <v>2.0795258606033147</v>
      </c>
      <c r="AE151" t="s">
        <v>52</v>
      </c>
    </row>
    <row r="152" spans="1:31" x14ac:dyDescent="0.3">
      <c r="A152">
        <v>5</v>
      </c>
      <c r="B152">
        <v>26</v>
      </c>
      <c r="C152" t="s">
        <v>23</v>
      </c>
      <c r="D152" s="4">
        <v>45286</v>
      </c>
      <c r="E152" s="6">
        <v>90.85</v>
      </c>
      <c r="F152" s="7">
        <f t="shared" si="85"/>
        <v>25.704504300588503</v>
      </c>
      <c r="G152" s="9">
        <v>0.17199999999999999</v>
      </c>
      <c r="H152" s="6">
        <f t="shared" si="291"/>
        <v>75.223799999999997</v>
      </c>
      <c r="I152" s="6">
        <f t="shared" si="644"/>
        <v>22.646500000000007</v>
      </c>
      <c r="J152">
        <v>3.7</v>
      </c>
      <c r="K152" s="5">
        <v>7.4999999999999997E-2</v>
      </c>
      <c r="L152" s="17">
        <v>2181</v>
      </c>
      <c r="M152" s="5">
        <v>0.53799999999999992</v>
      </c>
      <c r="N152" s="6">
        <f t="shared" si="304"/>
        <v>15.626199999999997</v>
      </c>
      <c r="O152" s="21">
        <f t="shared" si="751"/>
        <v>48.877299999999991</v>
      </c>
      <c r="P152" s="8">
        <f t="shared" si="742"/>
        <v>48.208135714285717</v>
      </c>
      <c r="Q152" s="8">
        <f t="shared" si="752"/>
        <v>68.203499999999991</v>
      </c>
      <c r="R152" s="6">
        <f t="shared" si="753"/>
        <v>22.646500000000007</v>
      </c>
      <c r="S152" s="6">
        <f t="shared" si="684"/>
        <v>6.8137499999999998</v>
      </c>
      <c r="T152" s="6">
        <f t="shared" ref="T152" si="839">I152-I151</f>
        <v>0.59675000000001432</v>
      </c>
      <c r="U152" s="6">
        <f t="shared" ref="U152" si="840">N152-N151</f>
        <v>-0.18505000000000038</v>
      </c>
      <c r="V152" s="6">
        <f t="shared" ref="V152" si="841">E152-E151</f>
        <v>0.5</v>
      </c>
      <c r="W152" s="9">
        <f>Tabla1[[#This Row],[Protein]]/Tabla1[[#This Row],[Peso (Kg)]]</f>
        <v>0.24927352779306558</v>
      </c>
      <c r="X152" s="9">
        <f t="shared" si="746"/>
        <v>0.25525508231813149</v>
      </c>
      <c r="Y152" s="6">
        <f t="shared" ref="Y152:Y257" si="842">R152+N152+J152</f>
        <v>41.972700000000003</v>
      </c>
      <c r="Z152" s="6">
        <f t="shared" si="747"/>
        <v>90.178571428571431</v>
      </c>
      <c r="AA152" s="6">
        <f t="shared" ref="AA152" si="843">AVERAGE(N146:N152)</f>
        <v>15.25447142857143</v>
      </c>
      <c r="AB152" s="6">
        <f t="shared" ref="AB152" si="844">AVERAGE(R146:R152)</f>
        <v>23.015964285714283</v>
      </c>
      <c r="AC152" s="6">
        <f t="shared" si="838"/>
        <v>-0.39452883742122635</v>
      </c>
      <c r="AD152" s="42">
        <f>Tabla1[[#This Row],[Avg Agua)]]/Tabla1[[#This Row],[Avg Musculo]]</f>
        <v>2.0945520733279857</v>
      </c>
    </row>
    <row r="153" spans="1:31" x14ac:dyDescent="0.3">
      <c r="A153">
        <v>5</v>
      </c>
      <c r="B153">
        <v>26</v>
      </c>
      <c r="C153" t="s">
        <v>26</v>
      </c>
      <c r="D153" s="4">
        <v>45291</v>
      </c>
      <c r="E153" s="6">
        <v>90.7</v>
      </c>
      <c r="F153" s="7">
        <f t="shared" si="85"/>
        <v>25.662064282480763</v>
      </c>
      <c r="G153" s="9">
        <v>0.17199999999999999</v>
      </c>
      <c r="H153" s="6">
        <f t="shared" si="291"/>
        <v>75.099600000000009</v>
      </c>
      <c r="I153" s="6">
        <f t="shared" si="644"/>
        <v>23.510000000000009</v>
      </c>
      <c r="J153">
        <v>3.7</v>
      </c>
      <c r="K153" s="5">
        <v>7.4999999999999997E-2</v>
      </c>
      <c r="L153" s="17">
        <v>2179</v>
      </c>
      <c r="M153" s="5">
        <v>0.52800000000000002</v>
      </c>
      <c r="N153" s="6">
        <f t="shared" si="304"/>
        <v>15.600399999999999</v>
      </c>
      <c r="O153" s="21">
        <f t="shared" si="751"/>
        <v>47.889600000000002</v>
      </c>
      <c r="P153" s="8">
        <f t="shared" si="742"/>
        <v>48.236107142857136</v>
      </c>
      <c r="Q153" s="8">
        <f t="shared" si="752"/>
        <v>67.19</v>
      </c>
      <c r="R153" s="6">
        <f t="shared" si="753"/>
        <v>23.510000000000009</v>
      </c>
      <c r="S153" s="6">
        <f t="shared" si="684"/>
        <v>6.8025000000000002</v>
      </c>
      <c r="T153" s="6">
        <f t="shared" ref="T153" si="845">I153-I152</f>
        <v>0.86350000000000193</v>
      </c>
      <c r="U153" s="6">
        <f t="shared" ref="U153" si="846">N153-N152</f>
        <v>-2.5799999999998491E-2</v>
      </c>
      <c r="V153" s="6">
        <f t="shared" ref="V153" si="847">E153-E152</f>
        <v>-0.14999999999999147</v>
      </c>
      <c r="W153" s="9">
        <f>Tabla1[[#This Row],[Protein]]/Tabla1[[#This Row],[Peso (Kg)]]</f>
        <v>0.25920617420066161</v>
      </c>
      <c r="X153" s="9">
        <f t="shared" si="746"/>
        <v>0.25475190889304872</v>
      </c>
      <c r="Y153" s="6">
        <f t="shared" si="842"/>
        <v>42.810400000000008</v>
      </c>
      <c r="Z153" s="6">
        <f t="shared" si="747"/>
        <v>90.328571428571436</v>
      </c>
      <c r="AA153" s="6">
        <f t="shared" ref="AA153" si="848">AVERAGE(N147:N153)</f>
        <v>15.38272857142857</v>
      </c>
      <c r="AB153" s="6">
        <f t="shared" ref="AB153" si="849">AVERAGE(R147:R153)</f>
        <v>23.009735714285714</v>
      </c>
      <c r="AC153" s="6">
        <f t="shared" si="838"/>
        <v>-2.7061961650831634E-2</v>
      </c>
      <c r="AD153" s="42">
        <f>Tabla1[[#This Row],[Avg Agua)]]/Tabla1[[#This Row],[Avg Musculo]]</f>
        <v>2.0963346881428757</v>
      </c>
      <c r="AE153" t="s">
        <v>50</v>
      </c>
    </row>
    <row r="154" spans="1:31" x14ac:dyDescent="0.3">
      <c r="A154">
        <v>5</v>
      </c>
      <c r="B154">
        <v>1</v>
      </c>
      <c r="C154" t="s">
        <v>21</v>
      </c>
      <c r="D154" s="4">
        <v>45292</v>
      </c>
      <c r="E154" s="6">
        <v>90.6</v>
      </c>
      <c r="F154" s="7">
        <f t="shared" si="85"/>
        <v>25.6337709370756</v>
      </c>
      <c r="G154" s="9">
        <v>0.17</v>
      </c>
      <c r="H154" s="6">
        <f t="shared" si="291"/>
        <v>75.197999999999993</v>
      </c>
      <c r="I154" s="6">
        <f t="shared" si="644"/>
        <v>23.661199999999997</v>
      </c>
      <c r="J154">
        <v>3.7</v>
      </c>
      <c r="K154" s="5">
        <v>7.4999999999999997E-2</v>
      </c>
      <c r="L154" s="17">
        <v>2179</v>
      </c>
      <c r="M154" s="5">
        <v>0.52800000000000002</v>
      </c>
      <c r="N154" s="6">
        <f t="shared" si="304"/>
        <v>15.402000000000001</v>
      </c>
      <c r="O154" s="21">
        <f t="shared" si="751"/>
        <v>47.836799999999997</v>
      </c>
      <c r="P154" s="8">
        <f t="shared" si="742"/>
        <v>48.298735714285719</v>
      </c>
      <c r="Q154" s="8">
        <f t="shared" si="752"/>
        <v>66.938800000000001</v>
      </c>
      <c r="R154" s="6">
        <f t="shared" si="753"/>
        <v>23.661199999999997</v>
      </c>
      <c r="S154" s="6">
        <f t="shared" si="684"/>
        <v>6.794999999999999</v>
      </c>
      <c r="T154" s="6">
        <f t="shared" ref="T154" si="850">I154-I153</f>
        <v>0.15119999999998868</v>
      </c>
      <c r="U154" s="6">
        <f t="shared" ref="U154" si="851">N154-N153</f>
        <v>-0.19839999999999769</v>
      </c>
      <c r="V154" s="6">
        <f t="shared" ref="V154" si="852">E154-E153</f>
        <v>-0.10000000000000853</v>
      </c>
      <c r="W154" s="9">
        <f>Tabla1[[#This Row],[Protein]]/Tabla1[[#This Row],[Peso (Kg)]]</f>
        <v>0.26116114790286976</v>
      </c>
      <c r="X154" s="9">
        <f t="shared" si="746"/>
        <v>0.25410273614447909</v>
      </c>
      <c r="Y154" s="6">
        <f t="shared" si="842"/>
        <v>42.763199999999998</v>
      </c>
      <c r="Z154" s="6">
        <f t="shared" si="747"/>
        <v>90.471428571428575</v>
      </c>
      <c r="AA154" s="6">
        <f t="shared" ref="AA154" si="853">AVERAGE(N148:N154)</f>
        <v>15.483814285714285</v>
      </c>
      <c r="AB154" s="6">
        <f t="shared" ref="AB154" si="854">AVERAGE(R148:R154)</f>
        <v>22.988878571428568</v>
      </c>
      <c r="AC154" s="6">
        <f t="shared" ref="AC154" si="855">100*(AB154/AB153-1)</f>
        <v>-9.0644860576116759E-2</v>
      </c>
      <c r="AD154" s="42">
        <f>Tabla1[[#This Row],[Avg Agua)]]/Tabla1[[#This Row],[Avg Musculo]]</f>
        <v>2.1009609304871959</v>
      </c>
      <c r="AE154" t="s">
        <v>53</v>
      </c>
    </row>
    <row r="155" spans="1:31" x14ac:dyDescent="0.3">
      <c r="A155">
        <v>5</v>
      </c>
      <c r="B155">
        <v>1</v>
      </c>
      <c r="C155" t="s">
        <v>23</v>
      </c>
      <c r="D155" s="4">
        <v>45293</v>
      </c>
      <c r="E155" s="6">
        <v>90.8</v>
      </c>
      <c r="F155" s="7">
        <f t="shared" si="85"/>
        <v>25.690357627885923</v>
      </c>
      <c r="G155" s="9">
        <v>0.17</v>
      </c>
      <c r="H155" s="6">
        <f t="shared" si="291"/>
        <v>75.364000000000004</v>
      </c>
      <c r="I155" s="6">
        <f t="shared" si="644"/>
        <v>24.084800000000005</v>
      </c>
      <c r="J155">
        <v>3.7</v>
      </c>
      <c r="K155" s="5">
        <v>7.4999999999999997E-2</v>
      </c>
      <c r="L155" s="17">
        <v>2184</v>
      </c>
      <c r="M155" s="5">
        <v>0.52400000000000002</v>
      </c>
      <c r="N155" s="6">
        <f t="shared" si="304"/>
        <v>15.436</v>
      </c>
      <c r="O155" s="21">
        <f t="shared" si="751"/>
        <v>47.5792</v>
      </c>
      <c r="P155" s="8">
        <f t="shared" si="742"/>
        <v>48.205728571428573</v>
      </c>
      <c r="Q155" s="8">
        <f t="shared" si="752"/>
        <v>66.715199999999996</v>
      </c>
      <c r="R155" s="6">
        <f t="shared" si="753"/>
        <v>24.084800000000005</v>
      </c>
      <c r="S155" s="6">
        <f t="shared" si="684"/>
        <v>6.81</v>
      </c>
      <c r="T155" s="6">
        <f t="shared" ref="T155" si="856">I155-I154</f>
        <v>0.42360000000000753</v>
      </c>
      <c r="U155" s="6">
        <f t="shared" ref="U155" si="857">N155-N154</f>
        <v>3.399999999999892E-2</v>
      </c>
      <c r="V155" s="6">
        <f t="shared" ref="V155" si="858">E155-E154</f>
        <v>0.20000000000000284</v>
      </c>
      <c r="W155" s="9">
        <f>Tabla1[[#This Row],[Protein]]/Tabla1[[#This Row],[Peso (Kg)]]</f>
        <v>0.26525110132158597</v>
      </c>
      <c r="X155" s="9">
        <f t="shared" si="746"/>
        <v>0.25543042299043583</v>
      </c>
      <c r="Y155" s="6">
        <f t="shared" si="842"/>
        <v>43.220800000000011</v>
      </c>
      <c r="Z155" s="6">
        <f t="shared" si="747"/>
        <v>90.564285714285703</v>
      </c>
      <c r="AA155" s="6">
        <f t="shared" ref="AA155" si="859">AVERAGE(N149:N155)</f>
        <v>15.525357142857141</v>
      </c>
      <c r="AB155" s="6">
        <f t="shared" ref="AB155" si="860">AVERAGE(R149:R155)</f>
        <v>23.133199999999995</v>
      </c>
      <c r="AC155" s="6">
        <f t="shared" ref="AC155:AC157" si="861">100*(AB155/AB154-1)</f>
        <v>0.62778803290908236</v>
      </c>
      <c r="AD155" s="42">
        <f>Tabla1[[#This Row],[Avg Agua)]]/Tabla1[[#This Row],[Avg Musculo]]</f>
        <v>2.0838331303679811</v>
      </c>
    </row>
    <row r="156" spans="1:31" x14ac:dyDescent="0.3">
      <c r="A156">
        <v>5</v>
      </c>
      <c r="B156">
        <v>1</v>
      </c>
      <c r="C156" t="s">
        <v>24</v>
      </c>
      <c r="D156" s="4">
        <v>45294</v>
      </c>
      <c r="E156" s="6">
        <v>90.2</v>
      </c>
      <c r="F156" s="7">
        <f t="shared" si="85"/>
        <v>25.520597555454959</v>
      </c>
      <c r="G156" s="9">
        <v>0.16800000000000001</v>
      </c>
      <c r="H156" s="6">
        <f t="shared" si="291"/>
        <v>75.046400000000006</v>
      </c>
      <c r="I156" s="6">
        <f t="shared" si="644"/>
        <v>24.442400000000003</v>
      </c>
      <c r="J156">
        <v>3.7</v>
      </c>
      <c r="K156" s="5">
        <v>7.4999999999999997E-2</v>
      </c>
      <c r="L156" s="17">
        <v>2173</v>
      </c>
      <c r="M156" s="5">
        <v>0.52</v>
      </c>
      <c r="N156" s="6">
        <f t="shared" si="304"/>
        <v>15.153600000000001</v>
      </c>
      <c r="O156" s="21">
        <f t="shared" si="751"/>
        <v>46.904000000000003</v>
      </c>
      <c r="P156" s="8">
        <f t="shared" si="742"/>
        <v>47.968928571428577</v>
      </c>
      <c r="Q156" s="8">
        <f t="shared" si="752"/>
        <v>65.757599999999996</v>
      </c>
      <c r="R156" s="6">
        <f t="shared" si="753"/>
        <v>24.442400000000003</v>
      </c>
      <c r="S156" s="6">
        <f t="shared" si="684"/>
        <v>6.7649999999999997</v>
      </c>
      <c r="T156" s="6">
        <f t="shared" ref="T156" si="862">I156-I155</f>
        <v>0.35759999999999792</v>
      </c>
      <c r="U156" s="6">
        <f t="shared" ref="U156" si="863">N156-N155</f>
        <v>-0.2823999999999991</v>
      </c>
      <c r="V156" s="6">
        <f t="shared" ref="V156" si="864">E156-E155</f>
        <v>-0.59999999999999432</v>
      </c>
      <c r="W156" s="9">
        <f>Tabla1[[#This Row],[Protein]]/Tabla1[[#This Row],[Peso (Kg)]]</f>
        <v>0.27098004434589801</v>
      </c>
      <c r="X156" s="9">
        <f t="shared" si="746"/>
        <v>0.25826169391086845</v>
      </c>
      <c r="Y156" s="6">
        <f t="shared" si="842"/>
        <v>43.296000000000006</v>
      </c>
      <c r="Z156" s="6">
        <f t="shared" si="747"/>
        <v>90.507142857142853</v>
      </c>
      <c r="AA156" s="6">
        <f t="shared" ref="AA156" si="865">AVERAGE(N150:N156)</f>
        <v>15.463985714285714</v>
      </c>
      <c r="AB156" s="6">
        <f t="shared" ref="AB156" si="866">AVERAGE(R150:R156)</f>
        <v>23.374228571428571</v>
      </c>
      <c r="AC156" s="6">
        <f t="shared" si="861"/>
        <v>1.041916256413189</v>
      </c>
      <c r="AD156" s="42">
        <f>Tabla1[[#This Row],[Avg Agua)]]/Tabla1[[#This Row],[Avg Musculo]]</f>
        <v>2.0522144046312305</v>
      </c>
    </row>
    <row r="157" spans="1:31" x14ac:dyDescent="0.3">
      <c r="A157">
        <v>5</v>
      </c>
      <c r="B157">
        <v>1</v>
      </c>
      <c r="C157" t="s">
        <v>22</v>
      </c>
      <c r="D157" s="4">
        <v>45295</v>
      </c>
      <c r="E157" s="6">
        <v>89.7</v>
      </c>
      <c r="F157" s="7">
        <f t="shared" si="85"/>
        <v>25.379130828429155</v>
      </c>
      <c r="G157" s="9">
        <v>0.16300000000000001</v>
      </c>
      <c r="H157" s="6">
        <f t="shared" si="291"/>
        <v>75.078900000000004</v>
      </c>
      <c r="I157" s="6">
        <f t="shared" si="644"/>
        <v>24.286400000000004</v>
      </c>
      <c r="J157">
        <v>3.7</v>
      </c>
      <c r="K157" s="5">
        <v>7.0000000000000007E-2</v>
      </c>
      <c r="L157" s="17">
        <v>2174</v>
      </c>
      <c r="M157" s="5">
        <v>0.52500000000000002</v>
      </c>
      <c r="N157" s="6">
        <f t="shared" si="304"/>
        <v>14.6211</v>
      </c>
      <c r="O157" s="21">
        <f t="shared" si="751"/>
        <v>47.092500000000001</v>
      </c>
      <c r="P157" s="8">
        <f t="shared" si="742"/>
        <v>47.852628571428568</v>
      </c>
      <c r="Q157" s="8">
        <f t="shared" si="752"/>
        <v>65.413600000000002</v>
      </c>
      <c r="R157" s="6">
        <f t="shared" si="753"/>
        <v>24.286400000000004</v>
      </c>
      <c r="S157" s="6">
        <f t="shared" si="684"/>
        <v>6.2790000000000008</v>
      </c>
      <c r="T157" s="6">
        <f t="shared" ref="T157" si="867">I157-I156</f>
        <v>-0.15599999999999881</v>
      </c>
      <c r="U157" s="6">
        <f t="shared" ref="U157" si="868">N157-N156</f>
        <v>-0.53250000000000064</v>
      </c>
      <c r="V157" s="6">
        <f t="shared" ref="V157" si="869">E157-E156</f>
        <v>-0.5</v>
      </c>
      <c r="W157" s="9">
        <f>Tabla1[[#This Row],[Protein]]/Tabla1[[#This Row],[Peso (Kg)]]</f>
        <v>0.27075139353400224</v>
      </c>
      <c r="X157" s="9">
        <f t="shared" si="746"/>
        <v>0.26009593359951272</v>
      </c>
      <c r="Y157" s="6">
        <f t="shared" si="842"/>
        <v>42.607500000000009</v>
      </c>
      <c r="Z157" s="6">
        <f t="shared" si="747"/>
        <v>90.45714285714287</v>
      </c>
      <c r="AA157" s="6">
        <f t="shared" ref="AA157" si="870">AVERAGE(N151:N157)</f>
        <v>15.378649999999997</v>
      </c>
      <c r="AB157" s="6">
        <f t="shared" ref="AB157" si="871">AVERAGE(R151:R157)</f>
        <v>23.525864285714288</v>
      </c>
      <c r="AC157" s="6">
        <f t="shared" si="861"/>
        <v>0.64873034770895899</v>
      </c>
      <c r="AD157" s="42">
        <f>Tabla1[[#This Row],[Avg Agua)]]/Tabla1[[#This Row],[Avg Musculo]]</f>
        <v>2.0340433826478512</v>
      </c>
    </row>
    <row r="158" spans="1:31" x14ac:dyDescent="0.3">
      <c r="A158">
        <v>5</v>
      </c>
      <c r="B158">
        <v>1</v>
      </c>
      <c r="C158" t="s">
        <v>20</v>
      </c>
      <c r="D158" s="4">
        <v>45296</v>
      </c>
      <c r="E158" s="6">
        <v>90</v>
      </c>
      <c r="F158" s="7">
        <f t="shared" si="85"/>
        <v>25.464010864644639</v>
      </c>
      <c r="G158" s="9">
        <v>0.16400000000000001</v>
      </c>
      <c r="H158" s="6">
        <f t="shared" si="291"/>
        <v>75.239999999999995</v>
      </c>
      <c r="I158" s="6">
        <f t="shared" si="644"/>
        <v>24.199999999999992</v>
      </c>
      <c r="J158">
        <v>3.7</v>
      </c>
      <c r="K158" s="5">
        <v>7.4999999999999997E-2</v>
      </c>
      <c r="L158" s="17">
        <v>2177</v>
      </c>
      <c r="M158" s="5">
        <v>0.52600000000000002</v>
      </c>
      <c r="N158" s="6">
        <f t="shared" si="304"/>
        <v>14.76</v>
      </c>
      <c r="O158" s="21">
        <f t="shared" si="751"/>
        <v>47.34</v>
      </c>
      <c r="P158" s="8">
        <f t="shared" si="742"/>
        <v>47.645628571428574</v>
      </c>
      <c r="Q158" s="8">
        <f t="shared" si="752"/>
        <v>65.800000000000011</v>
      </c>
      <c r="R158" s="6">
        <f t="shared" si="753"/>
        <v>24.199999999999992</v>
      </c>
      <c r="S158" s="6">
        <f t="shared" si="684"/>
        <v>6.75</v>
      </c>
      <c r="T158" s="6">
        <f t="shared" ref="T158" si="872">I158-I157</f>
        <v>-8.6400000000011801E-2</v>
      </c>
      <c r="U158" s="6">
        <f t="shared" ref="U158" si="873">N158-N157</f>
        <v>0.13889999999999958</v>
      </c>
      <c r="V158" s="6">
        <f t="shared" ref="V158" si="874">E158-E157</f>
        <v>0.29999999999999716</v>
      </c>
      <c r="W158" s="9">
        <f>Tabla1[[#This Row],[Protein]]/Tabla1[[#This Row],[Peso (Kg)]]</f>
        <v>0.26888888888888879</v>
      </c>
      <c r="X158" s="9">
        <f t="shared" si="746"/>
        <v>0.26364461114099597</v>
      </c>
      <c r="Y158" s="6">
        <f t="shared" si="842"/>
        <v>42.66</v>
      </c>
      <c r="Z158" s="6">
        <f t="shared" si="747"/>
        <v>90.407142857142858</v>
      </c>
      <c r="AA158" s="6">
        <f t="shared" ref="AA158" si="875">AVERAGE(N152:N158)</f>
        <v>15.228471428571428</v>
      </c>
      <c r="AB158" s="6">
        <f t="shared" ref="AB158" si="876">AVERAGE(R152:R158)</f>
        <v>23.833042857142861</v>
      </c>
      <c r="AC158" s="6">
        <f t="shared" ref="AC158" si="877">100*(AB158/AB157-1)</f>
        <v>1.3057057870349942</v>
      </c>
      <c r="AD158" s="42">
        <f>Tabla1[[#This Row],[Avg Agua)]]/Tabla1[[#This Row],[Avg Musculo]]</f>
        <v>1.9991416478802237</v>
      </c>
    </row>
    <row r="159" spans="1:31" x14ac:dyDescent="0.3">
      <c r="A159">
        <v>5</v>
      </c>
      <c r="B159">
        <v>1</v>
      </c>
      <c r="C159" t="s">
        <v>25</v>
      </c>
      <c r="D159" s="4">
        <v>45297</v>
      </c>
      <c r="E159" s="6">
        <v>90.1</v>
      </c>
      <c r="F159" s="7">
        <f t="shared" si="85"/>
        <v>25.492304210049795</v>
      </c>
      <c r="G159" s="9">
        <v>0.16900000000000001</v>
      </c>
      <c r="H159" s="6">
        <f t="shared" si="291"/>
        <v>74.873099999999994</v>
      </c>
      <c r="I159" s="6">
        <f t="shared" si="644"/>
        <v>23.690399999999993</v>
      </c>
      <c r="J159">
        <v>3.7</v>
      </c>
      <c r="K159" s="5">
        <v>7.4999999999999997E-2</v>
      </c>
      <c r="L159" s="17">
        <v>2168</v>
      </c>
      <c r="M159" s="5">
        <v>0.52700000000000002</v>
      </c>
      <c r="N159" s="6">
        <f t="shared" si="304"/>
        <v>15.226900000000001</v>
      </c>
      <c r="O159" s="21">
        <f t="shared" si="751"/>
        <v>47.482700000000001</v>
      </c>
      <c r="P159" s="8">
        <f t="shared" si="742"/>
        <v>47.446400000000004</v>
      </c>
      <c r="Q159" s="8">
        <f t="shared" si="752"/>
        <v>66.409599999999998</v>
      </c>
      <c r="R159" s="6">
        <f t="shared" si="753"/>
        <v>23.690399999999993</v>
      </c>
      <c r="S159" s="6">
        <f t="shared" si="684"/>
        <v>6.7574999999999994</v>
      </c>
      <c r="T159" s="6">
        <f t="shared" ref="T159" si="878">I159-I158</f>
        <v>-0.50959999999999894</v>
      </c>
      <c r="U159" s="6">
        <f t="shared" ref="U159" si="879">N159-N158</f>
        <v>0.46690000000000076</v>
      </c>
      <c r="V159" s="6">
        <f t="shared" ref="V159" si="880">E159-E158</f>
        <v>9.9999999999994316E-2</v>
      </c>
      <c r="W159" s="9">
        <f>Tabla1[[#This Row],[Protein]]/Tabla1[[#This Row],[Peso (Kg)]]</f>
        <v>0.26293451720310762</v>
      </c>
      <c r="X159" s="9">
        <f t="shared" si="746"/>
        <v>0.26559618105671629</v>
      </c>
      <c r="Y159" s="6">
        <f t="shared" si="842"/>
        <v>42.6173</v>
      </c>
      <c r="Z159" s="6">
        <f t="shared" si="747"/>
        <v>90.3</v>
      </c>
      <c r="AA159" s="6">
        <f t="shared" ref="AA159" si="881">AVERAGE(N153:N159)</f>
        <v>15.171428571428573</v>
      </c>
      <c r="AB159" s="6">
        <f t="shared" ref="AB159" si="882">AVERAGE(R153:R159)</f>
        <v>23.98217142857143</v>
      </c>
      <c r="AC159" s="6">
        <f t="shared" ref="AC159" si="883">100*(AB159/AB158-1)</f>
        <v>0.62572191189542714</v>
      </c>
      <c r="AD159" s="42">
        <f>Tabla1[[#This Row],[Avg Agua)]]/Tabla1[[#This Row],[Avg Musculo]]</f>
        <v>1.9784030041364062</v>
      </c>
    </row>
    <row r="160" spans="1:31" x14ac:dyDescent="0.3">
      <c r="A160">
        <v>5</v>
      </c>
      <c r="B160">
        <v>1</v>
      </c>
      <c r="C160" t="s">
        <v>26</v>
      </c>
      <c r="D160" s="4">
        <v>45298</v>
      </c>
      <c r="E160" s="6">
        <v>90.2</v>
      </c>
      <c r="F160" s="7">
        <f t="shared" si="85"/>
        <v>25.520597555454959</v>
      </c>
      <c r="G160" s="9">
        <v>0.17299999999999999</v>
      </c>
      <c r="H160" s="6">
        <f t="shared" si="291"/>
        <v>74.595399999999998</v>
      </c>
      <c r="I160" s="6">
        <f t="shared" si="644"/>
        <v>22.999199999999991</v>
      </c>
      <c r="J160">
        <v>3.7</v>
      </c>
      <c r="K160" s="5">
        <v>7.4999999999999997E-2</v>
      </c>
      <c r="L160" s="17">
        <v>2160</v>
      </c>
      <c r="M160" s="5">
        <v>0.53100000000000003</v>
      </c>
      <c r="N160" s="6">
        <f t="shared" si="304"/>
        <v>15.6046</v>
      </c>
      <c r="O160" s="21">
        <f t="shared" si="751"/>
        <v>47.896200000000007</v>
      </c>
      <c r="P160" s="8">
        <f t="shared" si="742"/>
        <v>47.447342857142864</v>
      </c>
      <c r="Q160" s="8">
        <f t="shared" si="752"/>
        <v>67.200800000000015</v>
      </c>
      <c r="R160" s="6">
        <f t="shared" si="753"/>
        <v>22.999199999999991</v>
      </c>
      <c r="S160" s="6">
        <f t="shared" si="684"/>
        <v>6.7649999999999997</v>
      </c>
      <c r="T160" s="6">
        <f t="shared" ref="T160" si="884">I160-I159</f>
        <v>-0.69120000000000203</v>
      </c>
      <c r="U160" s="6">
        <f t="shared" ref="U160" si="885">N160-N159</f>
        <v>0.37769999999999904</v>
      </c>
      <c r="V160" s="6">
        <f t="shared" ref="V160" si="886">E160-E159</f>
        <v>0.10000000000000853</v>
      </c>
      <c r="W160" s="9">
        <f>Tabla1[[#This Row],[Protein]]/Tabla1[[#This Row],[Peso (Kg)]]</f>
        <v>0.25498004434589788</v>
      </c>
      <c r="X160" s="9">
        <f t="shared" si="746"/>
        <v>0.26499244822032147</v>
      </c>
      <c r="Y160" s="6">
        <f t="shared" si="842"/>
        <v>42.303799999999995</v>
      </c>
      <c r="Z160" s="6">
        <f t="shared" si="747"/>
        <v>90.228571428571428</v>
      </c>
      <c r="AA160" s="6">
        <f t="shared" ref="AA160" si="887">AVERAGE(N154:N160)</f>
        <v>15.172028571428573</v>
      </c>
      <c r="AB160" s="6">
        <f t="shared" ref="AB160" si="888">AVERAGE(R154:R160)</f>
        <v>23.909199999999998</v>
      </c>
      <c r="AC160" s="6">
        <f t="shared" ref="AC160" si="889">100*(AB160/AB159-1)</f>
        <v>-0.30427365090258673</v>
      </c>
      <c r="AD160" s="42">
        <f>Tabla1[[#This Row],[Avg Agua)]]/Tabla1[[#This Row],[Avg Musculo]]</f>
        <v>1.9844805705394939</v>
      </c>
    </row>
    <row r="161" spans="1:30" x14ac:dyDescent="0.3">
      <c r="A161">
        <v>5</v>
      </c>
      <c r="B161">
        <v>2</v>
      </c>
      <c r="C161" t="s">
        <v>21</v>
      </c>
      <c r="D161" s="4">
        <v>45299</v>
      </c>
      <c r="E161" s="6">
        <v>90.55</v>
      </c>
      <c r="F161" s="7">
        <f t="shared" si="85"/>
        <v>25.619624264373019</v>
      </c>
      <c r="G161" s="9">
        <v>0.17199999999999999</v>
      </c>
      <c r="H161" s="6">
        <f t="shared" si="291"/>
        <v>74.975399999999993</v>
      </c>
      <c r="I161" s="6">
        <f t="shared" si="644"/>
        <v>23.193349999999992</v>
      </c>
      <c r="J161">
        <v>3.7</v>
      </c>
      <c r="K161" s="5">
        <v>7.4999999999999997E-2</v>
      </c>
      <c r="L161" s="17">
        <v>2173</v>
      </c>
      <c r="M161" s="5">
        <v>0.53100000000000003</v>
      </c>
      <c r="N161" s="6">
        <f t="shared" si="304"/>
        <v>15.574599999999998</v>
      </c>
      <c r="O161" s="21">
        <f t="shared" si="751"/>
        <v>48.082050000000002</v>
      </c>
      <c r="P161" s="8">
        <f t="shared" si="742"/>
        <v>47.482378571428569</v>
      </c>
      <c r="Q161" s="8">
        <f t="shared" si="752"/>
        <v>67.356650000000002</v>
      </c>
      <c r="R161" s="6">
        <f t="shared" si="753"/>
        <v>23.193349999999992</v>
      </c>
      <c r="S161" s="6">
        <f t="shared" si="684"/>
        <v>6.7912499999999998</v>
      </c>
      <c r="T161" s="6">
        <f t="shared" ref="T161" si="890">I161-I160</f>
        <v>0.19415000000000049</v>
      </c>
      <c r="U161" s="6">
        <f t="shared" ref="U161" si="891">N161-N160</f>
        <v>-3.0000000000001137E-2</v>
      </c>
      <c r="V161" s="6">
        <f t="shared" ref="V161" si="892">E161-E160</f>
        <v>0.34999999999999432</v>
      </c>
      <c r="W161" s="9">
        <f>Tabla1[[#This Row],[Protein]]/Tabla1[[#This Row],[Peso (Kg)]]</f>
        <v>0.25613859745996681</v>
      </c>
      <c r="X161" s="9">
        <f t="shared" si="746"/>
        <v>0.26427494101419247</v>
      </c>
      <c r="Y161" s="6">
        <f t="shared" si="842"/>
        <v>42.467949999999995</v>
      </c>
      <c r="Z161" s="6">
        <f t="shared" si="747"/>
        <v>90.221428571428561</v>
      </c>
      <c r="AA161" s="6">
        <f t="shared" ref="AA161" si="893">AVERAGE(N155:N161)</f>
        <v>15.196685714285715</v>
      </c>
      <c r="AB161" s="6">
        <f t="shared" ref="AB161" si="894">AVERAGE(R155:R161)</f>
        <v>23.842364285714279</v>
      </c>
      <c r="AC161" s="6">
        <f t="shared" ref="AC161" si="895">100*(AB161/AB160-1)</f>
        <v>-0.2795397348540285</v>
      </c>
      <c r="AD161" s="42">
        <f>Tabla1[[#This Row],[Avg Agua)]]/Tabla1[[#This Row],[Avg Musculo]]</f>
        <v>1.9915130061106721</v>
      </c>
    </row>
    <row r="162" spans="1:30" x14ac:dyDescent="0.3">
      <c r="A162">
        <v>5</v>
      </c>
      <c r="B162">
        <v>2</v>
      </c>
      <c r="C162" t="s">
        <v>23</v>
      </c>
      <c r="D162" s="4">
        <v>45300</v>
      </c>
      <c r="E162" s="6">
        <v>90.15</v>
      </c>
      <c r="F162" s="7">
        <f t="shared" si="85"/>
        <v>25.506450882752379</v>
      </c>
      <c r="G162" s="9">
        <v>0.16900000000000001</v>
      </c>
      <c r="H162" s="6">
        <f t="shared" si="291"/>
        <v>74.914650000000009</v>
      </c>
      <c r="I162" s="6">
        <f t="shared" si="644"/>
        <v>23.615450000000006</v>
      </c>
      <c r="J162">
        <v>3.7</v>
      </c>
      <c r="K162" s="5">
        <v>7.4999999999999997E-2</v>
      </c>
      <c r="L162" s="17">
        <v>2169</v>
      </c>
      <c r="M162" s="5">
        <v>0.52800000000000002</v>
      </c>
      <c r="N162" s="6">
        <f t="shared" si="304"/>
        <v>15.235350000000002</v>
      </c>
      <c r="O162" s="21">
        <f t="shared" si="751"/>
        <v>47.599200000000003</v>
      </c>
      <c r="P162" s="8">
        <f t="shared" si="742"/>
        <v>47.485235714285707</v>
      </c>
      <c r="Q162" s="8">
        <f t="shared" si="752"/>
        <v>66.534549999999996</v>
      </c>
      <c r="R162" s="6">
        <f t="shared" si="753"/>
        <v>23.615450000000006</v>
      </c>
      <c r="S162" s="6">
        <f t="shared" si="684"/>
        <v>6.7612500000000004</v>
      </c>
      <c r="T162" s="6">
        <f t="shared" ref="T162" si="896">I162-I161</f>
        <v>0.42210000000001457</v>
      </c>
      <c r="U162" s="6">
        <f t="shared" ref="U162" si="897">N162-N161</f>
        <v>-0.33924999999999628</v>
      </c>
      <c r="V162" s="6">
        <f t="shared" ref="V162" si="898">E162-E161</f>
        <v>-0.39999999999999147</v>
      </c>
      <c r="W162" s="9">
        <f>Tabla1[[#This Row],[Protein]]/Tabla1[[#This Row],[Peso (Kg)]]</f>
        <v>0.2619572933998891</v>
      </c>
      <c r="X162" s="9">
        <f t="shared" si="746"/>
        <v>0.26380439702537861</v>
      </c>
      <c r="Y162" s="6">
        <f t="shared" si="842"/>
        <v>42.55080000000001</v>
      </c>
      <c r="Z162" s="6">
        <f t="shared" si="747"/>
        <v>90.128571428571419</v>
      </c>
      <c r="AA162" s="6">
        <f t="shared" ref="AA162" si="899">AVERAGE(N156:N162)</f>
        <v>15.16802142857143</v>
      </c>
      <c r="AB162" s="6">
        <f t="shared" ref="AB162" si="900">AVERAGE(R156:R162)</f>
        <v>23.775314285714281</v>
      </c>
      <c r="AC162" s="6">
        <f t="shared" ref="AC162" si="901">100*(AB162/AB161-1)</f>
        <v>-0.28122211034319333</v>
      </c>
      <c r="AD162" s="42">
        <f>Tabla1[[#This Row],[Avg Agua)]]/Tabla1[[#This Row],[Avg Musculo]]</f>
        <v>1.9972495481507833</v>
      </c>
    </row>
    <row r="163" spans="1:30" x14ac:dyDescent="0.3">
      <c r="A163">
        <v>5</v>
      </c>
      <c r="B163">
        <v>2</v>
      </c>
      <c r="C163" t="s">
        <v>24</v>
      </c>
      <c r="D163" s="4">
        <v>45301</v>
      </c>
      <c r="E163" s="6">
        <v>89</v>
      </c>
      <c r="F163" s="7">
        <f t="shared" si="85"/>
        <v>25.18107741059303</v>
      </c>
      <c r="G163" s="9">
        <v>0.161</v>
      </c>
      <c r="H163" s="6">
        <f t="shared" si="291"/>
        <v>74.670999999999992</v>
      </c>
      <c r="I163" s="6">
        <f t="shared" si="644"/>
        <v>24.067999999999994</v>
      </c>
      <c r="J163">
        <v>3.7</v>
      </c>
      <c r="K163" s="5">
        <v>7.0000000000000007E-2</v>
      </c>
      <c r="L163" s="17">
        <v>2158</v>
      </c>
      <c r="M163" s="5">
        <v>0.52700000000000002</v>
      </c>
      <c r="N163" s="6">
        <f t="shared" si="304"/>
        <v>14.329000000000001</v>
      </c>
      <c r="O163" s="21">
        <f t="shared" si="751"/>
        <v>46.902999999999999</v>
      </c>
      <c r="P163" s="8">
        <f t="shared" si="742"/>
        <v>47.485092857142867</v>
      </c>
      <c r="Q163" s="8">
        <f t="shared" si="752"/>
        <v>64.932000000000002</v>
      </c>
      <c r="R163" s="6">
        <f t="shared" si="753"/>
        <v>24.067999999999994</v>
      </c>
      <c r="S163" s="6">
        <f t="shared" si="684"/>
        <v>6.23</v>
      </c>
      <c r="T163" s="6">
        <f t="shared" ref="T163" si="902">I163-I162</f>
        <v>0.45254999999998802</v>
      </c>
      <c r="U163" s="6">
        <f t="shared" ref="U163" si="903">N163-N162</f>
        <v>-0.90635000000000154</v>
      </c>
      <c r="V163" s="6">
        <f t="shared" ref="V163" si="904">E163-E162</f>
        <v>-1.1500000000000057</v>
      </c>
      <c r="W163" s="9">
        <f>Tabla1[[#This Row],[Protein]]/Tabla1[[#This Row],[Peso (Kg)]]</f>
        <v>0.27042696629213475</v>
      </c>
      <c r="X163" s="9">
        <f t="shared" si="746"/>
        <v>0.26372538587484101</v>
      </c>
      <c r="Y163" s="6">
        <f t="shared" si="842"/>
        <v>42.096999999999994</v>
      </c>
      <c r="Z163" s="6">
        <f t="shared" si="747"/>
        <v>89.957142857142841</v>
      </c>
      <c r="AA163" s="6">
        <f t="shared" ref="AA163" si="905">AVERAGE(N157:N163)</f>
        <v>15.05022142857143</v>
      </c>
      <c r="AB163" s="6">
        <f t="shared" ref="AB163" si="906">AVERAGE(R157:R163)</f>
        <v>23.721828571428567</v>
      </c>
      <c r="AC163" s="6">
        <f t="shared" ref="AC163" si="907">100*(AB163/AB162-1)</f>
        <v>-0.22496322716478723</v>
      </c>
      <c r="AD163" s="42">
        <f>Tabla1[[#This Row],[Avg Agua)]]/Tabla1[[#This Row],[Avg Musculo]]</f>
        <v>2.0017467335690826</v>
      </c>
    </row>
    <row r="164" spans="1:30" x14ac:dyDescent="0.3">
      <c r="A164">
        <v>5</v>
      </c>
      <c r="B164">
        <v>2</v>
      </c>
      <c r="C164" t="s">
        <v>22</v>
      </c>
      <c r="D164" s="4">
        <v>45302</v>
      </c>
      <c r="E164" s="6">
        <v>89.25</v>
      </c>
      <c r="F164" s="7">
        <f t="shared" si="85"/>
        <v>25.25181077410593</v>
      </c>
      <c r="G164" s="9">
        <v>0.16500000000000001</v>
      </c>
      <c r="H164" s="6">
        <f t="shared" si="291"/>
        <v>74.523750000000007</v>
      </c>
      <c r="I164" s="6">
        <f t="shared" si="644"/>
        <v>23.521250000000006</v>
      </c>
      <c r="J164">
        <v>3.7</v>
      </c>
      <c r="K164" s="5">
        <v>7.4999999999999997E-2</v>
      </c>
      <c r="L164" s="17">
        <v>2154</v>
      </c>
      <c r="M164" s="5">
        <v>0.53</v>
      </c>
      <c r="N164" s="6">
        <f t="shared" si="304"/>
        <v>14.72625</v>
      </c>
      <c r="O164" s="21">
        <f t="shared" si="751"/>
        <v>47.302500000000002</v>
      </c>
      <c r="P164" s="8">
        <f t="shared" si="742"/>
        <v>47.515092857142861</v>
      </c>
      <c r="Q164" s="8">
        <f t="shared" si="752"/>
        <v>65.728749999999991</v>
      </c>
      <c r="R164" s="6">
        <f t="shared" si="753"/>
        <v>23.521250000000006</v>
      </c>
      <c r="S164" s="6">
        <f t="shared" si="684"/>
        <v>6.6937499999999996</v>
      </c>
      <c r="T164" s="6">
        <f t="shared" ref="T164" si="908">I164-I163</f>
        <v>-0.54674999999998875</v>
      </c>
      <c r="U164" s="6">
        <f t="shared" ref="U164" si="909">N164-N163</f>
        <v>0.39724999999999966</v>
      </c>
      <c r="V164" s="6">
        <f t="shared" ref="V164" si="910">E164-E163</f>
        <v>0.25</v>
      </c>
      <c r="W164" s="9">
        <f>Tabla1[[#This Row],[Protein]]/Tabla1[[#This Row],[Peso (Kg)]]</f>
        <v>0.26354341736694686</v>
      </c>
      <c r="X164" s="9">
        <f t="shared" si="746"/>
        <v>0.26269567499383312</v>
      </c>
      <c r="Y164" s="6">
        <f t="shared" si="842"/>
        <v>41.947500000000005</v>
      </c>
      <c r="Z164" s="6">
        <f t="shared" si="747"/>
        <v>89.892857142857139</v>
      </c>
      <c r="AA164" s="6">
        <f t="shared" ref="AA164" si="911">AVERAGE(N158:N164)</f>
        <v>15.065242857142854</v>
      </c>
      <c r="AB164" s="6">
        <f t="shared" ref="AB164" si="912">AVERAGE(R158:R164)</f>
        <v>23.612521428571426</v>
      </c>
      <c r="AC164" s="6">
        <f t="shared" ref="AC164" si="913">100*(AB164/AB163-1)</f>
        <v>-0.46078717130936253</v>
      </c>
      <c r="AD164" s="42">
        <f>Tabla1[[#This Row],[Avg Agua)]]/Tabla1[[#This Row],[Avg Musculo]]</f>
        <v>2.0122837368672135</v>
      </c>
    </row>
    <row r="165" spans="1:30" x14ac:dyDescent="0.3">
      <c r="A165">
        <v>5</v>
      </c>
      <c r="B165">
        <v>2</v>
      </c>
      <c r="C165" t="s">
        <v>20</v>
      </c>
      <c r="D165" s="4">
        <v>45303</v>
      </c>
      <c r="E165" s="6">
        <v>90.1</v>
      </c>
      <c r="F165" s="7">
        <f t="shared" si="85"/>
        <v>25.492304210049795</v>
      </c>
      <c r="G165" s="9">
        <v>0.17</v>
      </c>
      <c r="H165" s="6">
        <f t="shared" si="291"/>
        <v>74.782999999999987</v>
      </c>
      <c r="I165" s="6">
        <f t="shared" si="644"/>
        <v>23.239899999999988</v>
      </c>
      <c r="J165">
        <v>3.7</v>
      </c>
      <c r="K165" s="5">
        <v>7.4999999999999997E-2</v>
      </c>
      <c r="L165" s="17">
        <v>2166</v>
      </c>
      <c r="M165" s="5">
        <v>0.53100000000000003</v>
      </c>
      <c r="N165" s="6">
        <f t="shared" si="304"/>
        <v>15.317</v>
      </c>
      <c r="O165" s="21">
        <f t="shared" si="751"/>
        <v>47.8431</v>
      </c>
      <c r="P165" s="8">
        <f t="shared" si="742"/>
        <v>47.586964285714281</v>
      </c>
      <c r="Q165" s="8">
        <f t="shared" si="752"/>
        <v>66.860100000000003</v>
      </c>
      <c r="R165" s="6">
        <f t="shared" si="753"/>
        <v>23.239899999999988</v>
      </c>
      <c r="S165" s="6">
        <f t="shared" si="684"/>
        <v>6.7574999999999994</v>
      </c>
      <c r="T165" s="6">
        <f t="shared" ref="T165" si="914">I165-I164</f>
        <v>-0.28135000000001753</v>
      </c>
      <c r="U165" s="6">
        <f t="shared" ref="U165" si="915">N165-N164</f>
        <v>0.59074999999999989</v>
      </c>
      <c r="V165" s="6">
        <f t="shared" ref="V165" si="916">E165-E164</f>
        <v>0.84999999999999432</v>
      </c>
      <c r="W165" s="9">
        <f>Tabla1[[#This Row],[Protein]]/Tabla1[[#This Row],[Peso (Kg)]]</f>
        <v>0.25793451720310756</v>
      </c>
      <c r="X165" s="9">
        <f t="shared" si="746"/>
        <v>0.26113076475300723</v>
      </c>
      <c r="Y165" s="6">
        <f t="shared" si="842"/>
        <v>42.256899999999987</v>
      </c>
      <c r="Z165" s="6">
        <f t="shared" si="747"/>
        <v>89.907142857142858</v>
      </c>
      <c r="AA165" s="6">
        <f t="shared" ref="AA165" si="917">AVERAGE(N159:N165)</f>
        <v>15.144814285714286</v>
      </c>
      <c r="AB165" s="6">
        <f t="shared" ref="AB165" si="918">AVERAGE(R159:R165)</f>
        <v>23.475364285714281</v>
      </c>
      <c r="AC165" s="6">
        <f t="shared" ref="AC165" si="919">100*(AB165/AB164-1)</f>
        <v>-0.58086614456677177</v>
      </c>
      <c r="AD165" s="42">
        <f>Tabla1[[#This Row],[Avg Agua)]]/Tabla1[[#This Row],[Avg Musculo]]</f>
        <v>2.0271022722604943</v>
      </c>
    </row>
    <row r="166" spans="1:30" x14ac:dyDescent="0.3">
      <c r="A166">
        <v>5</v>
      </c>
      <c r="B166">
        <v>2</v>
      </c>
      <c r="C166" t="s">
        <v>25</v>
      </c>
      <c r="D166" s="4">
        <v>45304</v>
      </c>
      <c r="E166" s="6">
        <v>89.8</v>
      </c>
      <c r="F166" s="7">
        <f t="shared" si="85"/>
        <v>25.407424173834315</v>
      </c>
      <c r="G166" s="9">
        <v>0.17</v>
      </c>
      <c r="H166" s="6">
        <f t="shared" si="291"/>
        <v>74.533999999999992</v>
      </c>
      <c r="I166" s="6">
        <f t="shared" si="644"/>
        <v>23.419599999999992</v>
      </c>
      <c r="J166">
        <v>3.7</v>
      </c>
      <c r="K166" s="5">
        <v>7.4999999999999997E-2</v>
      </c>
      <c r="L166" s="17">
        <v>2158</v>
      </c>
      <c r="M166" s="5">
        <v>0.52800000000000002</v>
      </c>
      <c r="N166" s="6">
        <f t="shared" si="304"/>
        <v>15.266</v>
      </c>
      <c r="O166" s="21">
        <f t="shared" si="751"/>
        <v>47.414400000000001</v>
      </c>
      <c r="P166" s="8">
        <f t="shared" si="742"/>
        <v>47.577207142857148</v>
      </c>
      <c r="Q166" s="8">
        <f t="shared" si="752"/>
        <v>66.380400000000009</v>
      </c>
      <c r="R166" s="6">
        <f t="shared" si="753"/>
        <v>23.419599999999992</v>
      </c>
      <c r="S166" s="6">
        <f t="shared" si="684"/>
        <v>6.7349999999999994</v>
      </c>
      <c r="T166" s="6">
        <f t="shared" ref="T166" si="920">I166-I165</f>
        <v>0.17970000000000397</v>
      </c>
      <c r="U166" s="6">
        <f t="shared" ref="U166" si="921">N166-N165</f>
        <v>-5.1000000000000156E-2</v>
      </c>
      <c r="V166" s="6">
        <f t="shared" ref="V166" si="922">E166-E165</f>
        <v>-0.29999999999999716</v>
      </c>
      <c r="W166" s="9">
        <f>Tabla1[[#This Row],[Protein]]/Tabla1[[#This Row],[Peso (Kg)]]</f>
        <v>0.2607973273942093</v>
      </c>
      <c r="X166" s="9">
        <f t="shared" si="746"/>
        <v>0.26082545192316459</v>
      </c>
      <c r="Y166" s="6">
        <f t="shared" si="842"/>
        <v>42.385599999999997</v>
      </c>
      <c r="Z166" s="6">
        <f t="shared" si="747"/>
        <v>89.864285714285714</v>
      </c>
      <c r="AA166" s="6">
        <f t="shared" ref="AA166" si="923">AVERAGE(N160:N166)</f>
        <v>15.150400000000001</v>
      </c>
      <c r="AB166" s="6">
        <f t="shared" ref="AB166" si="924">AVERAGE(R160:R166)</f>
        <v>23.436678571428569</v>
      </c>
      <c r="AC166" s="6">
        <f t="shared" ref="AC166" si="925">100*(AB166/AB165-1)</f>
        <v>-0.16479281775939603</v>
      </c>
      <c r="AD166" s="42">
        <f>Tabla1[[#This Row],[Avg Agua)]]/Tabla1[[#This Row],[Avg Musculo]]</f>
        <v>2.0300319858829341</v>
      </c>
    </row>
    <row r="167" spans="1:30" x14ac:dyDescent="0.3">
      <c r="A167">
        <v>5</v>
      </c>
      <c r="B167">
        <v>2</v>
      </c>
      <c r="C167" t="s">
        <v>26</v>
      </c>
      <c r="D167" s="4">
        <v>45305</v>
      </c>
      <c r="E167" s="6">
        <v>89.55</v>
      </c>
      <c r="F167" s="7">
        <f t="shared" si="85"/>
        <v>25.336690810321414</v>
      </c>
      <c r="G167" s="9">
        <v>0.16300000000000001</v>
      </c>
      <c r="H167" s="6">
        <f t="shared" si="291"/>
        <v>74.95335</v>
      </c>
      <c r="I167" s="6">
        <f t="shared" si="644"/>
        <v>23.165000000000003</v>
      </c>
      <c r="J167">
        <v>3.7</v>
      </c>
      <c r="K167" s="5">
        <v>7.4999999999999997E-2</v>
      </c>
      <c r="L167" s="17">
        <v>2169</v>
      </c>
      <c r="M167" s="5">
        <v>0.53700000000000003</v>
      </c>
      <c r="N167" s="6">
        <f t="shared" si="304"/>
        <v>14.59665</v>
      </c>
      <c r="O167" s="21">
        <f t="shared" si="751"/>
        <v>48.088349999999998</v>
      </c>
      <c r="P167" s="8">
        <f t="shared" si="742"/>
        <v>47.604657142857143</v>
      </c>
      <c r="Q167" s="8">
        <f t="shared" si="752"/>
        <v>66.384999999999991</v>
      </c>
      <c r="R167" s="6">
        <f t="shared" si="753"/>
        <v>23.165000000000003</v>
      </c>
      <c r="S167" s="6">
        <f t="shared" si="684"/>
        <v>6.7162499999999996</v>
      </c>
      <c r="T167" s="6">
        <f t="shared" ref="T167" si="926">I167-I166</f>
        <v>-0.25459999999998928</v>
      </c>
      <c r="U167" s="6">
        <f t="shared" ref="U167" si="927">N167-N166</f>
        <v>-0.66934999999999967</v>
      </c>
      <c r="V167" s="6">
        <f t="shared" ref="V167" si="928">E167-E166</f>
        <v>-0.25</v>
      </c>
      <c r="W167" s="9">
        <f>Tabla1[[#This Row],[Protein]]/Tabla1[[#This Row],[Peso (Kg)]]</f>
        <v>0.25868230039084317</v>
      </c>
      <c r="X167" s="9">
        <f t="shared" si="746"/>
        <v>0.26135434564387106</v>
      </c>
      <c r="Y167" s="6">
        <f t="shared" si="842"/>
        <v>41.461650000000006</v>
      </c>
      <c r="Z167" s="6">
        <f t="shared" si="747"/>
        <v>89.771428571428558</v>
      </c>
      <c r="AA167" s="6">
        <f t="shared" ref="AA167" si="929">AVERAGE(N161:N167)</f>
        <v>15.006407142857142</v>
      </c>
      <c r="AB167" s="6">
        <f t="shared" ref="AB167" si="930">AVERAGE(R161:R167)</f>
        <v>23.460364285714284</v>
      </c>
      <c r="AC167" s="6">
        <f t="shared" ref="AC167" si="931">100*(AB167/AB166-1)</f>
        <v>0.10106258962219172</v>
      </c>
      <c r="AD167" s="42">
        <f>Tabla1[[#This Row],[Avg Agua)]]/Tabla1[[#This Row],[Avg Musculo]]</f>
        <v>2.0291525128552688</v>
      </c>
    </row>
    <row r="168" spans="1:30" x14ac:dyDescent="0.3">
      <c r="A168">
        <v>5</v>
      </c>
      <c r="B168">
        <v>3</v>
      </c>
      <c r="C168" t="s">
        <v>21</v>
      </c>
      <c r="D168" s="4">
        <v>45306</v>
      </c>
      <c r="E168" s="6">
        <v>88.95</v>
      </c>
      <c r="F168" s="7">
        <f t="shared" si="85"/>
        <v>25.16693073789045</v>
      </c>
      <c r="G168" s="9">
        <v>0.161</v>
      </c>
      <c r="H168" s="6">
        <f t="shared" si="291"/>
        <v>74.629050000000007</v>
      </c>
      <c r="I168" s="6">
        <f t="shared" si="644"/>
        <v>23.6966</v>
      </c>
      <c r="J168">
        <v>3.7</v>
      </c>
      <c r="K168" s="5">
        <v>7.0000000000000007E-2</v>
      </c>
      <c r="L168" s="17">
        <v>2157</v>
      </c>
      <c r="M168" s="5">
        <v>0.53100000000000003</v>
      </c>
      <c r="N168" s="6">
        <f t="shared" si="304"/>
        <v>14.320950000000002</v>
      </c>
      <c r="O168" s="21">
        <f t="shared" si="751"/>
        <v>47.232450000000007</v>
      </c>
      <c r="P168" s="8">
        <f t="shared" si="742"/>
        <v>47.483285714285721</v>
      </c>
      <c r="Q168" s="8">
        <f t="shared" si="752"/>
        <v>65.253399999999999</v>
      </c>
      <c r="R168" s="6">
        <f t="shared" si="753"/>
        <v>23.6966</v>
      </c>
      <c r="S168" s="6">
        <f t="shared" si="684"/>
        <v>6.2265000000000006</v>
      </c>
      <c r="T168" s="6">
        <f t="shared" ref="T168" si="932">I168-I167</f>
        <v>0.53159999999999741</v>
      </c>
      <c r="U168" s="6">
        <f t="shared" ref="U168" si="933">N168-N167</f>
        <v>-0.27569999999999872</v>
      </c>
      <c r="V168" s="6">
        <f t="shared" ref="V168" si="934">E168-E167</f>
        <v>-0.59999999999999432</v>
      </c>
      <c r="W168" s="9">
        <f>Tabla1[[#This Row],[Protein]]/Tabla1[[#This Row],[Peso (Kg)]]</f>
        <v>0.2664035975267004</v>
      </c>
      <c r="X168" s="9">
        <f t="shared" si="746"/>
        <v>0.26282077422483302</v>
      </c>
      <c r="Y168" s="6">
        <f t="shared" si="842"/>
        <v>41.717550000000003</v>
      </c>
      <c r="Z168" s="6">
        <f t="shared" si="747"/>
        <v>89.542857142857159</v>
      </c>
      <c r="AA168" s="6">
        <f t="shared" ref="AA168" si="935">AVERAGE(N162:N168)</f>
        <v>14.827314285714285</v>
      </c>
      <c r="AB168" s="6">
        <f t="shared" ref="AB168" si="936">AVERAGE(R162:R168)</f>
        <v>23.532257142857137</v>
      </c>
      <c r="AC168" s="6">
        <f t="shared" ref="AC168" si="937">100*(AB168/AB167-1)</f>
        <v>0.30644390797729404</v>
      </c>
      <c r="AD168" s="42">
        <f>Tabla1[[#This Row],[Avg Agua)]]/Tabla1[[#This Row],[Avg Musculo]]</f>
        <v>2.0177956337137237</v>
      </c>
    </row>
    <row r="169" spans="1:30" x14ac:dyDescent="0.3">
      <c r="A169">
        <v>5</v>
      </c>
      <c r="B169">
        <v>3</v>
      </c>
      <c r="C169" t="s">
        <v>23</v>
      </c>
      <c r="D169" s="4">
        <v>45307</v>
      </c>
      <c r="E169" s="6">
        <v>89.05</v>
      </c>
      <c r="F169" s="7">
        <f t="shared" si="85"/>
        <v>25.19522408329561</v>
      </c>
      <c r="G169" s="9">
        <v>0.16500000000000001</v>
      </c>
      <c r="H169" s="6">
        <f t="shared" si="291"/>
        <v>74.356749999999991</v>
      </c>
      <c r="I169" s="6">
        <f t="shared" si="644"/>
        <v>23.460249999999991</v>
      </c>
      <c r="J169">
        <v>3.7</v>
      </c>
      <c r="K169" s="5">
        <v>7.4999999999999997E-2</v>
      </c>
      <c r="L169" s="17">
        <v>2149</v>
      </c>
      <c r="M169" s="5">
        <v>0.53</v>
      </c>
      <c r="N169" s="6">
        <f t="shared" si="304"/>
        <v>14.693250000000001</v>
      </c>
      <c r="O169" s="21">
        <f t="shared" si="751"/>
        <v>47.1965</v>
      </c>
      <c r="P169" s="8">
        <f t="shared" si="742"/>
        <v>47.425757142857144</v>
      </c>
      <c r="Q169" s="8">
        <f t="shared" si="752"/>
        <v>65.589750000000009</v>
      </c>
      <c r="R169" s="6">
        <f t="shared" si="753"/>
        <v>23.460249999999991</v>
      </c>
      <c r="S169" s="6">
        <f t="shared" si="684"/>
        <v>6.67875</v>
      </c>
      <c r="T169" s="6">
        <f t="shared" ref="T169" si="938">I169-I168</f>
        <v>-0.23635000000000872</v>
      </c>
      <c r="U169" s="6">
        <f t="shared" ref="U169" si="939">N169-N168</f>
        <v>0.37229999999999919</v>
      </c>
      <c r="V169" s="6">
        <f t="shared" ref="V169" si="940">E169-E168</f>
        <v>9.9999999999994316E-2</v>
      </c>
      <c r="W169" s="9">
        <f>Tabla1[[#This Row],[Protein]]/Tabla1[[#This Row],[Peso (Kg)]]</f>
        <v>0.26345030881527221</v>
      </c>
      <c r="X169" s="9">
        <f t="shared" si="746"/>
        <v>0.2630340621413163</v>
      </c>
      <c r="Y169" s="6">
        <f t="shared" si="842"/>
        <v>41.853499999999997</v>
      </c>
      <c r="Z169" s="6">
        <f t="shared" si="747"/>
        <v>89.385714285714286</v>
      </c>
      <c r="AA169" s="6">
        <f t="shared" ref="AA169" si="941">AVERAGE(N163:N169)</f>
        <v>14.749871428571428</v>
      </c>
      <c r="AB169" s="6">
        <f t="shared" ref="AB169" si="942">AVERAGE(R163:R169)</f>
        <v>23.510085714285712</v>
      </c>
      <c r="AC169" s="6">
        <f t="shared" ref="AC169" si="943">100*(AB169/AB168-1)</f>
        <v>-9.4217177879829528E-2</v>
      </c>
      <c r="AD169" s="42">
        <f>Tabla1[[#This Row],[Avg Agua)]]/Tabla1[[#This Row],[Avg Musculo]]</f>
        <v>2.0172515625512699</v>
      </c>
    </row>
    <row r="170" spans="1:30" x14ac:dyDescent="0.3">
      <c r="A170">
        <v>5</v>
      </c>
      <c r="B170">
        <v>3</v>
      </c>
      <c r="C170" t="s">
        <v>24</v>
      </c>
      <c r="D170" s="4">
        <v>45308</v>
      </c>
      <c r="E170" s="6">
        <v>89.1</v>
      </c>
      <c r="F170" s="7">
        <f t="shared" si="85"/>
        <v>25.20937075599819</v>
      </c>
      <c r="G170" s="9">
        <v>0.16400000000000001</v>
      </c>
      <c r="H170" s="6">
        <f t="shared" si="291"/>
        <v>74.4876</v>
      </c>
      <c r="I170" s="6">
        <f t="shared" si="644"/>
        <v>23.564600000000002</v>
      </c>
      <c r="J170">
        <v>3.7</v>
      </c>
      <c r="K170" s="5">
        <v>7.0000000000000007E-2</v>
      </c>
      <c r="L170" s="17">
        <v>2155</v>
      </c>
      <c r="M170" s="5">
        <v>0.53</v>
      </c>
      <c r="N170" s="6">
        <f t="shared" si="304"/>
        <v>14.612399999999999</v>
      </c>
      <c r="O170" s="21">
        <f t="shared" si="751"/>
        <v>47.222999999999999</v>
      </c>
      <c r="P170" s="8">
        <f t="shared" si="742"/>
        <v>47.471471428571427</v>
      </c>
      <c r="Q170" s="8">
        <f t="shared" si="752"/>
        <v>65.535399999999996</v>
      </c>
      <c r="R170" s="6">
        <f t="shared" si="753"/>
        <v>23.564600000000002</v>
      </c>
      <c r="S170" s="6">
        <f t="shared" si="684"/>
        <v>6.2370000000000001</v>
      </c>
      <c r="T170" s="6">
        <f t="shared" ref="T170" si="944">I170-I169</f>
        <v>0.10435000000001082</v>
      </c>
      <c r="U170" s="6">
        <f t="shared" ref="U170" si="945">N170-N169</f>
        <v>-8.0850000000001643E-2</v>
      </c>
      <c r="V170" s="6">
        <f t="shared" ref="V170" si="946">E170-E169</f>
        <v>4.9999999999997158E-2</v>
      </c>
      <c r="W170" s="9">
        <f>Tabla1[[#This Row],[Protein]]/Tabla1[[#This Row],[Peso (Kg)]]</f>
        <v>0.26447362514029182</v>
      </c>
      <c r="X170" s="9">
        <f t="shared" si="746"/>
        <v>0.26218358483391013</v>
      </c>
      <c r="Y170" s="6">
        <f t="shared" si="842"/>
        <v>41.877000000000002</v>
      </c>
      <c r="Z170" s="6">
        <f t="shared" si="747"/>
        <v>89.399999999999991</v>
      </c>
      <c r="AA170" s="6">
        <f t="shared" ref="AA170" si="947">AVERAGE(N164:N170)</f>
        <v>14.790357142857143</v>
      </c>
      <c r="AB170" s="6">
        <f t="shared" ref="AB170" si="948">AVERAGE(R164:R170)</f>
        <v>23.43817142857143</v>
      </c>
      <c r="AC170" s="6">
        <f t="shared" ref="AC170" si="949">100*(AB170/AB169-1)</f>
        <v>-0.30588695672251198</v>
      </c>
      <c r="AD170" s="42">
        <f>Tabla1[[#This Row],[Avg Agua)]]/Tabla1[[#This Row],[Avg Musculo]]</f>
        <v>2.0253914249770824</v>
      </c>
    </row>
    <row r="171" spans="1:30" x14ac:dyDescent="0.3">
      <c r="A171">
        <v>5</v>
      </c>
      <c r="B171">
        <v>3</v>
      </c>
      <c r="C171" t="s">
        <v>22</v>
      </c>
      <c r="D171" s="4">
        <v>45309</v>
      </c>
      <c r="E171" s="6">
        <v>89.3</v>
      </c>
      <c r="F171" s="7">
        <f t="shared" si="85"/>
        <v>25.26595744680851</v>
      </c>
      <c r="G171" s="9">
        <v>0.17</v>
      </c>
      <c r="H171" s="6">
        <f t="shared" si="291"/>
        <v>74.119</v>
      </c>
      <c r="I171" s="6">
        <f t="shared" si="644"/>
        <v>23.179300000000001</v>
      </c>
      <c r="J171">
        <v>3.7</v>
      </c>
      <c r="K171" s="5">
        <v>7.4999999999999997E-2</v>
      </c>
      <c r="L171" s="17">
        <v>2146</v>
      </c>
      <c r="M171" s="5">
        <v>0.52900000000000003</v>
      </c>
      <c r="N171" s="6">
        <f t="shared" si="304"/>
        <v>15.181000000000001</v>
      </c>
      <c r="O171" s="21">
        <f t="shared" si="751"/>
        <v>47.239699999999999</v>
      </c>
      <c r="P171" s="8">
        <f t="shared" si="742"/>
        <v>47.462499999999991</v>
      </c>
      <c r="Q171" s="8">
        <f t="shared" si="752"/>
        <v>66.120699999999999</v>
      </c>
      <c r="R171" s="6">
        <f t="shared" si="753"/>
        <v>23.179300000000001</v>
      </c>
      <c r="S171" s="6">
        <f t="shared" si="684"/>
        <v>6.6974999999999998</v>
      </c>
      <c r="T171" s="6">
        <f t="shared" ref="T171" si="950">I171-I170</f>
        <v>-0.38530000000000086</v>
      </c>
      <c r="U171" s="6">
        <f t="shared" ref="U171" si="951">N171-N170</f>
        <v>0.56860000000000177</v>
      </c>
      <c r="V171" s="6">
        <f t="shared" ref="V171" si="952">E171-E170</f>
        <v>0.20000000000000284</v>
      </c>
      <c r="W171" s="9">
        <f>Tabla1[[#This Row],[Protein]]/Tabla1[[#This Row],[Peso (Kg)]]</f>
        <v>0.25956662933930574</v>
      </c>
      <c r="X171" s="9">
        <f t="shared" si="746"/>
        <v>0.26161547225853288</v>
      </c>
      <c r="Y171" s="6">
        <f t="shared" si="842"/>
        <v>42.060300000000005</v>
      </c>
      <c r="Z171" s="6">
        <f t="shared" si="747"/>
        <v>89.407142857142844</v>
      </c>
      <c r="AA171" s="6">
        <f t="shared" ref="AA171" si="953">AVERAGE(N165:N171)</f>
        <v>14.855321428571427</v>
      </c>
      <c r="AB171" s="6">
        <f t="shared" ref="AB171" si="954">AVERAGE(R165:R171)</f>
        <v>23.389321428571428</v>
      </c>
      <c r="AC171" s="6">
        <f t="shared" ref="AC171" si="955">100*(AB171/AB170-1)</f>
        <v>-0.20842069590997214</v>
      </c>
      <c r="AD171" s="42">
        <f>Tabla1[[#This Row],[Avg Agua)]]/Tabla1[[#This Row],[Avg Musculo]]</f>
        <v>2.0292380069659379</v>
      </c>
    </row>
    <row r="172" spans="1:30" x14ac:dyDescent="0.3">
      <c r="A172">
        <v>5</v>
      </c>
      <c r="B172">
        <v>3</v>
      </c>
      <c r="C172" t="s">
        <v>20</v>
      </c>
      <c r="D172" s="4">
        <v>45310</v>
      </c>
      <c r="E172" s="6">
        <v>89.1</v>
      </c>
      <c r="F172" s="7">
        <f t="shared" si="85"/>
        <v>25.20937075599819</v>
      </c>
      <c r="G172" s="9">
        <v>0.16600000000000001</v>
      </c>
      <c r="H172" s="6">
        <f t="shared" si="291"/>
        <v>74.309399999999997</v>
      </c>
      <c r="I172" s="6">
        <f t="shared" si="644"/>
        <v>23.653699999999997</v>
      </c>
      <c r="J172">
        <v>3.7</v>
      </c>
      <c r="K172" s="5">
        <v>7.4999999999999997E-2</v>
      </c>
      <c r="L172" s="17">
        <v>2150</v>
      </c>
      <c r="M172" s="5">
        <v>0.52700000000000002</v>
      </c>
      <c r="N172" s="6">
        <f t="shared" si="304"/>
        <v>14.7906</v>
      </c>
      <c r="O172" s="21">
        <f t="shared" si="751"/>
        <v>46.9557</v>
      </c>
      <c r="P172" s="8">
        <f t="shared" si="742"/>
        <v>47.335728571428568</v>
      </c>
      <c r="Q172" s="8">
        <f t="shared" si="752"/>
        <v>65.446299999999994</v>
      </c>
      <c r="R172" s="6">
        <f t="shared" si="753"/>
        <v>23.653699999999997</v>
      </c>
      <c r="S172" s="6">
        <f t="shared" si="684"/>
        <v>6.6824999999999992</v>
      </c>
      <c r="T172" s="6">
        <f t="shared" ref="T172" si="956">I172-I171</f>
        <v>0.47439999999999571</v>
      </c>
      <c r="U172" s="6">
        <f t="shared" ref="U172" si="957">N172-N171</f>
        <v>-0.39040000000000141</v>
      </c>
      <c r="V172" s="6">
        <f t="shared" ref="V172" si="958">E172-E171</f>
        <v>-0.20000000000000284</v>
      </c>
      <c r="W172" s="9">
        <f>Tabla1[[#This Row],[Protein]]/Tabla1[[#This Row],[Peso (Kg)]]</f>
        <v>0.26547362514029177</v>
      </c>
      <c r="X172" s="9">
        <f t="shared" si="746"/>
        <v>0.26269248767813064</v>
      </c>
      <c r="Y172" s="6">
        <f t="shared" si="842"/>
        <v>42.144300000000001</v>
      </c>
      <c r="Z172" s="6">
        <f t="shared" si="747"/>
        <v>89.26428571428572</v>
      </c>
      <c r="AA172" s="6">
        <f t="shared" ref="AA172" si="959">AVERAGE(N166:N172)</f>
        <v>14.780121428571428</v>
      </c>
      <c r="AB172" s="6">
        <f t="shared" ref="AB172" si="960">AVERAGE(R166:R172)</f>
        <v>23.448435714285711</v>
      </c>
      <c r="AC172" s="6">
        <f t="shared" ref="AC172" si="961">100*(AB172/AB171-1)</f>
        <v>0.25274049054742065</v>
      </c>
      <c r="AD172" s="42">
        <f>Tabla1[[#This Row],[Avg Agua)]]/Tabla1[[#This Row],[Avg Musculo]]</f>
        <v>2.0187158387964352</v>
      </c>
    </row>
    <row r="173" spans="1:30" x14ac:dyDescent="0.3">
      <c r="A173">
        <v>5</v>
      </c>
      <c r="B173">
        <v>3</v>
      </c>
      <c r="C173" t="s">
        <v>26</v>
      </c>
      <c r="D173" s="4">
        <v>45312</v>
      </c>
      <c r="E173" s="6">
        <v>90.15</v>
      </c>
      <c r="F173" s="7">
        <f t="shared" si="85"/>
        <v>25.506450882752379</v>
      </c>
      <c r="G173" s="9">
        <v>0.17100000000000001</v>
      </c>
      <c r="H173" s="6">
        <f t="shared" si="291"/>
        <v>74.734350000000006</v>
      </c>
      <c r="I173" s="6">
        <f t="shared" si="644"/>
        <v>23.1647</v>
      </c>
      <c r="J173">
        <v>3.7</v>
      </c>
      <c r="K173" s="5">
        <v>7.4999999999999997E-2</v>
      </c>
      <c r="L173" s="17">
        <v>2165</v>
      </c>
      <c r="M173" s="5">
        <v>0.53100000000000003</v>
      </c>
      <c r="N173" s="6">
        <f t="shared" si="304"/>
        <v>15.415650000000003</v>
      </c>
      <c r="O173" s="21">
        <f t="shared" si="751"/>
        <v>47.869650000000007</v>
      </c>
      <c r="P173" s="8">
        <f t="shared" si="742"/>
        <v>47.400764285714281</v>
      </c>
      <c r="Q173" s="8">
        <f t="shared" si="752"/>
        <v>66.985300000000009</v>
      </c>
      <c r="R173" s="6">
        <f t="shared" si="753"/>
        <v>23.1647</v>
      </c>
      <c r="S173" s="6">
        <f t="shared" si="684"/>
        <v>6.7612500000000004</v>
      </c>
      <c r="T173" s="6">
        <f t="shared" ref="T173" si="962">I173-I172</f>
        <v>-0.48899999999999721</v>
      </c>
      <c r="U173" s="6">
        <f t="shared" ref="U173" si="963">N173-N172</f>
        <v>0.62505000000000344</v>
      </c>
      <c r="V173" s="6">
        <f t="shared" ref="V173" si="964">E173-E172</f>
        <v>1.0500000000000114</v>
      </c>
      <c r="W173" s="9">
        <f>Tabla1[[#This Row],[Protein]]/Tabla1[[#This Row],[Peso (Kg)]]</f>
        <v>0.25695729339988904</v>
      </c>
      <c r="X173" s="9">
        <f t="shared" si="746"/>
        <v>0.26214391139322774</v>
      </c>
      <c r="Y173" s="6">
        <f t="shared" si="842"/>
        <v>42.280350000000006</v>
      </c>
      <c r="Z173" s="6">
        <f t="shared" si="747"/>
        <v>89.314285714285703</v>
      </c>
      <c r="AA173" s="6">
        <f t="shared" ref="AA173" si="965">AVERAGE(N167:N173)</f>
        <v>14.801500000000001</v>
      </c>
      <c r="AB173" s="6">
        <f t="shared" ref="AB173" si="966">AVERAGE(R167:R173)</f>
        <v>23.412021428571428</v>
      </c>
      <c r="AC173" s="6">
        <f t="shared" ref="AC173" si="967">100*(AB173/AB172-1)</f>
        <v>-0.15529515980504671</v>
      </c>
      <c r="AD173" s="42">
        <f>Tabla1[[#This Row],[Avg Agua)]]/Tabla1[[#This Row],[Avg Musculo]]</f>
        <v>2.0246335597432696</v>
      </c>
    </row>
    <row r="174" spans="1:30" x14ac:dyDescent="0.3">
      <c r="A174">
        <v>6</v>
      </c>
      <c r="B174">
        <v>4</v>
      </c>
      <c r="C174" t="s">
        <v>21</v>
      </c>
      <c r="D174" s="4">
        <v>45313</v>
      </c>
      <c r="E174" s="6">
        <v>89.75</v>
      </c>
      <c r="F174" s="7">
        <f t="shared" si="85"/>
        <v>25.393277501131735</v>
      </c>
      <c r="G174" s="9">
        <v>0.16800000000000001</v>
      </c>
      <c r="H174" s="6">
        <f t="shared" si="291"/>
        <v>74.671999999999997</v>
      </c>
      <c r="I174" s="6">
        <f t="shared" si="644"/>
        <v>23.224999999999998</v>
      </c>
      <c r="J174">
        <v>3.7</v>
      </c>
      <c r="K174" s="5">
        <v>7.4999999999999997E-2</v>
      </c>
      <c r="L174" s="17">
        <v>2161</v>
      </c>
      <c r="M174" s="5">
        <v>0.53200000000000003</v>
      </c>
      <c r="N174" s="6">
        <f t="shared" si="304"/>
        <v>15.078000000000001</v>
      </c>
      <c r="O174" s="21">
        <f t="shared" si="751"/>
        <v>47.747</v>
      </c>
      <c r="P174" s="8">
        <f t="shared" si="742"/>
        <v>47.351999999999997</v>
      </c>
      <c r="Q174" s="8">
        <f t="shared" si="752"/>
        <v>66.525000000000006</v>
      </c>
      <c r="R174" s="6">
        <f t="shared" si="753"/>
        <v>23.224999999999998</v>
      </c>
      <c r="S174" s="6">
        <f t="shared" si="684"/>
        <v>6.7312500000000002</v>
      </c>
      <c r="T174" s="6">
        <f t="shared" ref="T174" si="968">I174-I173</f>
        <v>6.0299999999998022E-2</v>
      </c>
      <c r="U174" s="6">
        <f t="shared" ref="U174" si="969">N174-N173</f>
        <v>-0.33765000000000178</v>
      </c>
      <c r="V174" s="6">
        <f t="shared" ref="V174" si="970">E174-E173</f>
        <v>-0.40000000000000568</v>
      </c>
      <c r="W174" s="9">
        <f>Tabla1[[#This Row],[Protein]]/Tabla1[[#This Row],[Peso (Kg)]]</f>
        <v>0.25877437325905289</v>
      </c>
      <c r="X174" s="9">
        <f t="shared" si="746"/>
        <v>0.26215706466011485</v>
      </c>
      <c r="Y174" s="6">
        <f t="shared" si="842"/>
        <v>42.003</v>
      </c>
      <c r="Z174" s="6">
        <f t="shared" si="747"/>
        <v>89.342857142857142</v>
      </c>
      <c r="AA174" s="6">
        <f t="shared" ref="AA174" si="971">AVERAGE(N168:N174)</f>
        <v>14.870264285714287</v>
      </c>
      <c r="AB174" s="6">
        <f t="shared" ref="AB174" si="972">AVERAGE(R168:R174)</f>
        <v>23.420592857142854</v>
      </c>
      <c r="AC174" s="6">
        <f t="shared" ref="AC174" si="973">100*(AB174/AB173-1)</f>
        <v>3.6611228114491468E-2</v>
      </c>
      <c r="AD174" s="42">
        <f>Tabla1[[#This Row],[Avg Agua)]]/Tabla1[[#This Row],[Avg Musculo]]</f>
        <v>2.0218104763115976</v>
      </c>
    </row>
    <row r="175" spans="1:30" x14ac:dyDescent="0.3">
      <c r="A175">
        <v>6</v>
      </c>
      <c r="B175">
        <v>4</v>
      </c>
      <c r="C175" t="s">
        <v>23</v>
      </c>
      <c r="D175" s="4">
        <v>45314</v>
      </c>
      <c r="E175" s="6">
        <v>88.9</v>
      </c>
      <c r="F175" s="7">
        <f t="shared" si="85"/>
        <v>25.15278406518787</v>
      </c>
      <c r="G175" s="9">
        <v>0.16200000000000001</v>
      </c>
      <c r="H175" s="6">
        <f t="shared" si="291"/>
        <v>74.498199999999997</v>
      </c>
      <c r="I175" s="6">
        <f t="shared" si="644"/>
        <v>24.036799999999996</v>
      </c>
      <c r="J175">
        <v>3.7</v>
      </c>
      <c r="K175" s="5">
        <v>7.0000000000000007E-2</v>
      </c>
      <c r="L175" s="17">
        <v>2154</v>
      </c>
      <c r="M175" s="5">
        <v>0.52600000000000002</v>
      </c>
      <c r="N175" s="6">
        <f t="shared" si="304"/>
        <v>14.401800000000001</v>
      </c>
      <c r="O175" s="21">
        <f t="shared" si="751"/>
        <v>46.761400000000002</v>
      </c>
      <c r="P175" s="8">
        <f t="shared" si="742"/>
        <v>47.284707142857144</v>
      </c>
      <c r="Q175" s="8">
        <f t="shared" si="752"/>
        <v>64.863200000000006</v>
      </c>
      <c r="R175" s="6">
        <f t="shared" si="753"/>
        <v>24.036799999999996</v>
      </c>
      <c r="S175" s="6">
        <f t="shared" si="684"/>
        <v>6.2230000000000008</v>
      </c>
      <c r="T175" s="6">
        <f t="shared" ref="T175" si="974">I175-I174</f>
        <v>0.81179999999999808</v>
      </c>
      <c r="U175" s="6">
        <f t="shared" ref="U175" si="975">N175-N174</f>
        <v>-0.67619999999999969</v>
      </c>
      <c r="V175" s="6">
        <f t="shared" ref="V175" si="976">E175-E174</f>
        <v>-0.84999999999999432</v>
      </c>
      <c r="W175" s="9">
        <f>Tabla1[[#This Row],[Protein]]/Tabla1[[#This Row],[Peso (Kg)]]</f>
        <v>0.27038020247469058</v>
      </c>
      <c r="X175" s="9">
        <f t="shared" si="746"/>
        <v>0.26272515108125633</v>
      </c>
      <c r="Y175" s="6">
        <f t="shared" si="842"/>
        <v>42.138599999999997</v>
      </c>
      <c r="Z175" s="6">
        <f t="shared" si="747"/>
        <v>89.335714285714275</v>
      </c>
      <c r="AA175" s="6">
        <f t="shared" ref="AA175" si="977">AVERAGE(N169:N175)</f>
        <v>14.881814285714285</v>
      </c>
      <c r="AB175" s="6">
        <f t="shared" ref="AB175" si="978">AVERAGE(R169:R175)</f>
        <v>23.469192857142854</v>
      </c>
      <c r="AC175" s="6">
        <f t="shared" ref="AC175" si="979">100*(AB175/AB174-1)</f>
        <v>0.2075096915626462</v>
      </c>
      <c r="AD175" s="42">
        <f>Tabla1[[#This Row],[Avg Agua)]]/Tabla1[[#This Row],[Avg Musculo]]</f>
        <v>2.0147564268903277</v>
      </c>
    </row>
    <row r="176" spans="1:30" x14ac:dyDescent="0.3">
      <c r="A176">
        <v>6</v>
      </c>
      <c r="B176">
        <v>4</v>
      </c>
      <c r="C176" t="s">
        <v>24</v>
      </c>
      <c r="D176" s="4">
        <v>45315</v>
      </c>
      <c r="E176" s="6">
        <v>88.2</v>
      </c>
      <c r="F176" s="7">
        <f t="shared" si="85"/>
        <v>24.954730647351745</v>
      </c>
      <c r="G176" s="9">
        <v>0.158</v>
      </c>
      <c r="H176" s="6">
        <f t="shared" si="291"/>
        <v>74.264399999999995</v>
      </c>
      <c r="I176" s="6">
        <f t="shared" si="644"/>
        <v>24.43579999999999</v>
      </c>
      <c r="J176">
        <v>3.7</v>
      </c>
      <c r="K176" s="5">
        <v>7.0000000000000007E-2</v>
      </c>
      <c r="L176" s="17">
        <v>2145</v>
      </c>
      <c r="M176" s="5">
        <v>0.52300000000000002</v>
      </c>
      <c r="N176" s="6">
        <f t="shared" si="304"/>
        <v>13.935600000000001</v>
      </c>
      <c r="O176" s="21">
        <f t="shared" si="751"/>
        <v>46.128600000000006</v>
      </c>
      <c r="P176" s="8">
        <f t="shared" si="742"/>
        <v>47.132150000000003</v>
      </c>
      <c r="Q176" s="8">
        <f t="shared" si="752"/>
        <v>63.764200000000017</v>
      </c>
      <c r="R176" s="6">
        <f t="shared" si="753"/>
        <v>24.43579999999999</v>
      </c>
      <c r="S176" s="6">
        <f t="shared" si="684"/>
        <v>6.1740000000000004</v>
      </c>
      <c r="T176" s="6">
        <f t="shared" ref="T176" si="980">I176-I175</f>
        <v>0.3989999999999938</v>
      </c>
      <c r="U176" s="6">
        <f t="shared" ref="U176" si="981">N176-N175</f>
        <v>-0.46620000000000061</v>
      </c>
      <c r="V176" s="6">
        <f t="shared" ref="V176" si="982">E176-E175</f>
        <v>-0.70000000000000284</v>
      </c>
      <c r="W176" s="9">
        <f>Tabla1[[#This Row],[Protein]]/Tabla1[[#This Row],[Peso (Kg)]]</f>
        <v>0.27704988662131508</v>
      </c>
      <c r="X176" s="9">
        <f t="shared" si="746"/>
        <v>0.26466794791069098</v>
      </c>
      <c r="Y176" s="6">
        <f t="shared" si="842"/>
        <v>42.071399999999997</v>
      </c>
      <c r="Z176" s="6">
        <f t="shared" si="747"/>
        <v>89.214285714285708</v>
      </c>
      <c r="AA176" s="6">
        <f t="shared" ref="AA176" si="983">AVERAGE(N170:N176)</f>
        <v>14.773578571428573</v>
      </c>
      <c r="AB176" s="6">
        <f t="shared" ref="AB176" si="984">AVERAGE(R170:R176)</f>
        <v>23.608557142857141</v>
      </c>
      <c r="AC176" s="6">
        <f t="shared" ref="AC176" si="985">100*(AB176/AB175-1)</f>
        <v>0.59381797474926667</v>
      </c>
      <c r="AD176" s="42">
        <f>Tabla1[[#This Row],[Avg Agua)]]/Tabla1[[#This Row],[Avg Musculo]]</f>
        <v>1.9964011233215078</v>
      </c>
    </row>
    <row r="177" spans="1:38" x14ac:dyDescent="0.3">
      <c r="A177">
        <v>6</v>
      </c>
      <c r="B177">
        <v>4</v>
      </c>
      <c r="C177" t="s">
        <v>22</v>
      </c>
      <c r="D177" s="4">
        <v>45316</v>
      </c>
      <c r="E177" s="6">
        <v>88.4</v>
      </c>
      <c r="F177" s="7">
        <f t="shared" si="85"/>
        <v>25.011317338162069</v>
      </c>
      <c r="G177" s="9">
        <v>0.158</v>
      </c>
      <c r="H177" s="6">
        <f t="shared" si="291"/>
        <v>74.4328</v>
      </c>
      <c r="I177" s="6">
        <f t="shared" si="644"/>
        <v>24.057599999999997</v>
      </c>
      <c r="J177">
        <v>3.7</v>
      </c>
      <c r="K177" s="5">
        <v>7.0000000000000007E-2</v>
      </c>
      <c r="L177" s="17">
        <v>2149</v>
      </c>
      <c r="M177" s="5">
        <v>0.52800000000000002</v>
      </c>
      <c r="N177" s="6">
        <f t="shared" si="304"/>
        <v>13.967200000000002</v>
      </c>
      <c r="O177" s="21">
        <f t="shared" si="751"/>
        <v>46.675200000000004</v>
      </c>
      <c r="P177" s="8">
        <f t="shared" si="742"/>
        <v>47.053892857142856</v>
      </c>
      <c r="Q177" s="8">
        <f t="shared" si="752"/>
        <v>64.342400000000012</v>
      </c>
      <c r="R177" s="6">
        <f t="shared" si="753"/>
        <v>24.057599999999997</v>
      </c>
      <c r="S177" s="6">
        <f t="shared" si="684"/>
        <v>6.1880000000000006</v>
      </c>
      <c r="T177" s="6">
        <f t="shared" ref="T177" si="986">I177-I176</f>
        <v>-0.37819999999999254</v>
      </c>
      <c r="U177" s="6">
        <f t="shared" ref="U177" si="987">N177-N176</f>
        <v>3.1600000000000961E-2</v>
      </c>
      <c r="V177" s="6">
        <f t="shared" ref="V177" si="988">E177-E176</f>
        <v>0.20000000000000284</v>
      </c>
      <c r="W177" s="9">
        <f>Tabla1[[#This Row],[Protein]]/Tabla1[[#This Row],[Peso (Kg)]]</f>
        <v>0.27214479638009043</v>
      </c>
      <c r="X177" s="9">
        <f t="shared" si="746"/>
        <v>0.26576382951637656</v>
      </c>
      <c r="Y177" s="6">
        <f t="shared" si="842"/>
        <v>41.724800000000002</v>
      </c>
      <c r="Z177" s="6">
        <f t="shared" si="747"/>
        <v>89.114285714285714</v>
      </c>
      <c r="AA177" s="6">
        <f t="shared" ref="AA177" si="989">AVERAGE(N171:N177)</f>
        <v>14.681407142857143</v>
      </c>
      <c r="AB177" s="6">
        <f t="shared" ref="AB177" si="990">AVERAGE(R171:R177)</f>
        <v>23.678985714285712</v>
      </c>
      <c r="AC177" s="6">
        <f t="shared" ref="AC177" si="991">100*(AB177/AB176-1)</f>
        <v>0.29831798276533927</v>
      </c>
      <c r="AD177" s="42">
        <f>Tabla1[[#This Row],[Avg Agua)]]/Tabla1[[#This Row],[Avg Musculo]]</f>
        <v>1.9871582940630301</v>
      </c>
    </row>
    <row r="178" spans="1:38" x14ac:dyDescent="0.3">
      <c r="A178">
        <v>6</v>
      </c>
      <c r="B178">
        <v>4</v>
      </c>
      <c r="C178" t="s">
        <v>20</v>
      </c>
      <c r="D178" s="4">
        <v>45317</v>
      </c>
      <c r="E178" s="6">
        <v>89.05</v>
      </c>
      <c r="F178" s="7">
        <f t="shared" si="85"/>
        <v>25.19522408329561</v>
      </c>
      <c r="G178" s="9">
        <v>0.16600000000000001</v>
      </c>
      <c r="H178" s="6">
        <f t="shared" si="291"/>
        <v>74.267699999999991</v>
      </c>
      <c r="I178" s="6">
        <f t="shared" si="644"/>
        <v>23.282149999999991</v>
      </c>
      <c r="J178">
        <v>3.7</v>
      </c>
      <c r="K178" s="5">
        <v>7.4999999999999997E-2</v>
      </c>
      <c r="L178" s="17">
        <v>2149</v>
      </c>
      <c r="M178" s="5">
        <v>0.53100000000000003</v>
      </c>
      <c r="N178" s="6">
        <f t="shared" si="304"/>
        <v>14.782300000000001</v>
      </c>
      <c r="O178" s="21">
        <f t="shared" si="751"/>
        <v>47.285550000000001</v>
      </c>
      <c r="P178" s="8">
        <f t="shared" si="742"/>
        <v>47.06044285714286</v>
      </c>
      <c r="Q178" s="8">
        <f t="shared" si="752"/>
        <v>65.76785000000001</v>
      </c>
      <c r="R178" s="6">
        <f t="shared" si="753"/>
        <v>23.282149999999991</v>
      </c>
      <c r="S178" s="6">
        <f t="shared" si="684"/>
        <v>6.67875</v>
      </c>
      <c r="T178" s="6">
        <f t="shared" ref="T178" si="992">I178-I177</f>
        <v>-0.77545000000000641</v>
      </c>
      <c r="U178" s="6">
        <f t="shared" ref="U178" si="993">N178-N177</f>
        <v>0.81509999999999927</v>
      </c>
      <c r="V178" s="6">
        <f t="shared" ref="V178" si="994">E178-E177</f>
        <v>0.64999999999999147</v>
      </c>
      <c r="W178" s="9">
        <f>Tabla1[[#This Row],[Protein]]/Tabla1[[#This Row],[Peso (Kg)]]</f>
        <v>0.2614503088152722</v>
      </c>
      <c r="X178" s="9">
        <f t="shared" si="746"/>
        <v>0.26603292658437172</v>
      </c>
      <c r="Y178" s="6">
        <f t="shared" si="842"/>
        <v>41.764449999999997</v>
      </c>
      <c r="Z178" s="6">
        <f t="shared" si="747"/>
        <v>89.078571428571422</v>
      </c>
      <c r="AA178" s="6">
        <f t="shared" ref="AA178" si="995">AVERAGE(N172:N178)</f>
        <v>14.624450000000005</v>
      </c>
      <c r="AB178" s="6">
        <f t="shared" ref="AB178" si="996">AVERAGE(R172:R178)</f>
        <v>23.693678571428567</v>
      </c>
      <c r="AC178" s="6">
        <f t="shared" ref="AC178" si="997">100*(AB178/AB177-1)</f>
        <v>6.2050196406815417E-2</v>
      </c>
      <c r="AD178" s="42">
        <f>Tabla1[[#This Row],[Avg Agua)]]/Tabla1[[#This Row],[Avg Musculo]]</f>
        <v>1.9862024681085828</v>
      </c>
    </row>
    <row r="179" spans="1:38" x14ac:dyDescent="0.3">
      <c r="A179">
        <v>6</v>
      </c>
      <c r="B179">
        <v>4</v>
      </c>
      <c r="C179" t="s">
        <v>25</v>
      </c>
      <c r="D179" s="4">
        <v>45318</v>
      </c>
      <c r="E179" s="6">
        <v>89.3</v>
      </c>
      <c r="F179" s="7">
        <f t="shared" si="85"/>
        <v>25.26595744680851</v>
      </c>
      <c r="G179" s="9">
        <v>0.16800000000000001</v>
      </c>
      <c r="H179" s="6">
        <f t="shared" si="291"/>
        <v>74.297600000000003</v>
      </c>
      <c r="I179" s="6">
        <f t="shared" si="644"/>
        <v>23.000700000000013</v>
      </c>
      <c r="J179">
        <v>3.7</v>
      </c>
      <c r="K179" s="5">
        <v>7.4999999999999997E-2</v>
      </c>
      <c r="L179" s="17">
        <v>2150</v>
      </c>
      <c r="M179" s="5">
        <v>0.53299999999999992</v>
      </c>
      <c r="N179" s="6">
        <f t="shared" si="304"/>
        <v>15.0024</v>
      </c>
      <c r="O179" s="21">
        <f t="shared" si="751"/>
        <v>47.596899999999991</v>
      </c>
      <c r="P179" s="8">
        <f t="shared" si="742"/>
        <v>47.15204285714286</v>
      </c>
      <c r="Q179" s="8">
        <f t="shared" si="752"/>
        <v>66.299299999999988</v>
      </c>
      <c r="R179" s="6">
        <f t="shared" si="753"/>
        <v>23.000700000000013</v>
      </c>
      <c r="S179" s="6">
        <f t="shared" si="684"/>
        <v>6.6974999999999998</v>
      </c>
      <c r="T179" s="6">
        <f t="shared" ref="T179" si="998">I179-I178</f>
        <v>-0.28144999999997822</v>
      </c>
      <c r="U179" s="6">
        <f t="shared" ref="U179" si="999">N179-N178</f>
        <v>0.22009999999999863</v>
      </c>
      <c r="V179" s="6">
        <f t="shared" ref="V179" si="1000">E179-E178</f>
        <v>0.25</v>
      </c>
      <c r="W179" s="9">
        <f>Tabla1[[#This Row],[Protein]]/Tabla1[[#This Row],[Peso (Kg)]]</f>
        <v>0.25756662933930585</v>
      </c>
      <c r="X179" s="9">
        <f t="shared" si="746"/>
        <v>0.26490335575565949</v>
      </c>
      <c r="Y179" s="6">
        <f t="shared" si="842"/>
        <v>41.703100000000013</v>
      </c>
      <c r="Z179" s="6">
        <f t="shared" si="747"/>
        <v>89.107142857142847</v>
      </c>
      <c r="AA179" s="6">
        <f t="shared" ref="AA179" si="1001">AVERAGE(N173:N179)</f>
        <v>14.654707142857145</v>
      </c>
      <c r="AB179" s="6">
        <f t="shared" ref="AB179" si="1002">AVERAGE(R173:R179)</f>
        <v>23.600392857142854</v>
      </c>
      <c r="AC179" s="6">
        <f t="shared" ref="AC179" si="1003">100*(AB179/AB178-1)</f>
        <v>-0.39371562336547594</v>
      </c>
      <c r="AD179" s="42">
        <f>Tabla1[[#This Row],[Avg Agua)]]/Tabla1[[#This Row],[Avg Musculo]]</f>
        <v>1.997934659078012</v>
      </c>
    </row>
    <row r="180" spans="1:38" x14ac:dyDescent="0.3">
      <c r="A180">
        <v>6</v>
      </c>
      <c r="B180">
        <v>4</v>
      </c>
      <c r="C180" t="s">
        <v>26</v>
      </c>
      <c r="D180" s="4">
        <v>45319</v>
      </c>
      <c r="E180" s="6">
        <v>89.65</v>
      </c>
      <c r="F180" s="7">
        <f t="shared" si="85"/>
        <v>25.364984155726578</v>
      </c>
      <c r="G180" s="9">
        <v>0.17100000000000001</v>
      </c>
      <c r="H180" s="6">
        <f t="shared" si="291"/>
        <v>74.319850000000002</v>
      </c>
      <c r="I180" s="6">
        <f t="shared" si="644"/>
        <v>22.657099999999996</v>
      </c>
      <c r="J180">
        <v>3.7</v>
      </c>
      <c r="K180" s="5">
        <v>7.4999999999999997E-2</v>
      </c>
      <c r="L180" s="17">
        <v>2152</v>
      </c>
      <c r="M180" s="5">
        <v>0.53500000000000003</v>
      </c>
      <c r="N180" s="6">
        <f t="shared" si="304"/>
        <v>15.330150000000001</v>
      </c>
      <c r="O180" s="21">
        <f t="shared" si="751"/>
        <v>47.962750000000007</v>
      </c>
      <c r="P180" s="8">
        <f t="shared" si="742"/>
        <v>47.165342857142868</v>
      </c>
      <c r="Q180" s="8">
        <f t="shared" si="752"/>
        <v>66.992900000000006</v>
      </c>
      <c r="R180" s="6">
        <f t="shared" si="753"/>
        <v>22.657099999999996</v>
      </c>
      <c r="S180" s="6">
        <f t="shared" si="684"/>
        <v>6.7237499999999999</v>
      </c>
      <c r="T180" s="6">
        <f t="shared" ref="T180" si="1004">I180-I179</f>
        <v>-0.34360000000001634</v>
      </c>
      <c r="U180" s="6">
        <f t="shared" ref="U180" si="1005">N180-N179</f>
        <v>0.32775000000000176</v>
      </c>
      <c r="V180" s="6">
        <f t="shared" ref="V180" si="1006">E180-E179</f>
        <v>0.35000000000000853</v>
      </c>
      <c r="W180" s="9">
        <f>Tabla1[[#This Row],[Protein]]/Tabla1[[#This Row],[Peso (Kg)]]</f>
        <v>0.25272838817624088</v>
      </c>
      <c r="X180" s="9">
        <f t="shared" si="746"/>
        <v>0.26429922643799542</v>
      </c>
      <c r="Y180" s="6">
        <f t="shared" si="842"/>
        <v>41.687249999999999</v>
      </c>
      <c r="Z180" s="6">
        <f t="shared" si="747"/>
        <v>89.035714285714292</v>
      </c>
      <c r="AA180" s="6">
        <f t="shared" ref="AA180" si="1007">AVERAGE(N174:N180)</f>
        <v>14.642492857142859</v>
      </c>
      <c r="AB180" s="6">
        <f t="shared" ref="AB180" si="1008">AVERAGE(R174:R180)</f>
        <v>23.527878571428566</v>
      </c>
      <c r="AC180" s="6">
        <f t="shared" ref="AC180" si="1009">100*(AB180/AB179-1)</f>
        <v>-0.30725880773777581</v>
      </c>
      <c r="AD180" s="42">
        <f>Tabla1[[#This Row],[Avg Agua)]]/Tabla1[[#This Row],[Avg Musculo]]</f>
        <v>2.0046576963559652</v>
      </c>
    </row>
    <row r="181" spans="1:38" x14ac:dyDescent="0.3">
      <c r="A181">
        <v>6</v>
      </c>
      <c r="B181">
        <v>5</v>
      </c>
      <c r="C181" t="s">
        <v>21</v>
      </c>
      <c r="D181" s="4">
        <v>45320</v>
      </c>
      <c r="E181" s="6">
        <v>89.8</v>
      </c>
      <c r="F181" s="7">
        <f t="shared" si="85"/>
        <v>25.407424173834315</v>
      </c>
      <c r="G181" s="9">
        <v>0.16900000000000001</v>
      </c>
      <c r="H181" s="6">
        <f t="shared" si="291"/>
        <v>74.623800000000003</v>
      </c>
      <c r="I181" s="6">
        <f t="shared" si="644"/>
        <v>22.970600000000001</v>
      </c>
      <c r="J181">
        <v>3.7</v>
      </c>
      <c r="K181" s="5">
        <v>7.4999999999999997E-2</v>
      </c>
      <c r="L181" s="17">
        <v>2161</v>
      </c>
      <c r="M181" s="5">
        <v>0.53400000000000003</v>
      </c>
      <c r="N181" s="6">
        <f t="shared" si="304"/>
        <v>15.1762</v>
      </c>
      <c r="O181" s="21">
        <f t="shared" si="751"/>
        <v>47.953200000000002</v>
      </c>
      <c r="P181" s="8">
        <f t="shared" si="742"/>
        <v>47.194800000000001</v>
      </c>
      <c r="Q181" s="8">
        <f t="shared" si="752"/>
        <v>66.829399999999993</v>
      </c>
      <c r="R181" s="6">
        <f t="shared" si="753"/>
        <v>22.970600000000001</v>
      </c>
      <c r="S181" s="6">
        <f t="shared" si="684"/>
        <v>6.7349999999999994</v>
      </c>
      <c r="T181" s="6">
        <f t="shared" ref="T181" si="1010">I181-I180</f>
        <v>0.31350000000000477</v>
      </c>
      <c r="U181" s="6">
        <f t="shared" ref="U181" si="1011">N181-N180</f>
        <v>-0.15395000000000181</v>
      </c>
      <c r="V181" s="6">
        <f t="shared" ref="V181" si="1012">E181-E180</f>
        <v>0.14999999999999147</v>
      </c>
      <c r="W181" s="9">
        <f>Tabla1[[#This Row],[Protein]]/Tabla1[[#This Row],[Peso (Kg)]]</f>
        <v>0.25579732739420935</v>
      </c>
      <c r="X181" s="9">
        <f t="shared" si="746"/>
        <v>0.26387393417158916</v>
      </c>
      <c r="Y181" s="6">
        <f t="shared" si="842"/>
        <v>41.846800000000002</v>
      </c>
      <c r="Z181" s="6">
        <f t="shared" si="747"/>
        <v>89.04285714285713</v>
      </c>
      <c r="AA181" s="6">
        <f t="shared" ref="AA181" si="1013">AVERAGE(N175:N181)</f>
        <v>14.656521428571429</v>
      </c>
      <c r="AB181" s="6">
        <f t="shared" ref="AB181" si="1014">AVERAGE(R175:R181)</f>
        <v>23.491535714285707</v>
      </c>
      <c r="AC181" s="6">
        <f t="shared" ref="AC181" si="1015">100*(AB181/AB180-1)</f>
        <v>-0.15446720805075698</v>
      </c>
      <c r="AD181" s="42">
        <f>Tabla1[[#This Row],[Avg Agua)]]/Tabla1[[#This Row],[Avg Musculo]]</f>
        <v>2.0090129727576658</v>
      </c>
    </row>
    <row r="182" spans="1:38" x14ac:dyDescent="0.3">
      <c r="A182">
        <v>6</v>
      </c>
      <c r="B182">
        <v>5</v>
      </c>
      <c r="C182" t="s">
        <v>23</v>
      </c>
      <c r="D182" s="4">
        <v>45321</v>
      </c>
      <c r="E182" s="6">
        <v>89.6</v>
      </c>
      <c r="F182" s="7">
        <f t="shared" si="85"/>
        <v>25.350837483023994</v>
      </c>
      <c r="G182" s="9">
        <v>0.16900000000000001</v>
      </c>
      <c r="H182" s="6">
        <f t="shared" si="291"/>
        <v>74.457599999999999</v>
      </c>
      <c r="I182" s="6">
        <f t="shared" si="644"/>
        <v>22.8216</v>
      </c>
      <c r="J182">
        <v>3.7</v>
      </c>
      <c r="K182" s="5">
        <v>7.4999999999999997E-2</v>
      </c>
      <c r="L182" s="17">
        <v>2156</v>
      </c>
      <c r="M182" s="5">
        <v>0.53500000000000003</v>
      </c>
      <c r="N182" s="6">
        <f t="shared" si="304"/>
        <v>15.1424</v>
      </c>
      <c r="O182" s="21">
        <f t="shared" si="751"/>
        <v>47.936</v>
      </c>
      <c r="P182" s="8">
        <f t="shared" si="742"/>
        <v>47.3626</v>
      </c>
      <c r="Q182" s="8">
        <f t="shared" si="752"/>
        <v>66.778399999999991</v>
      </c>
      <c r="R182" s="6">
        <f t="shared" si="753"/>
        <v>22.8216</v>
      </c>
      <c r="S182" s="6">
        <f t="shared" si="684"/>
        <v>6.72</v>
      </c>
      <c r="T182" s="6">
        <f t="shared" ref="T182" si="1016">I182-I181</f>
        <v>-0.14900000000000091</v>
      </c>
      <c r="U182" s="6">
        <f t="shared" ref="U182" si="1017">N182-N181</f>
        <v>-3.3799999999999386E-2</v>
      </c>
      <c r="V182" s="6">
        <f t="shared" ref="V182" si="1018">E182-E181</f>
        <v>-0.20000000000000284</v>
      </c>
      <c r="W182" s="9">
        <f>Tabla1[[#This Row],[Protein]]/Tabla1[[#This Row],[Peso (Kg)]]</f>
        <v>0.25470535714285714</v>
      </c>
      <c r="X182" s="9">
        <f t="shared" si="746"/>
        <v>0.26163467055275585</v>
      </c>
      <c r="Y182" s="6">
        <f t="shared" si="842"/>
        <v>41.664000000000001</v>
      </c>
      <c r="Z182" s="6">
        <f t="shared" si="747"/>
        <v>89.142857142857139</v>
      </c>
      <c r="AA182" s="6">
        <f t="shared" ref="AA182" si="1019">AVERAGE(N176:N182)</f>
        <v>14.762321428571427</v>
      </c>
      <c r="AB182" s="6">
        <f t="shared" ref="AB182" si="1020">AVERAGE(R176:R182)</f>
        <v>23.31793571428571</v>
      </c>
      <c r="AC182" s="6">
        <f t="shared" ref="AC182" si="1021">100*(AB182/AB181-1)</f>
        <v>-0.73898957527254172</v>
      </c>
      <c r="AD182" s="42">
        <f>Tabla1[[#This Row],[Avg Agua)]]/Tabla1[[#This Row],[Avg Musculo]]</f>
        <v>2.0311660766344488</v>
      </c>
    </row>
    <row r="183" spans="1:38" x14ac:dyDescent="0.3">
      <c r="A183">
        <v>6</v>
      </c>
      <c r="B183">
        <v>5</v>
      </c>
      <c r="C183" t="s">
        <v>24</v>
      </c>
      <c r="D183" s="4">
        <v>45322</v>
      </c>
      <c r="E183" s="6">
        <v>88.6</v>
      </c>
      <c r="F183" s="7">
        <f t="shared" si="85"/>
        <v>25.067904028972386</v>
      </c>
      <c r="G183" s="9">
        <v>0.16300000000000001</v>
      </c>
      <c r="H183" s="6">
        <f t="shared" si="291"/>
        <v>74.158199999999994</v>
      </c>
      <c r="I183" s="6">
        <f t="shared" si="644"/>
        <v>23.500199999999996</v>
      </c>
      <c r="J183">
        <v>3.7</v>
      </c>
      <c r="K183" s="5">
        <v>7.0000000000000007E-2</v>
      </c>
      <c r="L183" s="17">
        <v>2144</v>
      </c>
      <c r="M183" s="5">
        <v>0.53</v>
      </c>
      <c r="N183" s="6">
        <f t="shared" si="304"/>
        <v>14.441799999999999</v>
      </c>
      <c r="O183" s="21">
        <f t="shared" si="751"/>
        <v>46.957999999999998</v>
      </c>
      <c r="P183" s="8">
        <f t="shared" si="742"/>
        <v>47.481085714285719</v>
      </c>
      <c r="Q183" s="8">
        <f t="shared" si="752"/>
        <v>65.099800000000002</v>
      </c>
      <c r="R183" s="6">
        <f t="shared" si="753"/>
        <v>23.500199999999996</v>
      </c>
      <c r="S183" s="6">
        <f t="shared" si="684"/>
        <v>6.202</v>
      </c>
      <c r="T183" s="6">
        <f t="shared" ref="T183" si="1022">I183-I182</f>
        <v>0.67859999999999587</v>
      </c>
      <c r="U183" s="6">
        <f t="shared" ref="U183" si="1023">N183-N182</f>
        <v>-0.70060000000000144</v>
      </c>
      <c r="V183" s="6">
        <f t="shared" ref="V183" si="1024">E183-E182</f>
        <v>-1</v>
      </c>
      <c r="W183" s="9">
        <f>Tabla1[[#This Row],[Protein]]/Tabla1[[#This Row],[Peso (Kg)]]</f>
        <v>0.26523927765237015</v>
      </c>
      <c r="X183" s="9">
        <f t="shared" si="746"/>
        <v>0.25994744070004944</v>
      </c>
      <c r="Y183" s="6">
        <f t="shared" si="842"/>
        <v>41.641999999999996</v>
      </c>
      <c r="Z183" s="6">
        <f t="shared" si="747"/>
        <v>89.2</v>
      </c>
      <c r="AA183" s="6">
        <f t="shared" ref="AA183" si="1025">AVERAGE(N177:N183)</f>
        <v>14.834635714285714</v>
      </c>
      <c r="AB183" s="6">
        <f t="shared" ref="AB183" si="1026">AVERAGE(R177:R183)</f>
        <v>23.184278571428571</v>
      </c>
      <c r="AC183" s="6">
        <f t="shared" ref="AC183" si="1027">100*(AB183/AB182-1)</f>
        <v>-0.57319457646182181</v>
      </c>
      <c r="AD183" s="42">
        <f>Tabla1[[#This Row],[Avg Agua)]]/Tabla1[[#This Row],[Avg Musculo]]</f>
        <v>2.0479863355679142</v>
      </c>
    </row>
    <row r="184" spans="1:38" x14ac:dyDescent="0.3">
      <c r="A184">
        <v>6</v>
      </c>
      <c r="B184">
        <v>5</v>
      </c>
      <c r="C184" t="s">
        <v>22</v>
      </c>
      <c r="D184" s="4">
        <v>45323</v>
      </c>
      <c r="E184" s="6">
        <v>89</v>
      </c>
      <c r="F184" s="7">
        <f t="shared" si="85"/>
        <v>25.18107741059303</v>
      </c>
      <c r="G184" s="9">
        <v>0.16200000000000001</v>
      </c>
      <c r="H184" s="6">
        <f t="shared" si="291"/>
        <v>74.581999999999994</v>
      </c>
      <c r="I184" s="6">
        <f t="shared" si="644"/>
        <v>23.355999999999991</v>
      </c>
      <c r="J184">
        <v>3.7</v>
      </c>
      <c r="K184" s="5">
        <v>7.0000000000000007E-2</v>
      </c>
      <c r="L184" s="17">
        <v>2156</v>
      </c>
      <c r="M184" s="5">
        <v>0.53400000000000003</v>
      </c>
      <c r="N184" s="6">
        <f t="shared" si="304"/>
        <v>14.418000000000001</v>
      </c>
      <c r="O184" s="21">
        <f t="shared" si="751"/>
        <v>47.526000000000003</v>
      </c>
      <c r="P184" s="8">
        <f t="shared" si="742"/>
        <v>47.602628571428575</v>
      </c>
      <c r="Q184" s="8">
        <f t="shared" si="752"/>
        <v>65.644000000000005</v>
      </c>
      <c r="R184" s="6">
        <f t="shared" si="753"/>
        <v>23.355999999999991</v>
      </c>
      <c r="S184" s="6">
        <f t="shared" si="684"/>
        <v>6.23</v>
      </c>
      <c r="T184" s="6">
        <f t="shared" ref="T184" si="1028">I184-I183</f>
        <v>-0.14420000000000499</v>
      </c>
      <c r="U184" s="6">
        <f t="shared" ref="U184" si="1029">N184-N183</f>
        <v>-2.3799999999997823E-2</v>
      </c>
      <c r="V184" s="6">
        <f t="shared" ref="V184" si="1030">E184-E183</f>
        <v>0.40000000000000568</v>
      </c>
      <c r="W184" s="9">
        <f>Tabla1[[#This Row],[Protein]]/Tabla1[[#This Row],[Peso (Kg)]]</f>
        <v>0.26242696629213474</v>
      </c>
      <c r="X184" s="9">
        <f t="shared" si="746"/>
        <v>0.25855917925891292</v>
      </c>
      <c r="Y184" s="6">
        <f t="shared" si="842"/>
        <v>41.473999999999997</v>
      </c>
      <c r="Z184" s="6">
        <f t="shared" si="747"/>
        <v>89.285714285714292</v>
      </c>
      <c r="AA184" s="6">
        <f t="shared" ref="AA184" si="1031">AVERAGE(N178:N184)</f>
        <v>14.899035714285716</v>
      </c>
      <c r="AB184" s="6">
        <f t="shared" ref="AB184" si="1032">AVERAGE(R178:R184)</f>
        <v>23.084049999999998</v>
      </c>
      <c r="AC184" s="6">
        <f t="shared" ref="AC184" si="1033">100*(AB184/AB183-1)</f>
        <v>-0.43231266014932546</v>
      </c>
      <c r="AD184" s="42">
        <f>Tabla1[[#This Row],[Avg Agua)]]/Tabla1[[#This Row],[Avg Musculo]]</f>
        <v>2.0621437127119626</v>
      </c>
      <c r="AG184">
        <f>-E154+E184</f>
        <v>-1.5999999999999943</v>
      </c>
      <c r="AH184">
        <f>-I154+I184</f>
        <v>-0.30520000000000636</v>
      </c>
      <c r="AI184">
        <f>-N154+N184</f>
        <v>-0.98399999999999999</v>
      </c>
      <c r="AJ184">
        <f>-O154+O184</f>
        <v>-0.3107999999999933</v>
      </c>
      <c r="AK184">
        <f>-S154+S184</f>
        <v>-0.56499999999999861</v>
      </c>
      <c r="AL184">
        <f>-Y154+Y184</f>
        <v>-1.289200000000001</v>
      </c>
    </row>
    <row r="185" spans="1:38" x14ac:dyDescent="0.3">
      <c r="A185">
        <v>6</v>
      </c>
      <c r="B185">
        <v>5</v>
      </c>
      <c r="C185" t="s">
        <v>20</v>
      </c>
      <c r="D185" s="4">
        <v>45324</v>
      </c>
      <c r="E185" s="6">
        <v>89.2</v>
      </c>
      <c r="F185" s="7">
        <f t="shared" si="85"/>
        <v>25.237664101403354</v>
      </c>
      <c r="G185" s="9">
        <v>0.16600000000000001</v>
      </c>
      <c r="H185" s="6">
        <f t="shared" si="291"/>
        <v>74.392799999999994</v>
      </c>
      <c r="I185" s="6">
        <f t="shared" si="644"/>
        <v>23.327599999999993</v>
      </c>
      <c r="J185">
        <v>3.7</v>
      </c>
      <c r="K185" s="5">
        <v>7.4999999999999997E-2</v>
      </c>
      <c r="L185" s="17">
        <v>2152</v>
      </c>
      <c r="M185" s="5">
        <v>0.53100000000000003</v>
      </c>
      <c r="N185" s="6">
        <f t="shared" si="304"/>
        <v>14.807200000000002</v>
      </c>
      <c r="O185" s="21">
        <f t="shared" si="751"/>
        <v>47.365200000000002</v>
      </c>
      <c r="P185" s="8">
        <f t="shared" si="742"/>
        <v>47.614007142857147</v>
      </c>
      <c r="Q185" s="8">
        <f t="shared" si="752"/>
        <v>65.872400000000013</v>
      </c>
      <c r="R185" s="6">
        <f t="shared" si="753"/>
        <v>23.327599999999993</v>
      </c>
      <c r="S185" s="6">
        <f t="shared" si="684"/>
        <v>6.69</v>
      </c>
      <c r="T185" s="6">
        <f t="shared" ref="T185" si="1034">I185-I184</f>
        <v>-2.839999999999776E-2</v>
      </c>
      <c r="U185" s="6">
        <f t="shared" ref="U185" si="1035">N185-N184</f>
        <v>0.38920000000000066</v>
      </c>
      <c r="V185" s="6">
        <f t="shared" ref="V185" si="1036">E185-E184</f>
        <v>0.20000000000000284</v>
      </c>
      <c r="W185" s="9">
        <f>Tabla1[[#This Row],[Protein]]/Tabla1[[#This Row],[Peso (Kg)]]</f>
        <v>0.26152017937219724</v>
      </c>
      <c r="X185" s="9">
        <f t="shared" si="746"/>
        <v>0.25856916076704511</v>
      </c>
      <c r="Y185" s="6">
        <f t="shared" si="842"/>
        <v>41.834800000000001</v>
      </c>
      <c r="Z185" s="6">
        <f t="shared" si="747"/>
        <v>89.307142857142864</v>
      </c>
      <c r="AA185" s="6">
        <f t="shared" ref="AA185" si="1037">AVERAGE(N179:N185)</f>
        <v>14.902592857142858</v>
      </c>
      <c r="AB185" s="6">
        <f t="shared" ref="AB185" si="1038">AVERAGE(R179:R185)</f>
        <v>23.090542857142854</v>
      </c>
      <c r="AC185" s="6">
        <f t="shared" ref="AC185" si="1039">100*(AB185/AB184-1)</f>
        <v>2.8127027721991382E-2</v>
      </c>
      <c r="AD185" s="42">
        <f>Tabla1[[#This Row],[Avg Agua)]]/Tabla1[[#This Row],[Avg Musculo]]</f>
        <v>2.062056636668816</v>
      </c>
    </row>
    <row r="186" spans="1:38" x14ac:dyDescent="0.3">
      <c r="A186">
        <v>6</v>
      </c>
      <c r="B186">
        <v>5</v>
      </c>
      <c r="C186" t="s">
        <v>25</v>
      </c>
      <c r="D186" s="4">
        <v>45325</v>
      </c>
      <c r="E186" s="6">
        <v>89.1</v>
      </c>
      <c r="F186" s="7">
        <f t="shared" si="85"/>
        <v>25.20937075599819</v>
      </c>
      <c r="G186" s="9">
        <v>0.16400000000000001</v>
      </c>
      <c r="H186" s="6">
        <f t="shared" si="291"/>
        <v>74.4876</v>
      </c>
      <c r="I186" s="6">
        <f t="shared" si="644"/>
        <v>23.4755</v>
      </c>
      <c r="J186">
        <v>3.7</v>
      </c>
      <c r="K186" s="5">
        <v>7.4999999999999997E-2</v>
      </c>
      <c r="L186" s="17">
        <v>2153</v>
      </c>
      <c r="M186" s="5">
        <v>0.53100000000000003</v>
      </c>
      <c r="N186" s="6">
        <f t="shared" si="304"/>
        <v>14.612399999999999</v>
      </c>
      <c r="O186" s="21">
        <f t="shared" si="751"/>
        <v>47.312100000000001</v>
      </c>
      <c r="P186" s="8">
        <f t="shared" si="742"/>
        <v>47.573321428571433</v>
      </c>
      <c r="Q186" s="8">
        <f t="shared" si="752"/>
        <v>65.624499999999998</v>
      </c>
      <c r="R186" s="6">
        <f t="shared" si="753"/>
        <v>23.4755</v>
      </c>
      <c r="S186" s="6">
        <f t="shared" si="684"/>
        <v>6.6824999999999992</v>
      </c>
      <c r="T186" s="6">
        <f t="shared" ref="T186" si="1040">I186-I185</f>
        <v>0.14790000000000703</v>
      </c>
      <c r="U186" s="6">
        <f t="shared" ref="U186" si="1041">N186-N185</f>
        <v>-0.19480000000000253</v>
      </c>
      <c r="V186" s="6">
        <f t="shared" ref="V186" si="1042">E186-E185</f>
        <v>-0.10000000000000853</v>
      </c>
      <c r="W186" s="9">
        <f>Tabla1[[#This Row],[Protein]]/Tabla1[[#This Row],[Peso (Kg)]]</f>
        <v>0.26347362514029182</v>
      </c>
      <c r="X186" s="9">
        <f t="shared" si="746"/>
        <v>0.25941301731004307</v>
      </c>
      <c r="Y186" s="6">
        <f t="shared" si="842"/>
        <v>41.7879</v>
      </c>
      <c r="Z186" s="6">
        <f t="shared" si="747"/>
        <v>89.278571428571439</v>
      </c>
      <c r="AA186" s="6">
        <f t="shared" ref="AA186" si="1043">AVERAGE(N180:N186)</f>
        <v>14.846878571428572</v>
      </c>
      <c r="AB186" s="6">
        <f t="shared" ref="AB186" si="1044">AVERAGE(R180:R186)</f>
        <v>23.158371428571428</v>
      </c>
      <c r="AC186" s="6">
        <f t="shared" ref="AC186" si="1045">100*(AB186/AB185-1)</f>
        <v>0.2937504408112801</v>
      </c>
      <c r="AD186" s="42">
        <f>Tabla1[[#This Row],[Avg Agua)]]/Tabla1[[#This Row],[Avg Musculo]]</f>
        <v>2.0542602304874635</v>
      </c>
    </row>
    <row r="187" spans="1:38" x14ac:dyDescent="0.3">
      <c r="A187">
        <v>6</v>
      </c>
      <c r="B187">
        <v>5</v>
      </c>
      <c r="C187" t="s">
        <v>26</v>
      </c>
      <c r="D187" s="4">
        <v>45326</v>
      </c>
      <c r="E187" s="6">
        <v>88.8</v>
      </c>
      <c r="F187" s="7">
        <f t="shared" si="85"/>
        <v>25.12449071978271</v>
      </c>
      <c r="G187" s="9">
        <v>0.16</v>
      </c>
      <c r="H187" s="6">
        <f t="shared" si="291"/>
        <v>74.591999999999999</v>
      </c>
      <c r="I187" s="6">
        <f t="shared" si="644"/>
        <v>23.827999999999999</v>
      </c>
      <c r="J187">
        <v>3.7</v>
      </c>
      <c r="K187" s="5">
        <v>7.0000000000000007E-2</v>
      </c>
      <c r="L187" s="17">
        <v>2155</v>
      </c>
      <c r="M187" s="5">
        <v>0.53</v>
      </c>
      <c r="N187" s="6">
        <f t="shared" si="304"/>
        <v>14.208</v>
      </c>
      <c r="O187" s="21">
        <f t="shared" si="751"/>
        <v>47.064</v>
      </c>
      <c r="P187" s="8">
        <f t="shared" si="742"/>
        <v>47.444928571428576</v>
      </c>
      <c r="Q187" s="8">
        <f t="shared" si="752"/>
        <v>64.971999999999994</v>
      </c>
      <c r="R187" s="6">
        <f t="shared" si="753"/>
        <v>23.827999999999999</v>
      </c>
      <c r="S187" s="6">
        <f t="shared" si="684"/>
        <v>6.2160000000000002</v>
      </c>
      <c r="T187" s="6">
        <f t="shared" ref="T187" si="1046">I187-I186</f>
        <v>0.35249999999999915</v>
      </c>
      <c r="U187" s="6">
        <f t="shared" ref="U187" si="1047">N187-N186</f>
        <v>-0.40439999999999898</v>
      </c>
      <c r="V187" s="6">
        <f t="shared" ref="V187" si="1048">E187-E186</f>
        <v>-0.29999999999999716</v>
      </c>
      <c r="W187" s="9">
        <f>Tabla1[[#This Row],[Protein]]/Tabla1[[#This Row],[Peso (Kg)]]</f>
        <v>0.26833333333333331</v>
      </c>
      <c r="X187" s="9">
        <f t="shared" si="746"/>
        <v>0.26164229518962767</v>
      </c>
      <c r="Y187" s="6">
        <f t="shared" si="842"/>
        <v>41.736000000000004</v>
      </c>
      <c r="Z187" s="6">
        <f t="shared" si="747"/>
        <v>89.157142857142844</v>
      </c>
      <c r="AA187" s="6">
        <f t="shared" ref="AA187" si="1049">AVERAGE(N181:N187)</f>
        <v>14.686571428571428</v>
      </c>
      <c r="AB187" s="6">
        <f t="shared" ref="AB187" si="1050">AVERAGE(R181:R187)</f>
        <v>23.325642857142856</v>
      </c>
      <c r="AC187" s="6">
        <f t="shared" ref="AC187" si="1051">100*(AB187/AB186-1)</f>
        <v>0.72229357356734525</v>
      </c>
      <c r="AD187" s="42">
        <f>Tabla1[[#This Row],[Avg Agua)]]/Tabla1[[#This Row],[Avg Musculo]]</f>
        <v>2.0340244794968139</v>
      </c>
    </row>
    <row r="188" spans="1:38" x14ac:dyDescent="0.3">
      <c r="A188">
        <v>6</v>
      </c>
      <c r="B188">
        <v>6</v>
      </c>
      <c r="C188" t="s">
        <v>21</v>
      </c>
      <c r="D188" s="4">
        <v>45327</v>
      </c>
      <c r="E188" s="6">
        <v>89.15</v>
      </c>
      <c r="F188" s="7">
        <f t="shared" si="85"/>
        <v>25.223517428700774</v>
      </c>
      <c r="G188" s="9">
        <v>0.16800000000000001</v>
      </c>
      <c r="H188" s="6">
        <f t="shared" si="291"/>
        <v>74.172800000000009</v>
      </c>
      <c r="I188" s="6">
        <f t="shared" si="644"/>
        <v>23.401600000000006</v>
      </c>
      <c r="J188">
        <v>3.7</v>
      </c>
      <c r="K188" s="5">
        <v>7.4999999999999997E-2</v>
      </c>
      <c r="L188" s="17">
        <v>2146</v>
      </c>
      <c r="M188" s="5">
        <v>0.52800000000000002</v>
      </c>
      <c r="N188" s="6">
        <f t="shared" si="304"/>
        <v>14.977200000000002</v>
      </c>
      <c r="O188" s="21">
        <f t="shared" si="751"/>
        <v>47.071200000000005</v>
      </c>
      <c r="P188" s="8">
        <f t="shared" si="742"/>
        <v>47.318928571428579</v>
      </c>
      <c r="Q188" s="8">
        <f t="shared" si="752"/>
        <v>65.748400000000004</v>
      </c>
      <c r="R188" s="6">
        <f t="shared" si="753"/>
        <v>23.401600000000006</v>
      </c>
      <c r="S188" s="6">
        <f t="shared" si="684"/>
        <v>6.6862500000000002</v>
      </c>
      <c r="T188" s="6">
        <f t="shared" ref="T188" si="1052">I188-I187</f>
        <v>-0.4263999999999939</v>
      </c>
      <c r="U188" s="6">
        <f t="shared" ref="U188" si="1053">N188-N187</f>
        <v>0.76920000000000144</v>
      </c>
      <c r="V188" s="6">
        <f t="shared" ref="V188" si="1054">E188-E187</f>
        <v>0.35000000000000853</v>
      </c>
      <c r="W188" s="9">
        <f>Tabla1[[#This Row],[Protein]]/Tabla1[[#This Row],[Peso (Kg)]]</f>
        <v>0.26249691531127317</v>
      </c>
      <c r="X188" s="9">
        <f t="shared" si="746"/>
        <v>0.26259937917777965</v>
      </c>
      <c r="Y188" s="6">
        <f t="shared" si="842"/>
        <v>42.078800000000008</v>
      </c>
      <c r="Z188" s="6">
        <f t="shared" si="747"/>
        <v>89.064285714285703</v>
      </c>
      <c r="AA188" s="6">
        <f t="shared" ref="AA188" si="1055">AVERAGE(N182:N188)</f>
        <v>14.658142857142858</v>
      </c>
      <c r="AB188" s="6">
        <f t="shared" ref="AB188" si="1056">AVERAGE(R182:R188)</f>
        <v>23.387214285714283</v>
      </c>
      <c r="AC188" s="6">
        <f t="shared" ref="AC188" si="1057">100*(AB188/AB187-1)</f>
        <v>0.26396455158179677</v>
      </c>
      <c r="AD188" s="42">
        <f>Tabla1[[#This Row],[Avg Agua)]]/Tabla1[[#This Row],[Avg Musculo]]</f>
        <v>2.0232819519823106</v>
      </c>
    </row>
    <row r="189" spans="1:38" x14ac:dyDescent="0.3">
      <c r="A189">
        <v>6</v>
      </c>
      <c r="B189">
        <v>6</v>
      </c>
      <c r="C189" t="s">
        <v>23</v>
      </c>
      <c r="D189" s="4">
        <v>45328</v>
      </c>
      <c r="E189" s="6">
        <v>89.05</v>
      </c>
      <c r="F189" s="7">
        <f t="shared" si="85"/>
        <v>25.19522408329561</v>
      </c>
      <c r="G189" s="9">
        <v>0.16800000000000001</v>
      </c>
      <c r="H189" s="6">
        <f t="shared" si="291"/>
        <v>74.08959999999999</v>
      </c>
      <c r="I189" s="6">
        <f t="shared" si="644"/>
        <v>22.925949999999997</v>
      </c>
      <c r="J189">
        <v>3.7</v>
      </c>
      <c r="K189" s="5">
        <v>7.4999999999999997E-2</v>
      </c>
      <c r="L189" s="17">
        <v>2143</v>
      </c>
      <c r="M189" s="5">
        <v>0.53299999999999992</v>
      </c>
      <c r="N189" s="6">
        <f t="shared" si="304"/>
        <v>14.9604</v>
      </c>
      <c r="O189" s="21">
        <f t="shared" si="751"/>
        <v>47.463649999999994</v>
      </c>
      <c r="P189" s="8">
        <f t="shared" si="742"/>
        <v>47.251449999999991</v>
      </c>
      <c r="Q189" s="8">
        <f t="shared" si="752"/>
        <v>66.124049999999997</v>
      </c>
      <c r="R189" s="6">
        <f t="shared" si="753"/>
        <v>22.925949999999997</v>
      </c>
      <c r="S189" s="6">
        <f t="shared" si="684"/>
        <v>6.67875</v>
      </c>
      <c r="T189" s="6">
        <f t="shared" ref="T189" si="1058">I189-I188</f>
        <v>-0.47565000000000879</v>
      </c>
      <c r="U189" s="6">
        <f t="shared" ref="U189" si="1059">N189-N188</f>
        <v>-1.6800000000001702E-2</v>
      </c>
      <c r="V189" s="6">
        <f t="shared" ref="V189" si="1060">E189-E188</f>
        <v>-0.10000000000000853</v>
      </c>
      <c r="W189" s="9">
        <f>Tabla1[[#This Row],[Protein]]/Tabla1[[#This Row],[Peso (Kg)]]</f>
        <v>0.25745030881527231</v>
      </c>
      <c r="X189" s="9">
        <f t="shared" si="746"/>
        <v>0.26299151513098185</v>
      </c>
      <c r="Y189" s="6">
        <f t="shared" si="842"/>
        <v>41.586349999999996</v>
      </c>
      <c r="Z189" s="6">
        <f t="shared" si="747"/>
        <v>88.98571428571428</v>
      </c>
      <c r="AA189" s="6">
        <f t="shared" ref="AA189" si="1061">AVERAGE(N183:N189)</f>
        <v>14.632142857142858</v>
      </c>
      <c r="AB189" s="6">
        <f t="shared" ref="AB189" si="1062">AVERAGE(R183:R189)</f>
        <v>23.402121428571427</v>
      </c>
      <c r="AC189" s="6">
        <f t="shared" ref="AC189" si="1063">100*(AB189/AB188-1)</f>
        <v>6.3740566426706557E-2</v>
      </c>
      <c r="AD189" s="42">
        <f>Tabla1[[#This Row],[Avg Agua)]]/Tabla1[[#This Row],[Avg Musculo]]</f>
        <v>2.0191096838900746</v>
      </c>
    </row>
    <row r="190" spans="1:38" x14ac:dyDescent="0.3">
      <c r="A190">
        <v>6</v>
      </c>
      <c r="B190">
        <v>6</v>
      </c>
      <c r="C190" t="s">
        <v>24</v>
      </c>
      <c r="D190" s="4">
        <v>45329</v>
      </c>
      <c r="E190" s="6">
        <v>89.5</v>
      </c>
      <c r="F190" s="7">
        <f t="shared" si="85"/>
        <v>25.322544137618834</v>
      </c>
      <c r="G190" s="9">
        <v>0.17100000000000001</v>
      </c>
      <c r="H190" s="6">
        <f t="shared" si="291"/>
        <v>74.195499999999996</v>
      </c>
      <c r="I190" s="6">
        <f t="shared" si="644"/>
        <v>22.792000000000005</v>
      </c>
      <c r="J190">
        <v>3.7</v>
      </c>
      <c r="K190" s="5">
        <v>7.4999999999999997E-2</v>
      </c>
      <c r="L190" s="17">
        <v>2147</v>
      </c>
      <c r="M190" s="5">
        <v>0.53299999999999992</v>
      </c>
      <c r="N190" s="6">
        <f t="shared" si="304"/>
        <v>15.304500000000001</v>
      </c>
      <c r="O190" s="21">
        <f t="shared" si="751"/>
        <v>47.703499999999991</v>
      </c>
      <c r="P190" s="8">
        <f t="shared" si="742"/>
        <v>47.357949999999995</v>
      </c>
      <c r="Q190" s="8">
        <f t="shared" si="752"/>
        <v>66.707999999999998</v>
      </c>
      <c r="R190" s="6">
        <f t="shared" si="753"/>
        <v>22.792000000000005</v>
      </c>
      <c r="S190" s="6">
        <f t="shared" si="684"/>
        <v>6.7124999999999995</v>
      </c>
      <c r="T190" s="6">
        <f t="shared" ref="T190" si="1064">I190-I189</f>
        <v>-0.13394999999999158</v>
      </c>
      <c r="U190" s="6">
        <f t="shared" ref="U190" si="1065">N190-N189</f>
        <v>0.34410000000000096</v>
      </c>
      <c r="V190" s="6">
        <f t="shared" ref="V190" si="1066">E190-E189</f>
        <v>0.45000000000000284</v>
      </c>
      <c r="W190" s="9">
        <f>Tabla1[[#This Row],[Protein]]/Tabla1[[#This Row],[Peso (Kg)]]</f>
        <v>0.25465921787709506</v>
      </c>
      <c r="X190" s="9">
        <f t="shared" si="746"/>
        <v>0.26148007802022827</v>
      </c>
      <c r="Y190" s="6">
        <f t="shared" si="842"/>
        <v>41.796500000000009</v>
      </c>
      <c r="Z190" s="6">
        <f t="shared" si="747"/>
        <v>89.114285714285714</v>
      </c>
      <c r="AA190" s="6">
        <f t="shared" ref="AA190" si="1067">AVERAGE(N184:N190)</f>
        <v>14.755385714285717</v>
      </c>
      <c r="AB190" s="6">
        <f t="shared" ref="AB190" si="1068">AVERAGE(R184:R190)</f>
        <v>23.300949999999997</v>
      </c>
      <c r="AC190" s="6">
        <f t="shared" ref="AC190" si="1069">100*(AB190/AB189-1)</f>
        <v>-0.43231733875165324</v>
      </c>
      <c r="AD190" s="42">
        <f>Tabla1[[#This Row],[Avg Agua)]]/Tabla1[[#This Row],[Avg Musculo]]</f>
        <v>2.0324471749005943</v>
      </c>
    </row>
    <row r="191" spans="1:38" x14ac:dyDescent="0.3">
      <c r="A191">
        <v>6</v>
      </c>
      <c r="B191">
        <v>6</v>
      </c>
      <c r="C191" t="s">
        <v>22</v>
      </c>
      <c r="D191" s="4">
        <v>45330</v>
      </c>
      <c r="E191" s="6">
        <v>89.25</v>
      </c>
      <c r="F191" s="7">
        <f t="shared" si="85"/>
        <v>25.25181077410593</v>
      </c>
      <c r="G191" s="9">
        <v>0.16700000000000001</v>
      </c>
      <c r="H191" s="6">
        <f t="shared" si="291"/>
        <v>74.345249999999993</v>
      </c>
      <c r="I191" s="6">
        <f t="shared" si="644"/>
        <v>22.985749999999992</v>
      </c>
      <c r="J191">
        <v>3.7</v>
      </c>
      <c r="K191" s="5">
        <v>7.4999999999999997E-2</v>
      </c>
      <c r="L191" s="17">
        <v>2151</v>
      </c>
      <c r="M191" s="5">
        <v>0.53400000000000003</v>
      </c>
      <c r="N191" s="6">
        <f t="shared" si="304"/>
        <v>14.904750000000002</v>
      </c>
      <c r="O191" s="21">
        <f t="shared" si="751"/>
        <v>47.659500000000001</v>
      </c>
      <c r="P191" s="8">
        <f t="shared" si="742"/>
        <v>47.377021428571425</v>
      </c>
      <c r="Q191" s="8">
        <f t="shared" si="752"/>
        <v>66.264250000000004</v>
      </c>
      <c r="R191" s="6">
        <f t="shared" si="753"/>
        <v>22.985749999999992</v>
      </c>
      <c r="S191" s="6">
        <f t="shared" si="684"/>
        <v>6.6937499999999996</v>
      </c>
      <c r="T191" s="6">
        <f t="shared" ref="T191" si="1070">I191-I190</f>
        <v>0.19374999999998721</v>
      </c>
      <c r="U191" s="6">
        <f t="shared" ref="U191" si="1071">N191-N190</f>
        <v>-0.39974999999999916</v>
      </c>
      <c r="V191" s="6">
        <f t="shared" ref="V191" si="1072">E191-E190</f>
        <v>-0.25</v>
      </c>
      <c r="W191" s="9">
        <f>Tabla1[[#This Row],[Protein]]/Tabla1[[#This Row],[Peso (Kg)]]</f>
        <v>0.25754341736694669</v>
      </c>
      <c r="X191" s="9">
        <f t="shared" si="746"/>
        <v>0.26078242817377278</v>
      </c>
      <c r="Y191" s="6">
        <f t="shared" si="842"/>
        <v>41.590499999999999</v>
      </c>
      <c r="Z191" s="6">
        <f t="shared" si="747"/>
        <v>89.149999999999991</v>
      </c>
      <c r="AA191" s="6">
        <f t="shared" ref="AA191" si="1073">AVERAGE(N185:N191)</f>
        <v>14.824921428571431</v>
      </c>
      <c r="AB191" s="6">
        <f t="shared" ref="AB191" si="1074">AVERAGE(R185:R191)</f>
        <v>23.248057142857142</v>
      </c>
      <c r="AC191" s="6">
        <f t="shared" ref="AC191" si="1075">100*(AB191/AB190-1)</f>
        <v>-0.22699871525776461</v>
      </c>
      <c r="AD191" s="42">
        <f>Tabla1[[#This Row],[Avg Agua)]]/Tabla1[[#This Row],[Avg Musculo]]</f>
        <v>2.0378916456306024</v>
      </c>
    </row>
    <row r="192" spans="1:38" x14ac:dyDescent="0.3">
      <c r="A192">
        <v>6</v>
      </c>
      <c r="B192">
        <v>6</v>
      </c>
      <c r="C192" t="s">
        <v>20</v>
      </c>
      <c r="D192" s="4">
        <v>45331</v>
      </c>
      <c r="E192" s="6">
        <v>88.45</v>
      </c>
      <c r="F192" s="7">
        <f t="shared" si="85"/>
        <v>25.025464010864646</v>
      </c>
      <c r="G192" s="9">
        <v>0.159</v>
      </c>
      <c r="H192" s="6">
        <f t="shared" si="291"/>
        <v>74.386449999999996</v>
      </c>
      <c r="I192" s="6">
        <f t="shared" si="644"/>
        <v>24.161749999999994</v>
      </c>
      <c r="J192">
        <v>3.7</v>
      </c>
      <c r="K192" s="5">
        <v>7.0000000000000007E-2</v>
      </c>
      <c r="L192" s="17">
        <v>2150</v>
      </c>
      <c r="M192" s="5">
        <v>0.52600000000000002</v>
      </c>
      <c r="N192" s="6">
        <f t="shared" si="304"/>
        <v>14.063550000000001</v>
      </c>
      <c r="O192" s="21">
        <f t="shared" si="751"/>
        <v>46.524700000000003</v>
      </c>
      <c r="P192" s="8">
        <f t="shared" si="742"/>
        <v>47.256950000000003</v>
      </c>
      <c r="Q192" s="8">
        <f t="shared" si="752"/>
        <v>64.288250000000005</v>
      </c>
      <c r="R192" s="6">
        <f t="shared" si="753"/>
        <v>24.161749999999994</v>
      </c>
      <c r="S192" s="6">
        <f t="shared" si="684"/>
        <v>6.1915000000000004</v>
      </c>
      <c r="T192" s="6">
        <f t="shared" ref="T192" si="1076">I192-I191</f>
        <v>1.1760000000000019</v>
      </c>
      <c r="U192" s="6">
        <f t="shared" ref="U192" si="1077">N192-N191</f>
        <v>-0.84120000000000061</v>
      </c>
      <c r="V192" s="6">
        <f t="shared" ref="V192" si="1078">E192-E191</f>
        <v>-0.79999999999999716</v>
      </c>
      <c r="W192" s="9">
        <f>Tabla1[[#This Row],[Protein]]/Tabla1[[#This Row],[Peso (Kg)]]</f>
        <v>0.27316845675522888</v>
      </c>
      <c r="X192" s="9">
        <f t="shared" si="746"/>
        <v>0.26244646779992015</v>
      </c>
      <c r="Y192" s="6">
        <f t="shared" si="842"/>
        <v>41.9253</v>
      </c>
      <c r="Z192" s="6">
        <f t="shared" si="747"/>
        <v>89.04285714285713</v>
      </c>
      <c r="AA192" s="6">
        <f t="shared" ref="AA192" si="1079">AVERAGE(N186:N192)</f>
        <v>14.718685714285716</v>
      </c>
      <c r="AB192" s="6">
        <f t="shared" ref="AB192" si="1080">AVERAGE(R186:R192)</f>
        <v>23.367221428571423</v>
      </c>
      <c r="AC192" s="6">
        <f t="shared" ref="AC192" si="1081">100*(AB192/AB191-1)</f>
        <v>0.51257739510026656</v>
      </c>
      <c r="AD192" s="42">
        <f>Tabla1[[#This Row],[Avg Agua)]]/Tabla1[[#This Row],[Avg Musculo]]</f>
        <v>2.0223606877888476</v>
      </c>
    </row>
    <row r="193" spans="1:31" x14ac:dyDescent="0.3">
      <c r="A193">
        <v>6</v>
      </c>
      <c r="B193">
        <v>6</v>
      </c>
      <c r="C193" t="s">
        <v>25</v>
      </c>
      <c r="D193" s="4">
        <v>45332</v>
      </c>
      <c r="E193" s="6">
        <v>88.05</v>
      </c>
      <c r="F193" s="7">
        <f t="shared" si="85"/>
        <v>24.912290629244001</v>
      </c>
      <c r="G193" s="9">
        <v>0.156</v>
      </c>
      <c r="H193" s="6">
        <f t="shared" si="291"/>
        <v>74.3142</v>
      </c>
      <c r="I193" s="6">
        <f t="shared" si="644"/>
        <v>24.211850000000002</v>
      </c>
      <c r="J193">
        <v>3.7</v>
      </c>
      <c r="K193" s="5">
        <v>7.0000000000000007E-2</v>
      </c>
      <c r="L193" s="17">
        <v>2145</v>
      </c>
      <c r="M193" s="5">
        <v>0.52700000000000002</v>
      </c>
      <c r="N193" s="6">
        <f t="shared" si="304"/>
        <v>13.735799999999999</v>
      </c>
      <c r="O193" s="21">
        <f t="shared" si="751"/>
        <v>46.402349999999998</v>
      </c>
      <c r="P193" s="8">
        <f t="shared" si="742"/>
        <v>47.126985714285716</v>
      </c>
      <c r="Q193" s="8">
        <f t="shared" si="752"/>
        <v>63.838149999999999</v>
      </c>
      <c r="R193" s="6">
        <f t="shared" si="753"/>
        <v>24.211850000000002</v>
      </c>
      <c r="S193" s="6">
        <f t="shared" si="684"/>
        <v>6.1635</v>
      </c>
      <c r="T193" s="6">
        <f t="shared" ref="T193" si="1082">I193-I192</f>
        <v>5.0100000000007583E-2</v>
      </c>
      <c r="U193" s="6">
        <f t="shared" ref="U193" si="1083">N193-N192</f>
        <v>-0.32775000000000176</v>
      </c>
      <c r="V193" s="6">
        <f t="shared" ref="V193" si="1084">E193-E192</f>
        <v>-0.40000000000000568</v>
      </c>
      <c r="W193" s="9">
        <f>Tabla1[[#This Row],[Protein]]/Tabla1[[#This Row],[Peso (Kg)]]</f>
        <v>0.27497842135150485</v>
      </c>
      <c r="X193" s="9">
        <f t="shared" si="746"/>
        <v>0.26409001011580774</v>
      </c>
      <c r="Y193" s="6">
        <f t="shared" si="842"/>
        <v>41.647650000000006</v>
      </c>
      <c r="Z193" s="6">
        <f t="shared" si="747"/>
        <v>88.892857142857139</v>
      </c>
      <c r="AA193" s="6">
        <f t="shared" ref="AA193" si="1085">AVERAGE(N187:N193)</f>
        <v>14.593457142857146</v>
      </c>
      <c r="AB193" s="6">
        <f t="shared" ref="AB193" si="1086">AVERAGE(R187:R193)</f>
        <v>23.472414285714283</v>
      </c>
      <c r="AC193" s="6">
        <f t="shared" ref="AC193" si="1087">100*(AB193/AB192-1)</f>
        <v>0.45017272363516714</v>
      </c>
      <c r="AD193" s="42">
        <f>Tabla1[[#This Row],[Avg Agua)]]/Tabla1[[#This Row],[Avg Musculo]]</f>
        <v>2.0077604774966851</v>
      </c>
    </row>
    <row r="194" spans="1:31" x14ac:dyDescent="0.3">
      <c r="A194">
        <v>6</v>
      </c>
      <c r="B194">
        <v>6</v>
      </c>
      <c r="C194" t="s">
        <v>26</v>
      </c>
      <c r="D194" s="4">
        <v>45333</v>
      </c>
      <c r="E194" s="6">
        <v>87.65</v>
      </c>
      <c r="F194" s="7">
        <f t="shared" si="85"/>
        <v>24.799117247623361</v>
      </c>
      <c r="G194" s="9">
        <v>0.154</v>
      </c>
      <c r="H194" s="6">
        <f t="shared" si="291"/>
        <v>74.151900000000012</v>
      </c>
      <c r="I194" s="6">
        <f t="shared" si="644"/>
        <v>24.085050000000006</v>
      </c>
      <c r="J194">
        <v>3.7</v>
      </c>
      <c r="K194" s="5">
        <v>7.0000000000000007E-2</v>
      </c>
      <c r="L194" s="17">
        <v>2139</v>
      </c>
      <c r="M194" s="5">
        <v>0.52900000000000003</v>
      </c>
      <c r="N194" s="6">
        <f t="shared" si="304"/>
        <v>13.498100000000001</v>
      </c>
      <c r="O194" s="21">
        <f t="shared" si="751"/>
        <v>46.366850000000007</v>
      </c>
      <c r="P194" s="8">
        <f t="shared" si="742"/>
        <v>47.027392857142857</v>
      </c>
      <c r="Q194" s="8">
        <f t="shared" si="752"/>
        <v>63.564949999999996</v>
      </c>
      <c r="R194" s="6">
        <f t="shared" si="753"/>
        <v>24.085050000000006</v>
      </c>
      <c r="S194" s="6">
        <f t="shared" si="684"/>
        <v>6.1355000000000013</v>
      </c>
      <c r="T194" s="6">
        <f t="shared" ref="T194" si="1088">I194-I193</f>
        <v>-0.1267999999999958</v>
      </c>
      <c r="U194" s="6">
        <f t="shared" ref="U194" si="1089">N194-N193</f>
        <v>-0.23769999999999847</v>
      </c>
      <c r="V194" s="6">
        <f t="shared" ref="V194" si="1090">E194-E193</f>
        <v>-0.39999999999999147</v>
      </c>
      <c r="W194" s="9">
        <f>Tabla1[[#This Row],[Protein]]/Tabla1[[#This Row],[Peso (Kg)]]</f>
        <v>0.2747866514546492</v>
      </c>
      <c r="X194" s="9">
        <f t="shared" si="746"/>
        <v>0.26501191270456709</v>
      </c>
      <c r="Y194" s="6">
        <f t="shared" si="842"/>
        <v>41.283150000000006</v>
      </c>
      <c r="Z194" s="6">
        <f t="shared" si="747"/>
        <v>88.728571428571414</v>
      </c>
      <c r="AA194" s="6">
        <f t="shared" ref="AA194" si="1091">AVERAGE(N188:N194)</f>
        <v>14.492042857142858</v>
      </c>
      <c r="AB194" s="6">
        <f t="shared" ref="AB194" si="1092">AVERAGE(R188:R194)</f>
        <v>23.509135714285716</v>
      </c>
      <c r="AC194" s="6">
        <f t="shared" ref="AC194" si="1093">100*(AB194/AB193-1)</f>
        <v>0.15644504278276017</v>
      </c>
      <c r="AD194" s="42">
        <f>Tabla1[[#This Row],[Avg Agua)]]/Tabla1[[#This Row],[Avg Musculo]]</f>
        <v>2.000387995062102</v>
      </c>
    </row>
    <row r="195" spans="1:31" x14ac:dyDescent="0.3">
      <c r="A195">
        <v>6</v>
      </c>
      <c r="B195">
        <v>7</v>
      </c>
      <c r="C195" t="s">
        <v>21</v>
      </c>
      <c r="D195" s="4">
        <v>45334</v>
      </c>
      <c r="E195" s="6">
        <v>88.1</v>
      </c>
      <c r="F195" s="7">
        <f t="shared" si="85"/>
        <v>24.926437301946581</v>
      </c>
      <c r="G195" s="9">
        <v>0.159</v>
      </c>
      <c r="H195" s="6">
        <f t="shared" si="291"/>
        <v>74.092099999999988</v>
      </c>
      <c r="I195" s="6">
        <f t="shared" si="644"/>
        <v>23.799099999999989</v>
      </c>
      <c r="J195">
        <v>3.6</v>
      </c>
      <c r="K195" s="5">
        <v>7.0000000000000007E-2</v>
      </c>
      <c r="L195" s="17">
        <v>2139</v>
      </c>
      <c r="M195" s="5">
        <v>0.53</v>
      </c>
      <c r="N195" s="6">
        <f t="shared" si="304"/>
        <v>14.007899999999999</v>
      </c>
      <c r="O195" s="21">
        <f t="shared" si="751"/>
        <v>46.692999999999998</v>
      </c>
      <c r="P195" s="8">
        <f t="shared" si="742"/>
        <v>46.973364285714283</v>
      </c>
      <c r="Q195" s="8">
        <f t="shared" si="752"/>
        <v>64.300900000000013</v>
      </c>
      <c r="R195" s="6">
        <f t="shared" si="753"/>
        <v>23.799099999999989</v>
      </c>
      <c r="S195" s="6">
        <f t="shared" si="684"/>
        <v>6.1669999999999998</v>
      </c>
      <c r="T195" s="6">
        <f t="shared" ref="T195" si="1094">I195-I194</f>
        <v>-0.28595000000001747</v>
      </c>
      <c r="U195" s="6">
        <f t="shared" ref="U195" si="1095">N195-N194</f>
        <v>0.50979999999999848</v>
      </c>
      <c r="V195" s="6">
        <f t="shared" ref="V195" si="1096">E195-E194</f>
        <v>0.44999999999998863</v>
      </c>
      <c r="W195" s="9">
        <f>Tabla1[[#This Row],[Protein]]/Tabla1[[#This Row],[Peso (Kg)]]</f>
        <v>0.27013734392735517</v>
      </c>
      <c r="X195" s="9">
        <f t="shared" si="746"/>
        <v>0.26610340250686454</v>
      </c>
      <c r="Y195" s="6">
        <f t="shared" si="842"/>
        <v>41.406999999999989</v>
      </c>
      <c r="Z195" s="6">
        <f t="shared" si="747"/>
        <v>88.578571428571436</v>
      </c>
      <c r="AA195" s="6">
        <f t="shared" ref="AA195" si="1097">AVERAGE(N189:N195)</f>
        <v>14.353571428571431</v>
      </c>
      <c r="AB195" s="6">
        <f t="shared" ref="AB195" si="1098">AVERAGE(R189:R195)</f>
        <v>23.565921428571425</v>
      </c>
      <c r="AC195" s="6">
        <f t="shared" ref="AC195" si="1099">100*(AB195/AB194-1)</f>
        <v>0.2415474349029445</v>
      </c>
      <c r="AD195" s="42">
        <f>Tabla1[[#This Row],[Avg Agua)]]/Tabla1[[#This Row],[Avg Musculo]]</f>
        <v>1.99327509548443</v>
      </c>
    </row>
    <row r="196" spans="1:31" x14ac:dyDescent="0.3">
      <c r="A196">
        <v>6</v>
      </c>
      <c r="B196">
        <v>7</v>
      </c>
      <c r="C196" t="s">
        <v>23</v>
      </c>
      <c r="D196" s="4">
        <v>45335</v>
      </c>
      <c r="E196" s="6">
        <v>88.1</v>
      </c>
      <c r="F196" s="7">
        <f t="shared" si="85"/>
        <v>24.926437301946581</v>
      </c>
      <c r="G196" s="9">
        <v>0.159</v>
      </c>
      <c r="H196" s="6">
        <f t="shared" si="291"/>
        <v>74.092099999999988</v>
      </c>
      <c r="I196" s="6">
        <f t="shared" si="644"/>
        <v>23.434799999999999</v>
      </c>
      <c r="J196">
        <v>3.7</v>
      </c>
      <c r="K196" s="5">
        <v>7.0000000000000007E-2</v>
      </c>
      <c r="L196" s="17">
        <v>2140</v>
      </c>
      <c r="M196" s="5">
        <v>0.53299999999999992</v>
      </c>
      <c r="N196" s="6">
        <f t="shared" si="304"/>
        <v>14.007899999999999</v>
      </c>
      <c r="O196" s="21">
        <f t="shared" si="751"/>
        <v>46.957299999999989</v>
      </c>
      <c r="P196" s="8">
        <f t="shared" si="742"/>
        <v>46.901028571428569</v>
      </c>
      <c r="Q196" s="8">
        <f t="shared" si="752"/>
        <v>64.665199999999999</v>
      </c>
      <c r="R196" s="6">
        <f t="shared" si="753"/>
        <v>23.434799999999999</v>
      </c>
      <c r="S196" s="6">
        <f t="shared" si="684"/>
        <v>6.1669999999999998</v>
      </c>
      <c r="T196" s="6">
        <f t="shared" ref="T196" si="1100">I196-I195</f>
        <v>-0.36429999999998941</v>
      </c>
      <c r="U196" s="6">
        <f t="shared" ref="U196" si="1101">N196-N195</f>
        <v>0</v>
      </c>
      <c r="V196" s="6">
        <f t="shared" ref="V196" si="1102">E196-E195</f>
        <v>0</v>
      </c>
      <c r="W196" s="9">
        <f>Tabla1[[#This Row],[Protein]]/Tabla1[[#This Row],[Peso (Kg)]]</f>
        <v>0.26600227014755962</v>
      </c>
      <c r="X196" s="9">
        <f t="shared" si="746"/>
        <v>0.26732511126861996</v>
      </c>
      <c r="Y196" s="6">
        <f t="shared" si="842"/>
        <v>41.142700000000005</v>
      </c>
      <c r="Z196" s="6">
        <f t="shared" si="747"/>
        <v>88.44285714285715</v>
      </c>
      <c r="AA196" s="6">
        <f t="shared" ref="AA196" si="1103">AVERAGE(N190:N196)</f>
        <v>14.217500000000001</v>
      </c>
      <c r="AB196" s="6">
        <f t="shared" ref="AB196" si="1104">AVERAGE(R190:R196)</f>
        <v>23.638614285714283</v>
      </c>
      <c r="AC196" s="6">
        <f t="shared" ref="AC196" si="1105">100*(AB196/AB195-1)</f>
        <v>0.30846600827041382</v>
      </c>
      <c r="AD196" s="42">
        <f>Tabla1[[#This Row],[Avg Agua)]]/Tabla1[[#This Row],[Avg Musculo]]</f>
        <v>1.9840853615422225</v>
      </c>
    </row>
    <row r="197" spans="1:31" x14ac:dyDescent="0.3">
      <c r="A197">
        <v>6</v>
      </c>
      <c r="B197">
        <v>7</v>
      </c>
      <c r="C197" t="s">
        <v>24</v>
      </c>
      <c r="D197" s="4">
        <v>45336</v>
      </c>
      <c r="E197" s="6">
        <v>88.35</v>
      </c>
      <c r="F197" s="7">
        <f t="shared" si="85"/>
        <v>24.997170665459485</v>
      </c>
      <c r="G197" s="9">
        <v>0.16400000000000001</v>
      </c>
      <c r="H197" s="6">
        <f t="shared" si="291"/>
        <v>73.860599999999991</v>
      </c>
      <c r="I197" s="6">
        <f t="shared" si="644"/>
        <v>22.816649999999989</v>
      </c>
      <c r="J197">
        <v>3.6</v>
      </c>
      <c r="K197" s="5">
        <v>7.0000000000000007E-2</v>
      </c>
      <c r="L197" s="17">
        <v>2136</v>
      </c>
      <c r="M197" s="5">
        <v>0.53700000000000003</v>
      </c>
      <c r="N197" s="6">
        <f t="shared" si="304"/>
        <v>14.4894</v>
      </c>
      <c r="O197" s="21">
        <f t="shared" si="751"/>
        <v>47.443950000000001</v>
      </c>
      <c r="P197" s="8">
        <f t="shared" si="742"/>
        <v>46.863949999999996</v>
      </c>
      <c r="Q197" s="8">
        <f t="shared" si="752"/>
        <v>65.533350000000013</v>
      </c>
      <c r="R197" s="6">
        <f t="shared" si="753"/>
        <v>22.816649999999989</v>
      </c>
      <c r="S197" s="6">
        <f t="shared" si="684"/>
        <v>6.1844999999999999</v>
      </c>
      <c r="T197" s="6">
        <f t="shared" ref="T197" si="1106">I197-I196</f>
        <v>-0.61815000000001064</v>
      </c>
      <c r="U197" s="6">
        <f t="shared" ref="U197" si="1107">N197-N196</f>
        <v>0.48150000000000048</v>
      </c>
      <c r="V197" s="6">
        <f t="shared" ref="V197" si="1108">E197-E196</f>
        <v>0.25</v>
      </c>
      <c r="W197" s="9">
        <f>Tabla1[[#This Row],[Protein]]/Tabla1[[#This Row],[Peso (Kg)]]</f>
        <v>0.2582529711375211</v>
      </c>
      <c r="X197" s="9">
        <f t="shared" si="746"/>
        <v>0.26783850459153796</v>
      </c>
      <c r="Y197" s="6">
        <f t="shared" si="842"/>
        <v>40.906049999999986</v>
      </c>
      <c r="Z197" s="6">
        <f t="shared" si="747"/>
        <v>88.278571428571439</v>
      </c>
      <c r="AA197" s="6">
        <f t="shared" ref="AA197" si="1109">AVERAGE(N191:N197)</f>
        <v>14.101057142857146</v>
      </c>
      <c r="AB197" s="6">
        <f t="shared" ref="AB197" si="1110">AVERAGE(R191:R197)</f>
        <v>23.642135714285708</v>
      </c>
      <c r="AC197" s="6">
        <f t="shared" ref="AC197" si="1111">100*(AB197/AB196-1)</f>
        <v>1.4896933165631232E-2</v>
      </c>
      <c r="AD197" s="42">
        <f>Tabla1[[#This Row],[Avg Agua)]]/Tabla1[[#This Row],[Avg Musculo]]</f>
        <v>1.9822215118950763</v>
      </c>
    </row>
    <row r="198" spans="1:31" x14ac:dyDescent="0.3">
      <c r="A198">
        <v>6</v>
      </c>
      <c r="B198">
        <v>7</v>
      </c>
      <c r="C198" t="s">
        <v>25</v>
      </c>
      <c r="D198" s="4">
        <v>45339</v>
      </c>
      <c r="E198" s="6">
        <v>89.45</v>
      </c>
      <c r="F198" s="7">
        <f t="shared" si="85"/>
        <v>25.308397464916254</v>
      </c>
      <c r="G198" s="9">
        <v>0.16800000000000001</v>
      </c>
      <c r="H198" s="6">
        <f t="shared" si="291"/>
        <v>74.422399999999996</v>
      </c>
      <c r="I198" s="6">
        <f t="shared" si="644"/>
        <v>22.866649999999989</v>
      </c>
      <c r="J198">
        <v>3.7</v>
      </c>
      <c r="K198" s="5">
        <v>7.4999999999999997E-2</v>
      </c>
      <c r="L198" s="17">
        <v>2154</v>
      </c>
      <c r="M198" s="5">
        <v>0.53500000000000003</v>
      </c>
      <c r="N198" s="6">
        <f t="shared" si="304"/>
        <v>15.027600000000001</v>
      </c>
      <c r="O198" s="21">
        <f t="shared" si="751"/>
        <v>47.855750000000008</v>
      </c>
      <c r="P198" s="8">
        <f t="shared" si="742"/>
        <v>46.891985714285717</v>
      </c>
      <c r="Q198" s="8">
        <f t="shared" si="752"/>
        <v>66.58335000000001</v>
      </c>
      <c r="R198" s="6">
        <f t="shared" si="753"/>
        <v>22.866649999999989</v>
      </c>
      <c r="S198" s="6">
        <f t="shared" si="684"/>
        <v>6.7087500000000002</v>
      </c>
      <c r="T198" s="6">
        <f t="shared" ref="T198" si="1112">I198-I197</f>
        <v>5.0000000000000711E-2</v>
      </c>
      <c r="U198" s="6">
        <f t="shared" ref="U198" si="1113">N198-N197</f>
        <v>0.53820000000000157</v>
      </c>
      <c r="V198" s="6">
        <f t="shared" ref="V198" si="1114">E198-E197</f>
        <v>1.1000000000000085</v>
      </c>
      <c r="W198" s="9">
        <f>Tabla1[[#This Row],[Protein]]/Tabla1[[#This Row],[Peso (Kg)]]</f>
        <v>0.25563610955841237</v>
      </c>
      <c r="X198" s="9">
        <f t="shared" si="746"/>
        <v>0.26756603204746165</v>
      </c>
      <c r="Y198" s="6">
        <f t="shared" si="842"/>
        <v>41.594249999999995</v>
      </c>
      <c r="Z198" s="6">
        <f t="shared" si="747"/>
        <v>88.307142857142864</v>
      </c>
      <c r="AA198" s="6">
        <f t="shared" ref="AA198" si="1115">AVERAGE(N192:N198)</f>
        <v>14.118607142857144</v>
      </c>
      <c r="AB198" s="6">
        <f t="shared" ref="AB198" si="1116">AVERAGE(R192:R198)</f>
        <v>23.625121428571422</v>
      </c>
      <c r="AC198" s="6">
        <f t="shared" ref="AC198" si="1117">100*(AB198/AB197-1)</f>
        <v>-7.1965942163187968E-2</v>
      </c>
      <c r="AD198" s="42">
        <f>Tabla1[[#This Row],[Avg Agua)]]/Tabla1[[#This Row],[Avg Musculo]]</f>
        <v>1.9848357544345205</v>
      </c>
      <c r="AE198" t="s">
        <v>54</v>
      </c>
    </row>
    <row r="199" spans="1:31" x14ac:dyDescent="0.3">
      <c r="A199">
        <v>6</v>
      </c>
      <c r="B199">
        <v>7</v>
      </c>
      <c r="C199" t="s">
        <v>26</v>
      </c>
      <c r="D199" s="4">
        <v>45340</v>
      </c>
      <c r="E199" s="6">
        <v>88.3</v>
      </c>
      <c r="F199" s="7">
        <f t="shared" si="85"/>
        <v>24.983023992756905</v>
      </c>
      <c r="G199" s="9">
        <v>0.159</v>
      </c>
      <c r="H199" s="6">
        <f t="shared" si="291"/>
        <v>74.260300000000001</v>
      </c>
      <c r="I199" s="6">
        <f t="shared" si="644"/>
        <v>23.761300000000002</v>
      </c>
      <c r="J199">
        <v>3.7</v>
      </c>
      <c r="K199" s="5">
        <v>7.0000000000000007E-2</v>
      </c>
      <c r="L199" s="17">
        <v>2145</v>
      </c>
      <c r="M199" s="5">
        <v>0.53</v>
      </c>
      <c r="N199" s="6">
        <f t="shared" si="304"/>
        <v>14.0397</v>
      </c>
      <c r="O199" s="21">
        <f t="shared" si="751"/>
        <v>46.798999999999999</v>
      </c>
      <c r="P199" s="8">
        <f t="shared" si="742"/>
        <v>46.931171428571425</v>
      </c>
      <c r="Q199" s="8">
        <f t="shared" si="752"/>
        <v>64.538699999999992</v>
      </c>
      <c r="R199" s="6">
        <f t="shared" si="753"/>
        <v>23.761300000000002</v>
      </c>
      <c r="S199" s="6">
        <f t="shared" si="684"/>
        <v>6.181</v>
      </c>
      <c r="T199" s="6">
        <f t="shared" ref="T199" si="1118">I199-I198</f>
        <v>0.89465000000001282</v>
      </c>
      <c r="U199" s="6">
        <f t="shared" ref="U199" si="1119">N199-N198</f>
        <v>-0.98790000000000155</v>
      </c>
      <c r="V199" s="6">
        <f t="shared" ref="V199" si="1120">E199-E198</f>
        <v>-1.1500000000000057</v>
      </c>
      <c r="W199" s="9">
        <f>Tabla1[[#This Row],[Protein]]/Tabla1[[#This Row],[Peso (Kg)]]</f>
        <v>0.26909739524348814</v>
      </c>
      <c r="X199" s="9">
        <f t="shared" si="746"/>
        <v>0.2669844518314986</v>
      </c>
      <c r="Y199" s="6">
        <f t="shared" si="842"/>
        <v>41.501000000000005</v>
      </c>
      <c r="Z199" s="6">
        <f t="shared" si="747"/>
        <v>88.285714285714292</v>
      </c>
      <c r="AA199" s="6">
        <f t="shared" ref="AA199" si="1121">AVERAGE(N193:N199)</f>
        <v>14.1152</v>
      </c>
      <c r="AB199" s="6">
        <f t="shared" ref="AB199" si="1122">AVERAGE(R193:R199)</f>
        <v>23.567914285714284</v>
      </c>
      <c r="AC199" s="6">
        <f t="shared" ref="AC199" si="1123">100*(AB199/AB198-1)</f>
        <v>-0.24214539184528316</v>
      </c>
      <c r="AD199" s="42">
        <f>Tabla1[[#This Row],[Avg Agua)]]/Tabla1[[#This Row],[Avg Musculo]]</f>
        <v>1.9913162810940297</v>
      </c>
    </row>
    <row r="200" spans="1:31" x14ac:dyDescent="0.3">
      <c r="A200">
        <v>6</v>
      </c>
      <c r="B200">
        <v>8</v>
      </c>
      <c r="C200" t="s">
        <v>21</v>
      </c>
      <c r="D200" s="4">
        <v>45341</v>
      </c>
      <c r="E200" s="6">
        <v>88.45</v>
      </c>
      <c r="F200" s="7">
        <f t="shared" si="85"/>
        <v>25.025464010864646</v>
      </c>
      <c r="G200" s="9">
        <v>0.161</v>
      </c>
      <c r="H200" s="6">
        <f t="shared" si="291"/>
        <v>74.209550000000007</v>
      </c>
      <c r="I200" s="6">
        <f t="shared" si="644"/>
        <v>23.719500000000007</v>
      </c>
      <c r="J200">
        <v>3.7</v>
      </c>
      <c r="K200" s="5">
        <v>7.0000000000000007E-2</v>
      </c>
      <c r="L200" s="17">
        <v>2145</v>
      </c>
      <c r="M200" s="5">
        <v>0.52900000000000003</v>
      </c>
      <c r="N200" s="6">
        <f t="shared" si="304"/>
        <v>14.240450000000001</v>
      </c>
      <c r="O200" s="21">
        <f t="shared" si="751"/>
        <v>46.790050000000001</v>
      </c>
      <c r="P200" s="8">
        <f t="shared" si="742"/>
        <v>46.986557142857144</v>
      </c>
      <c r="Q200" s="8">
        <f t="shared" si="752"/>
        <v>64.730499999999992</v>
      </c>
      <c r="R200" s="6">
        <f t="shared" si="753"/>
        <v>23.719500000000007</v>
      </c>
      <c r="S200" s="6">
        <f t="shared" si="684"/>
        <v>6.1915000000000004</v>
      </c>
      <c r="T200" s="6">
        <f t="shared" ref="T200" si="1124">I200-I199</f>
        <v>-4.1799999999994952E-2</v>
      </c>
      <c r="U200" s="6">
        <f t="shared" ref="U200" si="1125">N200-N199</f>
        <v>0.20075000000000109</v>
      </c>
      <c r="V200" s="6">
        <f t="shared" ref="V200" si="1126">E200-E199</f>
        <v>0.15000000000000568</v>
      </c>
      <c r="W200" s="9">
        <f>Tabla1[[#This Row],[Protein]]/Tabla1[[#This Row],[Peso (Kg)]]</f>
        <v>0.26816845675522899</v>
      </c>
      <c r="X200" s="9">
        <f t="shared" si="746"/>
        <v>0.26601159974631633</v>
      </c>
      <c r="Y200" s="6">
        <f t="shared" si="842"/>
        <v>41.659950000000009</v>
      </c>
      <c r="Z200" s="6">
        <f t="shared" si="747"/>
        <v>88.342857142857156</v>
      </c>
      <c r="AA200" s="6">
        <f t="shared" ref="AA200" si="1127">AVERAGE(N194:N200)</f>
        <v>14.187292857142856</v>
      </c>
      <c r="AB200" s="6">
        <f t="shared" ref="AB200" si="1128">AVERAGE(R194:R200)</f>
        <v>23.497578571428569</v>
      </c>
      <c r="AC200" s="6">
        <f t="shared" ref="AC200" si="1129">100*(AB200/AB199-1)</f>
        <v>-0.29843843385135571</v>
      </c>
      <c r="AD200" s="42">
        <f>Tabla1[[#This Row],[Avg Agua)]]/Tabla1[[#This Row],[Avg Musculo]]</f>
        <v>1.9996340048412287</v>
      </c>
    </row>
    <row r="201" spans="1:31" x14ac:dyDescent="0.3">
      <c r="A201">
        <v>6</v>
      </c>
      <c r="B201">
        <v>8</v>
      </c>
      <c r="C201" t="s">
        <v>23</v>
      </c>
      <c r="D201" s="4">
        <v>45342</v>
      </c>
      <c r="E201" s="6">
        <v>87.85</v>
      </c>
      <c r="F201" s="7">
        <f t="shared" si="85"/>
        <v>24.855703938433681</v>
      </c>
      <c r="G201" s="9">
        <v>0.155</v>
      </c>
      <c r="H201" s="6">
        <f t="shared" si="291"/>
        <v>74.233249999999998</v>
      </c>
      <c r="I201" s="6">
        <f t="shared" si="644"/>
        <v>23.884899999999998</v>
      </c>
      <c r="J201">
        <v>3.7</v>
      </c>
      <c r="K201" s="5">
        <v>7.0000000000000007E-2</v>
      </c>
      <c r="L201" s="17">
        <v>2143</v>
      </c>
      <c r="M201" s="5">
        <v>0.53100000000000003</v>
      </c>
      <c r="N201" s="6">
        <f t="shared" si="304"/>
        <v>13.61675</v>
      </c>
      <c r="O201" s="21">
        <f t="shared" si="751"/>
        <v>46.648350000000001</v>
      </c>
      <c r="P201" s="8">
        <f t="shared" ref="P201:P264" si="1130">AVERAGE(O195:O201)</f>
        <v>47.026771428571422</v>
      </c>
      <c r="Q201" s="8">
        <f t="shared" si="752"/>
        <v>63.965099999999993</v>
      </c>
      <c r="R201" s="6">
        <f t="shared" si="753"/>
        <v>23.884899999999998</v>
      </c>
      <c r="S201" s="6">
        <f t="shared" si="684"/>
        <v>6.1494999999999997</v>
      </c>
      <c r="T201" s="6">
        <f t="shared" ref="T201" si="1131">I201-I200</f>
        <v>0.16539999999999111</v>
      </c>
      <c r="U201" s="6">
        <f t="shared" ref="U201" si="1132">N201-N200</f>
        <v>-0.62370000000000125</v>
      </c>
      <c r="V201" s="6">
        <f t="shared" ref="V201" si="1133">E201-E200</f>
        <v>-0.60000000000000853</v>
      </c>
      <c r="W201" s="9">
        <f>Tabla1[[#This Row],[Protein]]/Tabla1[[#This Row],[Peso (Kg)]]</f>
        <v>0.27188275469550371</v>
      </c>
      <c r="X201" s="9">
        <f t="shared" ref="X201:X264" si="1134">AVERAGE(W195:W201)</f>
        <v>0.26559675735215277</v>
      </c>
      <c r="Y201" s="6">
        <f t="shared" si="842"/>
        <v>41.201650000000001</v>
      </c>
      <c r="Z201" s="6">
        <f t="shared" ref="Z201:Z264" si="1135">AVERAGE(E195:E201)</f>
        <v>88.371428571428581</v>
      </c>
      <c r="AA201" s="6">
        <f t="shared" ref="AA201" si="1136">AVERAGE(N195:N201)</f>
        <v>14.204242857142857</v>
      </c>
      <c r="AB201" s="6">
        <f t="shared" ref="AB201" si="1137">AVERAGE(R195:R201)</f>
        <v>23.468985714285711</v>
      </c>
      <c r="AC201" s="6">
        <f t="shared" ref="AC201" si="1138">100*(AB201/AB200-1)</f>
        <v>-0.12168427081088451</v>
      </c>
      <c r="AD201" s="42">
        <f>Tabla1[[#This Row],[Avg Agua)]]/Tabla1[[#This Row],[Avg Musculo]]</f>
        <v>2.0037837169906303</v>
      </c>
    </row>
    <row r="202" spans="1:31" x14ac:dyDescent="0.3">
      <c r="A202">
        <v>6</v>
      </c>
      <c r="B202">
        <v>8</v>
      </c>
      <c r="C202" t="s">
        <v>24</v>
      </c>
      <c r="D202" s="4">
        <v>45343</v>
      </c>
      <c r="E202" s="6">
        <v>88.45</v>
      </c>
      <c r="F202" s="7">
        <f t="shared" si="85"/>
        <v>25.025464010864646</v>
      </c>
      <c r="G202" s="9">
        <v>0.16</v>
      </c>
      <c r="H202" s="6">
        <f t="shared" si="291"/>
        <v>74.298000000000002</v>
      </c>
      <c r="I202" s="6">
        <f t="shared" si="644"/>
        <v>23.100349999999995</v>
      </c>
      <c r="J202">
        <v>3.7</v>
      </c>
      <c r="K202" s="5">
        <v>7.0000000000000007E-2</v>
      </c>
      <c r="L202" s="17">
        <v>2147</v>
      </c>
      <c r="M202" s="5">
        <v>0.53700000000000003</v>
      </c>
      <c r="N202" s="6">
        <f t="shared" si="304"/>
        <v>14.152000000000001</v>
      </c>
      <c r="O202" s="21">
        <f t="shared" si="751"/>
        <v>47.497650000000007</v>
      </c>
      <c r="P202" s="8">
        <f t="shared" si="1130"/>
        <v>47.141721428571437</v>
      </c>
      <c r="Q202" s="8">
        <f t="shared" si="752"/>
        <v>65.349650000000011</v>
      </c>
      <c r="R202" s="6">
        <f t="shared" si="753"/>
        <v>23.100349999999995</v>
      </c>
      <c r="S202" s="6">
        <f t="shared" si="684"/>
        <v>6.1915000000000004</v>
      </c>
      <c r="T202" s="6">
        <f t="shared" ref="T202" si="1139">I202-I201</f>
        <v>-0.78455000000000297</v>
      </c>
      <c r="U202" s="6">
        <f t="shared" ref="U202" si="1140">N202-N201</f>
        <v>0.53525000000000134</v>
      </c>
      <c r="V202" s="6">
        <f t="shared" ref="V202" si="1141">E202-E201</f>
        <v>0.60000000000000853</v>
      </c>
      <c r="W202" s="9">
        <f>Tabla1[[#This Row],[Protein]]/Tabla1[[#This Row],[Peso (Kg)]]</f>
        <v>0.26116845675522887</v>
      </c>
      <c r="X202" s="9">
        <f t="shared" si="1134"/>
        <v>0.26431548775613461</v>
      </c>
      <c r="Y202" s="6">
        <f t="shared" si="842"/>
        <v>40.952349999999996</v>
      </c>
      <c r="Z202" s="6">
        <f t="shared" si="1135"/>
        <v>88.421428571428578</v>
      </c>
      <c r="AA202" s="6">
        <f t="shared" ref="AA202" si="1142">AVERAGE(N196:N202)</f>
        <v>14.224828571428571</v>
      </c>
      <c r="AB202" s="6">
        <f t="shared" ref="AB202" si="1143">AVERAGE(R196:R202)</f>
        <v>23.369164285714284</v>
      </c>
      <c r="AC202" s="6">
        <f t="shared" ref="AC202" si="1144">100*(AB202/AB201-1)</f>
        <v>-0.42533337310212138</v>
      </c>
      <c r="AD202" s="42">
        <f>Tabla1[[#This Row],[Avg Agua)]]/Tabla1[[#This Row],[Avg Musculo]]</f>
        <v>2.0172617579392629</v>
      </c>
    </row>
    <row r="203" spans="1:31" x14ac:dyDescent="0.3">
      <c r="A203">
        <v>6</v>
      </c>
      <c r="B203">
        <v>8</v>
      </c>
      <c r="C203" t="s">
        <v>22</v>
      </c>
      <c r="D203" s="4">
        <v>45344</v>
      </c>
      <c r="E203" s="6">
        <v>88.8</v>
      </c>
      <c r="F203" s="7">
        <f t="shared" si="85"/>
        <v>25.12449071978271</v>
      </c>
      <c r="G203" s="9">
        <v>0.16300000000000001</v>
      </c>
      <c r="H203" s="6">
        <f t="shared" si="291"/>
        <v>74.325599999999994</v>
      </c>
      <c r="I203" s="6">
        <f t="shared" si="644"/>
        <v>23.117599999999992</v>
      </c>
      <c r="J203">
        <v>3.7</v>
      </c>
      <c r="K203" s="5">
        <v>7.0000000000000007E-2</v>
      </c>
      <c r="L203" s="17">
        <v>2150</v>
      </c>
      <c r="M203" s="5">
        <v>0.53500000000000003</v>
      </c>
      <c r="N203" s="6">
        <f t="shared" si="304"/>
        <v>14.474399999999999</v>
      </c>
      <c r="O203" s="21">
        <f t="shared" si="751"/>
        <v>47.508000000000003</v>
      </c>
      <c r="P203" s="8">
        <f t="shared" si="1130"/>
        <v>47.220392857142862</v>
      </c>
      <c r="Q203" s="8">
        <f t="shared" si="752"/>
        <v>65.682400000000001</v>
      </c>
      <c r="R203" s="6">
        <f t="shared" si="753"/>
        <v>23.117599999999992</v>
      </c>
      <c r="S203" s="6">
        <f t="shared" si="684"/>
        <v>6.2160000000000002</v>
      </c>
      <c r="T203" s="6">
        <f t="shared" ref="T203" si="1145">I203-I202</f>
        <v>1.7249999999997101E-2</v>
      </c>
      <c r="U203" s="6">
        <f t="shared" ref="U203" si="1146">N203-N202</f>
        <v>0.32239999999999824</v>
      </c>
      <c r="V203" s="6">
        <f t="shared" ref="V203" si="1147">E203-E202</f>
        <v>0.34999999999999432</v>
      </c>
      <c r="W203" s="9">
        <f>Tabla1[[#This Row],[Protein]]/Tabla1[[#This Row],[Peso (Kg)]]</f>
        <v>0.26033333333333325</v>
      </c>
      <c r="X203" s="9">
        <f t="shared" si="1134"/>
        <v>0.26350563963981666</v>
      </c>
      <c r="Y203" s="6">
        <f t="shared" si="842"/>
        <v>41.291999999999994</v>
      </c>
      <c r="Z203" s="6">
        <f t="shared" si="1135"/>
        <v>88.521428571428572</v>
      </c>
      <c r="AA203" s="6">
        <f t="shared" ref="AA203" si="1148">AVERAGE(N197:N203)</f>
        <v>14.29147142857143</v>
      </c>
      <c r="AB203" s="6">
        <f t="shared" ref="AB203" si="1149">AVERAGE(R197:R203)</f>
        <v>23.323849999999997</v>
      </c>
      <c r="AC203" s="6">
        <f t="shared" ref="AC203" si="1150">100*(AB203/AB202-1)</f>
        <v>-0.19390631671833969</v>
      </c>
      <c r="AD203" s="42">
        <f>Tabla1[[#This Row],[Avg Agua)]]/Tabla1[[#This Row],[Avg Musculo]]</f>
        <v>2.0245539590223256</v>
      </c>
    </row>
    <row r="204" spans="1:31" x14ac:dyDescent="0.3">
      <c r="A204">
        <v>6</v>
      </c>
      <c r="B204">
        <v>8</v>
      </c>
      <c r="C204" t="s">
        <v>20</v>
      </c>
      <c r="D204" s="4">
        <v>45345</v>
      </c>
      <c r="E204" s="6">
        <v>88.6</v>
      </c>
      <c r="F204" s="7">
        <f t="shared" si="85"/>
        <v>25.067904028972386</v>
      </c>
      <c r="G204" s="9">
        <v>0.159</v>
      </c>
      <c r="H204" s="6">
        <f t="shared" si="291"/>
        <v>74.512599999999992</v>
      </c>
      <c r="I204" s="6">
        <f t="shared" si="644"/>
        <v>23.588800000000003</v>
      </c>
      <c r="J204">
        <v>3.7</v>
      </c>
      <c r="K204" s="5">
        <v>7.0000000000000007E-2</v>
      </c>
      <c r="L204" s="17">
        <v>2153</v>
      </c>
      <c r="M204" s="5">
        <v>0.53299999999999992</v>
      </c>
      <c r="N204" s="6">
        <f t="shared" si="304"/>
        <v>14.087399999999999</v>
      </c>
      <c r="O204" s="21">
        <f t="shared" si="751"/>
        <v>47.22379999999999</v>
      </c>
      <c r="P204" s="8">
        <f t="shared" si="1130"/>
        <v>47.188942857142855</v>
      </c>
      <c r="Q204" s="8">
        <f t="shared" si="752"/>
        <v>65.011199999999988</v>
      </c>
      <c r="R204" s="6">
        <f t="shared" si="753"/>
        <v>23.588800000000003</v>
      </c>
      <c r="S204" s="6">
        <f t="shared" si="684"/>
        <v>6.202</v>
      </c>
      <c r="T204" s="6">
        <f t="shared" ref="T204" si="1151">I204-I203</f>
        <v>0.47120000000001028</v>
      </c>
      <c r="U204" s="6">
        <f t="shared" ref="U204" si="1152">N204-N203</f>
        <v>-0.38700000000000045</v>
      </c>
      <c r="V204" s="6">
        <f t="shared" ref="V204" si="1153">E204-E203</f>
        <v>-0.20000000000000284</v>
      </c>
      <c r="W204" s="9">
        <f>Tabla1[[#This Row],[Protein]]/Tabla1[[#This Row],[Peso (Kg)]]</f>
        <v>0.26623927765237027</v>
      </c>
      <c r="X204" s="9">
        <f t="shared" si="1134"/>
        <v>0.26464654057050935</v>
      </c>
      <c r="Y204" s="6">
        <f t="shared" si="842"/>
        <v>41.376200000000004</v>
      </c>
      <c r="Z204" s="6">
        <f t="shared" si="1135"/>
        <v>88.55714285714285</v>
      </c>
      <c r="AA204" s="6">
        <f t="shared" ref="AA204" si="1154">AVERAGE(N198:N204)</f>
        <v>14.234042857142859</v>
      </c>
      <c r="AB204" s="6">
        <f t="shared" ref="AB204" si="1155">AVERAGE(R198:R204)</f>
        <v>23.434157142857138</v>
      </c>
      <c r="AC204" s="6">
        <f t="shared" ref="AC204" si="1156">100*(AB204/AB203-1)</f>
        <v>0.47293711311444664</v>
      </c>
      <c r="AD204" s="42">
        <f>Tabla1[[#This Row],[Avg Agua)]]/Tabla1[[#This Row],[Avg Musculo]]</f>
        <v>2.0136821038398773</v>
      </c>
    </row>
    <row r="205" spans="1:31" x14ac:dyDescent="0.3">
      <c r="A205">
        <v>6</v>
      </c>
      <c r="B205">
        <v>8</v>
      </c>
      <c r="C205" t="s">
        <v>25</v>
      </c>
      <c r="D205" s="4">
        <v>45346</v>
      </c>
      <c r="E205" s="6">
        <v>87.35</v>
      </c>
      <c r="F205" s="7">
        <f t="shared" si="85"/>
        <v>24.714237211407877</v>
      </c>
      <c r="G205" s="9">
        <v>0.155</v>
      </c>
      <c r="H205" s="6">
        <f t="shared" si="291"/>
        <v>73.810749999999999</v>
      </c>
      <c r="I205" s="6">
        <f t="shared" si="644"/>
        <v>23.8279</v>
      </c>
      <c r="J205">
        <v>3.6</v>
      </c>
      <c r="K205" s="5">
        <v>7.0000000000000007E-2</v>
      </c>
      <c r="L205" s="17">
        <v>2130</v>
      </c>
      <c r="M205" s="5">
        <v>0.53100000000000003</v>
      </c>
      <c r="N205" s="6">
        <f t="shared" si="304"/>
        <v>13.539249999999999</v>
      </c>
      <c r="O205" s="21">
        <f t="shared" si="751"/>
        <v>46.382849999999998</v>
      </c>
      <c r="P205" s="8">
        <f t="shared" si="1130"/>
        <v>46.978528571428576</v>
      </c>
      <c r="Q205" s="8">
        <f t="shared" si="752"/>
        <v>63.522099999999995</v>
      </c>
      <c r="R205" s="6">
        <f t="shared" si="753"/>
        <v>23.8279</v>
      </c>
      <c r="S205" s="6">
        <f t="shared" si="684"/>
        <v>6.1145000000000005</v>
      </c>
      <c r="T205" s="6">
        <f t="shared" ref="T205" si="1157">I205-I204</f>
        <v>0.23909999999999698</v>
      </c>
      <c r="U205" s="6">
        <f t="shared" ref="U205" si="1158">N205-N204</f>
        <v>-0.54814999999999969</v>
      </c>
      <c r="V205" s="6">
        <f t="shared" ref="V205" si="1159">E205-E204</f>
        <v>-1.25</v>
      </c>
      <c r="W205" s="9">
        <f>Tabla1[[#This Row],[Protein]]/Tabla1[[#This Row],[Peso (Kg)]]</f>
        <v>0.27278649112764741</v>
      </c>
      <c r="X205" s="9">
        <f t="shared" si="1134"/>
        <v>0.26709659508040012</v>
      </c>
      <c r="Y205" s="6">
        <f t="shared" si="842"/>
        <v>40.967149999999997</v>
      </c>
      <c r="Z205" s="6">
        <f t="shared" si="1135"/>
        <v>88.257142857142867</v>
      </c>
      <c r="AA205" s="6">
        <f t="shared" ref="AA205" si="1160">AVERAGE(N199:N205)</f>
        <v>14.021421428571429</v>
      </c>
      <c r="AB205" s="6">
        <f t="shared" ref="AB205" si="1161">AVERAGE(R199:R205)</f>
        <v>23.571478571428571</v>
      </c>
      <c r="AC205" s="6">
        <f t="shared" ref="AC205" si="1162">100*(AB205/AB204-1)</f>
        <v>0.58598834058467553</v>
      </c>
      <c r="AD205" s="42">
        <f>Tabla1[[#This Row],[Avg Agua)]]/Tabla1[[#This Row],[Avg Musculo]]</f>
        <v>1.9930242572212729</v>
      </c>
    </row>
    <row r="206" spans="1:31" x14ac:dyDescent="0.3">
      <c r="A206">
        <v>6</v>
      </c>
      <c r="B206">
        <v>8</v>
      </c>
      <c r="C206" t="s">
        <v>26</v>
      </c>
      <c r="D206" s="4">
        <v>45347</v>
      </c>
      <c r="E206" s="6">
        <v>87.4</v>
      </c>
      <c r="F206" s="7">
        <f t="shared" si="85"/>
        <v>24.72838388411046</v>
      </c>
      <c r="G206" s="9">
        <v>0.158</v>
      </c>
      <c r="H206" s="6">
        <f t="shared" si="291"/>
        <v>73.590800000000002</v>
      </c>
      <c r="I206" s="6">
        <f t="shared" si="644"/>
        <v>23.581399999999995</v>
      </c>
      <c r="J206">
        <v>3.6</v>
      </c>
      <c r="K206" s="5">
        <v>7.0000000000000007E-2</v>
      </c>
      <c r="L206" s="17">
        <v>2124</v>
      </c>
      <c r="M206" s="5">
        <v>0.53100000000000003</v>
      </c>
      <c r="N206" s="6">
        <f t="shared" si="304"/>
        <v>13.809200000000001</v>
      </c>
      <c r="O206" s="21">
        <f t="shared" si="751"/>
        <v>46.409400000000005</v>
      </c>
      <c r="P206" s="8">
        <f t="shared" si="1130"/>
        <v>46.922871428571433</v>
      </c>
      <c r="Q206" s="8">
        <f t="shared" si="752"/>
        <v>63.818600000000011</v>
      </c>
      <c r="R206" s="6">
        <f t="shared" si="753"/>
        <v>23.581399999999995</v>
      </c>
      <c r="S206" s="6">
        <f t="shared" si="684"/>
        <v>6.1180000000000012</v>
      </c>
      <c r="T206" s="6">
        <f t="shared" ref="T206" si="1163">I206-I205</f>
        <v>-0.2465000000000046</v>
      </c>
      <c r="U206" s="6">
        <f t="shared" ref="U206" si="1164">N206-N205</f>
        <v>0.26995000000000147</v>
      </c>
      <c r="V206" s="6">
        <f t="shared" ref="V206" si="1165">E206-E205</f>
        <v>5.0000000000011369E-2</v>
      </c>
      <c r="W206" s="9">
        <f>Tabla1[[#This Row],[Protein]]/Tabla1[[#This Row],[Peso (Kg)]]</f>
        <v>0.26981006864988549</v>
      </c>
      <c r="X206" s="9">
        <f t="shared" si="1134"/>
        <v>0.26719840556702829</v>
      </c>
      <c r="Y206" s="6">
        <f t="shared" si="842"/>
        <v>40.990599999999993</v>
      </c>
      <c r="Z206" s="6">
        <f t="shared" si="1135"/>
        <v>88.128571428571419</v>
      </c>
      <c r="AA206" s="6">
        <f t="shared" ref="AA206" si="1166">AVERAGE(N200:N206)</f>
        <v>13.988492857142857</v>
      </c>
      <c r="AB206" s="6">
        <f t="shared" ref="AB206" si="1167">AVERAGE(R200:R206)</f>
        <v>23.545778571428574</v>
      </c>
      <c r="AC206" s="6">
        <f t="shared" ref="AC206" si="1168">100*(AB206/AB205-1)</f>
        <v>-0.10903007175437907</v>
      </c>
      <c r="AD206" s="42">
        <f>Tabla1[[#This Row],[Avg Agua)]]/Tabla1[[#This Row],[Avg Musculo]]</f>
        <v>1.9928358404554773</v>
      </c>
    </row>
    <row r="207" spans="1:31" x14ac:dyDescent="0.3">
      <c r="A207">
        <v>6</v>
      </c>
      <c r="B207">
        <v>9</v>
      </c>
      <c r="C207" t="s">
        <v>21</v>
      </c>
      <c r="D207" s="4">
        <v>45348</v>
      </c>
      <c r="E207" s="6">
        <v>87.75</v>
      </c>
      <c r="F207" s="7">
        <f t="shared" si="85"/>
        <v>24.827410593028521</v>
      </c>
      <c r="G207" s="9">
        <v>0.156</v>
      </c>
      <c r="H207" s="6">
        <f t="shared" si="291"/>
        <v>74.061000000000007</v>
      </c>
      <c r="I207" s="6">
        <f t="shared" si="644"/>
        <v>23.414750000000002</v>
      </c>
      <c r="J207">
        <v>3.7</v>
      </c>
      <c r="K207" s="5">
        <v>7.0000000000000007E-2</v>
      </c>
      <c r="L207" s="17">
        <v>2138</v>
      </c>
      <c r="M207" s="5">
        <v>0.53500000000000003</v>
      </c>
      <c r="N207" s="6">
        <f t="shared" si="304"/>
        <v>13.689</v>
      </c>
      <c r="O207" s="21">
        <f t="shared" si="751"/>
        <v>46.946250000000006</v>
      </c>
      <c r="P207" s="8">
        <f t="shared" si="1130"/>
        <v>46.945185714285721</v>
      </c>
      <c r="Q207" s="8">
        <f t="shared" si="752"/>
        <v>64.335250000000002</v>
      </c>
      <c r="R207" s="6">
        <f t="shared" si="753"/>
        <v>23.414750000000002</v>
      </c>
      <c r="S207" s="6">
        <f t="shared" si="684"/>
        <v>6.142500000000001</v>
      </c>
      <c r="T207" s="6">
        <f t="shared" ref="T207" si="1169">I207-I206</f>
        <v>-0.16664999999999353</v>
      </c>
      <c r="U207" s="6">
        <f t="shared" ref="U207" si="1170">N207-N206</f>
        <v>-0.12020000000000053</v>
      </c>
      <c r="V207" s="6">
        <f t="shared" ref="V207" si="1171">E207-E206</f>
        <v>0.34999999999999432</v>
      </c>
      <c r="W207" s="9">
        <f>Tabla1[[#This Row],[Protein]]/Tabla1[[#This Row],[Peso (Kg)]]</f>
        <v>0.26683475783475785</v>
      </c>
      <c r="X207" s="9">
        <f t="shared" si="1134"/>
        <v>0.26700787714981816</v>
      </c>
      <c r="Y207" s="6">
        <f t="shared" si="842"/>
        <v>40.803750000000008</v>
      </c>
      <c r="Z207" s="6">
        <f t="shared" si="1135"/>
        <v>88.028571428571439</v>
      </c>
      <c r="AA207" s="6">
        <f t="shared" ref="AA207" si="1172">AVERAGE(N201:N207)</f>
        <v>13.909714285714285</v>
      </c>
      <c r="AB207" s="6">
        <f t="shared" ref="AB207" si="1173">AVERAGE(R201:R207)</f>
        <v>23.502242857142853</v>
      </c>
      <c r="AC207" s="6">
        <f t="shared" ref="AC207" si="1174">100*(AB207/AB206-1)</f>
        <v>-0.18489817252655971</v>
      </c>
      <c r="AD207" s="42">
        <f>Tabla1[[#This Row],[Avg Agua)]]/Tabla1[[#This Row],[Avg Musculo]]</f>
        <v>1.9974768365572411</v>
      </c>
    </row>
    <row r="208" spans="1:31" x14ac:dyDescent="0.3">
      <c r="A208">
        <v>6</v>
      </c>
      <c r="B208">
        <v>9</v>
      </c>
      <c r="C208" t="s">
        <v>23</v>
      </c>
      <c r="D208" s="4">
        <v>45349</v>
      </c>
      <c r="E208" s="6">
        <v>87.2</v>
      </c>
      <c r="F208" s="7">
        <f t="shared" si="85"/>
        <v>24.671797193300137</v>
      </c>
      <c r="G208" s="9">
        <v>0.152</v>
      </c>
      <c r="H208" s="6">
        <f t="shared" si="291"/>
        <v>73.945599999999999</v>
      </c>
      <c r="I208" s="6">
        <f t="shared" si="644"/>
        <v>23.606399999999994</v>
      </c>
      <c r="J208">
        <v>3.6</v>
      </c>
      <c r="K208" s="5">
        <v>7.0000000000000007E-2</v>
      </c>
      <c r="L208" s="17">
        <v>2132</v>
      </c>
      <c r="M208" s="5">
        <v>0.53600000000000003</v>
      </c>
      <c r="N208" s="6">
        <f t="shared" si="304"/>
        <v>13.2544</v>
      </c>
      <c r="O208" s="21">
        <f t="shared" si="751"/>
        <v>46.739200000000004</v>
      </c>
      <c r="P208" s="8">
        <f t="shared" si="1130"/>
        <v>46.958164285714282</v>
      </c>
      <c r="Q208" s="8">
        <f t="shared" si="752"/>
        <v>63.593600000000009</v>
      </c>
      <c r="R208" s="6">
        <f t="shared" si="753"/>
        <v>23.606399999999994</v>
      </c>
      <c r="S208" s="6">
        <f t="shared" si="684"/>
        <v>6.104000000000001</v>
      </c>
      <c r="T208" s="6">
        <f t="shared" ref="T208" si="1175">I208-I207</f>
        <v>0.1916499999999921</v>
      </c>
      <c r="U208" s="6">
        <f t="shared" ref="U208" si="1176">N208-N207</f>
        <v>-0.43459999999999965</v>
      </c>
      <c r="V208" s="6">
        <f t="shared" ref="V208" si="1177">E208-E207</f>
        <v>-0.54999999999999716</v>
      </c>
      <c r="W208" s="9">
        <f>Tabla1[[#This Row],[Protein]]/Tabla1[[#This Row],[Peso (Kg)]]</f>
        <v>0.27071559633027514</v>
      </c>
      <c r="X208" s="9">
        <f t="shared" si="1134"/>
        <v>0.26684114024049976</v>
      </c>
      <c r="Y208" s="6">
        <f t="shared" si="842"/>
        <v>40.460799999999999</v>
      </c>
      <c r="Z208" s="6">
        <f t="shared" si="1135"/>
        <v>87.935714285714297</v>
      </c>
      <c r="AA208" s="6">
        <f t="shared" ref="AA208" si="1178">AVERAGE(N202:N208)</f>
        <v>13.857950000000001</v>
      </c>
      <c r="AB208" s="6">
        <f t="shared" ref="AB208" si="1179">AVERAGE(R202:R208)</f>
        <v>23.46245714285714</v>
      </c>
      <c r="AC208" s="6">
        <f t="shared" ref="AC208" si="1180">100*(AB208/AB207-1)</f>
        <v>-0.16928475519357722</v>
      </c>
      <c r="AD208" s="42">
        <f>Tabla1[[#This Row],[Avg Agua)]]/Tabla1[[#This Row],[Avg Musculo]]</f>
        <v>2.0014171576232425</v>
      </c>
    </row>
    <row r="209" spans="1:31" x14ac:dyDescent="0.3">
      <c r="A209">
        <v>6</v>
      </c>
      <c r="B209">
        <v>9</v>
      </c>
      <c r="C209" t="s">
        <v>24</v>
      </c>
      <c r="D209" s="4">
        <v>45350</v>
      </c>
      <c r="E209" s="6">
        <v>87.2</v>
      </c>
      <c r="F209" s="7">
        <f t="shared" si="85"/>
        <v>24.671797193300137</v>
      </c>
      <c r="G209" s="9">
        <v>0.154</v>
      </c>
      <c r="H209" s="6">
        <f t="shared" si="291"/>
        <v>73.771200000000007</v>
      </c>
      <c r="I209" s="6">
        <f t="shared" si="644"/>
        <v>23.519200000000005</v>
      </c>
      <c r="J209">
        <v>3.6</v>
      </c>
      <c r="K209" s="5">
        <v>7.0000000000000007E-2</v>
      </c>
      <c r="L209" s="17">
        <v>2129</v>
      </c>
      <c r="M209" s="5">
        <v>0.53500000000000003</v>
      </c>
      <c r="N209" s="6">
        <f t="shared" si="304"/>
        <v>13.428800000000001</v>
      </c>
      <c r="O209" s="21">
        <f t="shared" si="751"/>
        <v>46.652000000000001</v>
      </c>
      <c r="P209" s="8">
        <f t="shared" si="1130"/>
        <v>46.837357142857137</v>
      </c>
      <c r="Q209" s="8">
        <f t="shared" si="752"/>
        <v>63.680799999999998</v>
      </c>
      <c r="R209" s="6">
        <f t="shared" si="753"/>
        <v>23.519200000000005</v>
      </c>
      <c r="S209" s="6">
        <f t="shared" si="684"/>
        <v>6.104000000000001</v>
      </c>
      <c r="T209" s="6">
        <f t="shared" ref="T209" si="1181">I209-I208</f>
        <v>-8.719999999998862E-2</v>
      </c>
      <c r="U209" s="6">
        <f t="shared" ref="U209" si="1182">N209-N208</f>
        <v>0.17440000000000033</v>
      </c>
      <c r="V209" s="6">
        <f t="shared" ref="V209" si="1183">E209-E208</f>
        <v>0</v>
      </c>
      <c r="W209" s="9">
        <f>Tabla1[[#This Row],[Protein]]/Tabla1[[#This Row],[Peso (Kg)]]</f>
        <v>0.26971559633027525</v>
      </c>
      <c r="X209" s="9">
        <f t="shared" si="1134"/>
        <v>0.26806216017979212</v>
      </c>
      <c r="Y209" s="6">
        <f t="shared" si="842"/>
        <v>40.548000000000009</v>
      </c>
      <c r="Z209" s="6">
        <f t="shared" si="1135"/>
        <v>87.757142857142867</v>
      </c>
      <c r="AA209" s="6">
        <f t="shared" ref="AA209" si="1184">AVERAGE(N203:N209)</f>
        <v>13.754635714285715</v>
      </c>
      <c r="AB209" s="6">
        <f t="shared" ref="AB209" si="1185">AVERAGE(R203:R209)</f>
        <v>23.522292857142855</v>
      </c>
      <c r="AC209" s="6">
        <f t="shared" ref="AC209" si="1186">100*(AB209/AB208-1)</f>
        <v>0.25502748463808178</v>
      </c>
      <c r="AD209" s="42">
        <f>Tabla1[[#This Row],[Avg Agua)]]/Tabla1[[#This Row],[Avg Musculo]]</f>
        <v>1.9911901202537046</v>
      </c>
    </row>
    <row r="210" spans="1:31" x14ac:dyDescent="0.3">
      <c r="A210">
        <v>6</v>
      </c>
      <c r="B210">
        <v>9</v>
      </c>
      <c r="C210" t="s">
        <v>22</v>
      </c>
      <c r="D210" s="4">
        <v>45351</v>
      </c>
      <c r="E210" s="6">
        <v>88.4</v>
      </c>
      <c r="F210" s="7">
        <f t="shared" si="85"/>
        <v>25.011317338162069</v>
      </c>
      <c r="G210" s="9">
        <v>0.16</v>
      </c>
      <c r="H210" s="6">
        <f t="shared" si="291"/>
        <v>74.256</v>
      </c>
      <c r="I210" s="6">
        <f t="shared" si="644"/>
        <v>23.085199999999997</v>
      </c>
      <c r="J210">
        <v>3.7</v>
      </c>
      <c r="K210" s="5">
        <v>7.0000000000000007E-2</v>
      </c>
      <c r="L210" s="17">
        <v>2146</v>
      </c>
      <c r="M210" s="5">
        <v>0.53700000000000003</v>
      </c>
      <c r="N210" s="6">
        <f t="shared" si="304"/>
        <v>14.144000000000002</v>
      </c>
      <c r="O210" s="21">
        <f t="shared" si="751"/>
        <v>47.470800000000004</v>
      </c>
      <c r="P210" s="8">
        <f t="shared" si="1130"/>
        <v>46.832042857142866</v>
      </c>
      <c r="Q210" s="8">
        <f t="shared" si="752"/>
        <v>65.314800000000005</v>
      </c>
      <c r="R210" s="6">
        <f t="shared" si="753"/>
        <v>23.085199999999997</v>
      </c>
      <c r="S210" s="6">
        <f t="shared" si="684"/>
        <v>6.1880000000000006</v>
      </c>
      <c r="T210" s="6">
        <f t="shared" ref="T210" si="1187">I210-I209</f>
        <v>-0.43400000000000816</v>
      </c>
      <c r="U210" s="6">
        <f t="shared" ref="U210" si="1188">N210-N209</f>
        <v>0.71520000000000117</v>
      </c>
      <c r="V210" s="6">
        <f t="shared" ref="V210" si="1189">E210-E209</f>
        <v>1.2000000000000028</v>
      </c>
      <c r="W210" s="9">
        <f>Tabla1[[#This Row],[Protein]]/Tabla1[[#This Row],[Peso (Kg)]]</f>
        <v>0.26114479638009047</v>
      </c>
      <c r="X210" s="9">
        <f t="shared" si="1134"/>
        <v>0.26817808347218597</v>
      </c>
      <c r="Y210" s="6">
        <f t="shared" si="842"/>
        <v>40.929200000000002</v>
      </c>
      <c r="Z210" s="6">
        <f t="shared" si="1135"/>
        <v>87.7</v>
      </c>
      <c r="AA210" s="6">
        <f t="shared" ref="AA210" si="1190">AVERAGE(N204:N210)</f>
        <v>13.707435714285714</v>
      </c>
      <c r="AB210" s="6">
        <f t="shared" ref="AB210" si="1191">AVERAGE(R204:R210)</f>
        <v>23.517664285714282</v>
      </c>
      <c r="AC210" s="6">
        <f t="shared" ref="AC210" si="1192">100*(AB210/AB209-1)</f>
        <v>-1.9677382033644886E-2</v>
      </c>
      <c r="AD210" s="42">
        <f>Tabla1[[#This Row],[Avg Agua)]]/Tabla1[[#This Row],[Avg Musculo]]</f>
        <v>1.9913560414922165</v>
      </c>
    </row>
    <row r="211" spans="1:31" x14ac:dyDescent="0.3">
      <c r="A211">
        <v>6</v>
      </c>
      <c r="B211">
        <v>9</v>
      </c>
      <c r="C211" t="s">
        <v>20</v>
      </c>
      <c r="D211" s="4">
        <v>45352</v>
      </c>
      <c r="E211" s="6">
        <v>88</v>
      </c>
      <c r="F211" s="7">
        <f t="shared" si="85"/>
        <v>24.898143956541425</v>
      </c>
      <c r="G211" s="9">
        <v>0.154</v>
      </c>
      <c r="H211" s="6">
        <f t="shared" si="291"/>
        <v>74.448000000000008</v>
      </c>
      <c r="I211" s="6">
        <f t="shared" si="644"/>
        <v>23.668000000000003</v>
      </c>
      <c r="J211">
        <v>3.7</v>
      </c>
      <c r="K211" s="5">
        <v>7.0000000000000007E-2</v>
      </c>
      <c r="L211" s="17">
        <v>2146</v>
      </c>
      <c r="M211" s="5">
        <v>0.53500000000000003</v>
      </c>
      <c r="N211" s="6">
        <f t="shared" si="304"/>
        <v>13.552</v>
      </c>
      <c r="O211" s="21">
        <f t="shared" si="751"/>
        <v>47.080000000000005</v>
      </c>
      <c r="P211" s="8">
        <f t="shared" si="1130"/>
        <v>46.811500000000002</v>
      </c>
      <c r="Q211" s="8">
        <f t="shared" si="752"/>
        <v>64.331999999999994</v>
      </c>
      <c r="R211" s="6">
        <f t="shared" si="753"/>
        <v>23.668000000000003</v>
      </c>
      <c r="S211" s="6">
        <f t="shared" si="684"/>
        <v>6.16</v>
      </c>
      <c r="T211" s="6">
        <f t="shared" ref="T211" si="1193">I211-I210</f>
        <v>0.58280000000000598</v>
      </c>
      <c r="U211" s="6">
        <f t="shared" ref="U211" si="1194">N211-N210</f>
        <v>-0.5920000000000023</v>
      </c>
      <c r="V211" s="6">
        <f t="shared" ref="V211" si="1195">E211-E210</f>
        <v>-0.40000000000000568</v>
      </c>
      <c r="W211" s="9">
        <f>Tabla1[[#This Row],[Protein]]/Tabla1[[#This Row],[Peso (Kg)]]</f>
        <v>0.2689545454545455</v>
      </c>
      <c r="X211" s="9">
        <f t="shared" si="1134"/>
        <v>0.26856597887249672</v>
      </c>
      <c r="Y211" s="6">
        <f t="shared" si="842"/>
        <v>40.92</v>
      </c>
      <c r="Z211" s="6">
        <f t="shared" si="1135"/>
        <v>87.614285714285714</v>
      </c>
      <c r="AA211" s="6">
        <f t="shared" ref="AA211" si="1196">AVERAGE(N205:N211)</f>
        <v>13.63095</v>
      </c>
      <c r="AB211" s="6">
        <f t="shared" ref="AB211" si="1197">AVERAGE(R205:R211)</f>
        <v>23.528978571428571</v>
      </c>
      <c r="AC211" s="6">
        <f t="shared" ref="AC211" si="1198">100*(AB211/AB210-1)</f>
        <v>4.8109733929502241E-2</v>
      </c>
      <c r="AD211" s="42">
        <f>Tabla1[[#This Row],[Avg Agua)]]/Tabla1[[#This Row],[Avg Musculo]]</f>
        <v>1.9895253785833094</v>
      </c>
    </row>
    <row r="212" spans="1:31" x14ac:dyDescent="0.3">
      <c r="A212">
        <v>6</v>
      </c>
      <c r="B212">
        <v>9</v>
      </c>
      <c r="C212" t="s">
        <v>25</v>
      </c>
      <c r="D212" s="4">
        <v>45353</v>
      </c>
      <c r="E212" s="6">
        <v>87.85</v>
      </c>
      <c r="F212" s="7">
        <f t="shared" si="85"/>
        <v>24.855703938433681</v>
      </c>
      <c r="G212" s="9">
        <v>0.155</v>
      </c>
      <c r="H212" s="6">
        <f t="shared" si="291"/>
        <v>74.233249999999998</v>
      </c>
      <c r="I212" s="6">
        <f t="shared" si="644"/>
        <v>23.5335</v>
      </c>
      <c r="J212">
        <v>3.7</v>
      </c>
      <c r="K212" s="5">
        <v>7.0000000000000007E-2</v>
      </c>
      <c r="L212" s="17">
        <v>2142</v>
      </c>
      <c r="M212" s="5">
        <v>0.53500000000000003</v>
      </c>
      <c r="N212" s="6">
        <f t="shared" si="304"/>
        <v>13.61675</v>
      </c>
      <c r="O212" s="21">
        <f t="shared" si="751"/>
        <v>46.999749999999999</v>
      </c>
      <c r="P212" s="8">
        <f t="shared" si="1130"/>
        <v>46.899628571428572</v>
      </c>
      <c r="Q212" s="8">
        <f t="shared" si="752"/>
        <v>64.316499999999991</v>
      </c>
      <c r="R212" s="6">
        <f t="shared" si="753"/>
        <v>23.5335</v>
      </c>
      <c r="S212" s="6">
        <f t="shared" si="684"/>
        <v>6.1494999999999997</v>
      </c>
      <c r="T212" s="6">
        <f t="shared" ref="T212" si="1199">I212-I211</f>
        <v>-0.13450000000000273</v>
      </c>
      <c r="U212" s="6">
        <f t="shared" ref="U212" si="1200">N212-N211</f>
        <v>6.4750000000000085E-2</v>
      </c>
      <c r="V212" s="6">
        <f t="shared" ref="V212" si="1201">E212-E211</f>
        <v>-0.15000000000000568</v>
      </c>
      <c r="W212" s="9">
        <f>Tabla1[[#This Row],[Protein]]/Tabla1[[#This Row],[Peso (Kg)]]</f>
        <v>0.26788275469550371</v>
      </c>
      <c r="X212" s="9">
        <f t="shared" si="1134"/>
        <v>0.2678654450964762</v>
      </c>
      <c r="Y212" s="6">
        <f t="shared" si="842"/>
        <v>40.850250000000003</v>
      </c>
      <c r="Z212" s="6">
        <f t="shared" si="1135"/>
        <v>87.685714285714297</v>
      </c>
      <c r="AA212" s="6">
        <f t="shared" ref="AA212" si="1202">AVERAGE(N206:N212)</f>
        <v>13.642021428571427</v>
      </c>
      <c r="AB212" s="6">
        <f t="shared" ref="AB212" si="1203">AVERAGE(R206:R212)</f>
        <v>23.486921428571428</v>
      </c>
      <c r="AC212" s="6">
        <f t="shared" ref="AC212" si="1204">100*(AB212/AB211-1)</f>
        <v>-0.17874614798711885</v>
      </c>
      <c r="AD212" s="42">
        <f>Tabla1[[#This Row],[Avg Agua)]]/Tabla1[[#This Row],[Avg Musculo]]</f>
        <v>1.9968401867422265</v>
      </c>
    </row>
    <row r="213" spans="1:31" x14ac:dyDescent="0.3">
      <c r="A213">
        <v>6</v>
      </c>
      <c r="B213">
        <v>9</v>
      </c>
      <c r="C213" t="s">
        <v>26</v>
      </c>
      <c r="D213" s="4">
        <v>45354</v>
      </c>
      <c r="E213" s="6">
        <v>87.85</v>
      </c>
      <c r="F213" s="7">
        <f t="shared" si="85"/>
        <v>24.855703938433681</v>
      </c>
      <c r="G213" s="9">
        <v>0.157</v>
      </c>
      <c r="H213" s="6">
        <f t="shared" si="291"/>
        <v>74.057549999999992</v>
      </c>
      <c r="I213" s="6">
        <f t="shared" si="644"/>
        <v>23.457799999999992</v>
      </c>
      <c r="J213">
        <v>3.6</v>
      </c>
      <c r="K213" s="5">
        <v>7.0000000000000007E-2</v>
      </c>
      <c r="L213" s="17">
        <v>2138</v>
      </c>
      <c r="M213" s="5">
        <v>0.53500000000000003</v>
      </c>
      <c r="N213" s="6">
        <f t="shared" si="304"/>
        <v>13.792449999999999</v>
      </c>
      <c r="O213" s="21">
        <f t="shared" si="751"/>
        <v>46.999749999999999</v>
      </c>
      <c r="P213" s="8">
        <f t="shared" si="1130"/>
        <v>46.983964285714286</v>
      </c>
      <c r="Q213" s="8">
        <f t="shared" si="752"/>
        <v>64.392200000000003</v>
      </c>
      <c r="R213" s="6">
        <f t="shared" si="753"/>
        <v>23.457799999999992</v>
      </c>
      <c r="S213" s="6">
        <f t="shared" si="684"/>
        <v>6.1494999999999997</v>
      </c>
      <c r="T213" s="6">
        <f t="shared" ref="T213" si="1205">I213-I212</f>
        <v>-7.5700000000008316E-2</v>
      </c>
      <c r="U213" s="6">
        <f t="shared" ref="U213" si="1206">N213-N212</f>
        <v>0.17569999999999908</v>
      </c>
      <c r="V213" s="6">
        <f t="shared" ref="V213" si="1207">E213-E212</f>
        <v>0</v>
      </c>
      <c r="W213" s="9">
        <f>Tabla1[[#This Row],[Protein]]/Tabla1[[#This Row],[Peso (Kg)]]</f>
        <v>0.26702105862265219</v>
      </c>
      <c r="X213" s="9">
        <f t="shared" si="1134"/>
        <v>0.26746701509258575</v>
      </c>
      <c r="Y213" s="6">
        <f t="shared" si="842"/>
        <v>40.850249999999996</v>
      </c>
      <c r="Z213" s="6">
        <f t="shared" si="1135"/>
        <v>87.75</v>
      </c>
      <c r="AA213" s="6">
        <f t="shared" ref="AA213" si="1208">AVERAGE(N207:N213)</f>
        <v>13.63962857142857</v>
      </c>
      <c r="AB213" s="6">
        <f t="shared" ref="AB213" si="1209">AVERAGE(R207:R213)</f>
        <v>23.469264285714281</v>
      </c>
      <c r="AC213" s="6">
        <f t="shared" ref="AC213" si="1210">100*(AB213/AB212-1)</f>
        <v>-7.5178617644056089E-2</v>
      </c>
      <c r="AD213" s="42">
        <f>Tabla1[[#This Row],[Avg Agua)]]/Tabla1[[#This Row],[Avg Musculo]]</f>
        <v>2.0019359667066077</v>
      </c>
    </row>
    <row r="214" spans="1:31" x14ac:dyDescent="0.3">
      <c r="A214">
        <v>6</v>
      </c>
      <c r="B214">
        <v>10</v>
      </c>
      <c r="C214" t="s">
        <v>21</v>
      </c>
      <c r="D214" s="4">
        <v>45355</v>
      </c>
      <c r="E214" s="6">
        <v>88.85</v>
      </c>
      <c r="F214" s="7">
        <f t="shared" si="85"/>
        <v>25.138637392485286</v>
      </c>
      <c r="G214" s="9">
        <v>0.16500000000000001</v>
      </c>
      <c r="H214" s="6">
        <f t="shared" si="291"/>
        <v>74.189749999999989</v>
      </c>
      <c r="I214" s="6">
        <f t="shared" si="644"/>
        <v>23.043849999999988</v>
      </c>
      <c r="J214">
        <v>3.7</v>
      </c>
      <c r="K214" s="5">
        <v>7.4999999999999997E-2</v>
      </c>
      <c r="L214" s="17">
        <v>2144</v>
      </c>
      <c r="M214" s="5">
        <v>0.53400000000000003</v>
      </c>
      <c r="N214" s="6">
        <f t="shared" si="304"/>
        <v>14.66025</v>
      </c>
      <c r="O214" s="21">
        <f t="shared" si="751"/>
        <v>47.445900000000002</v>
      </c>
      <c r="P214" s="8">
        <f t="shared" si="1130"/>
        <v>47.055342857142861</v>
      </c>
      <c r="Q214" s="8">
        <f t="shared" si="752"/>
        <v>65.806150000000002</v>
      </c>
      <c r="R214" s="6">
        <f t="shared" si="753"/>
        <v>23.043849999999988</v>
      </c>
      <c r="S214" s="6">
        <f t="shared" si="684"/>
        <v>6.6637499999999994</v>
      </c>
      <c r="T214" s="6">
        <f t="shared" ref="T214" si="1211">I214-I213</f>
        <v>-0.41395000000000337</v>
      </c>
      <c r="U214" s="6">
        <f t="shared" ref="U214" si="1212">N214-N213</f>
        <v>0.86780000000000079</v>
      </c>
      <c r="V214" s="6">
        <f t="shared" ref="V214" si="1213">E214-E213</f>
        <v>1</v>
      </c>
      <c r="W214" s="9">
        <f>Tabla1[[#This Row],[Protein]]/Tabla1[[#This Row],[Peso (Kg)]]</f>
        <v>0.2593567810917275</v>
      </c>
      <c r="X214" s="9">
        <f t="shared" si="1134"/>
        <v>0.26639873270072428</v>
      </c>
      <c r="Y214" s="6">
        <f t="shared" si="842"/>
        <v>41.404099999999993</v>
      </c>
      <c r="Z214" s="6">
        <f t="shared" si="1135"/>
        <v>87.907142857142858</v>
      </c>
      <c r="AA214" s="6">
        <f t="shared" ref="AA214" si="1214">AVERAGE(N208:N214)</f>
        <v>13.778378571428574</v>
      </c>
      <c r="AB214" s="6">
        <f t="shared" ref="AB214" si="1215">AVERAGE(R208:R214)</f>
        <v>23.416278571428567</v>
      </c>
      <c r="AC214" s="6">
        <f t="shared" ref="AC214" si="1216">100*(AB214/AB213-1)</f>
        <v>-0.22576640511891011</v>
      </c>
      <c r="AD214" s="42">
        <f>Tabla1[[#This Row],[Avg Agua)]]/Tabla1[[#This Row],[Avg Musculo]]</f>
        <v>2.0095141383634529</v>
      </c>
    </row>
    <row r="215" spans="1:31" x14ac:dyDescent="0.3">
      <c r="A215">
        <v>6</v>
      </c>
      <c r="B215">
        <v>10</v>
      </c>
      <c r="C215" t="s">
        <v>23</v>
      </c>
      <c r="D215" s="4">
        <v>45356</v>
      </c>
      <c r="E215" s="6">
        <v>87.95</v>
      </c>
      <c r="F215" s="7">
        <f t="shared" si="85"/>
        <v>24.883997283838845</v>
      </c>
      <c r="G215" s="9">
        <v>0.157</v>
      </c>
      <c r="H215" s="6">
        <f t="shared" si="291"/>
        <v>74.141850000000005</v>
      </c>
      <c r="I215" s="6">
        <f t="shared" si="644"/>
        <v>23.828350000000004</v>
      </c>
      <c r="J215">
        <v>3.7</v>
      </c>
      <c r="K215" s="5">
        <v>7.0000000000000007E-2</v>
      </c>
      <c r="L215" s="17">
        <v>2141</v>
      </c>
      <c r="M215" s="5">
        <v>0.53</v>
      </c>
      <c r="N215" s="6">
        <f t="shared" si="304"/>
        <v>13.808150000000001</v>
      </c>
      <c r="O215" s="21">
        <f t="shared" si="751"/>
        <v>46.613500000000002</v>
      </c>
      <c r="P215" s="8">
        <f t="shared" si="1130"/>
        <v>47.037385714285719</v>
      </c>
      <c r="Q215" s="8">
        <f t="shared" si="752"/>
        <v>64.121650000000002</v>
      </c>
      <c r="R215" s="6">
        <f t="shared" si="753"/>
        <v>23.828350000000004</v>
      </c>
      <c r="S215" s="6">
        <f t="shared" si="684"/>
        <v>6.1565000000000012</v>
      </c>
      <c r="T215" s="6">
        <f t="shared" ref="T215" si="1217">I215-I214</f>
        <v>0.78450000000001552</v>
      </c>
      <c r="U215" s="6">
        <f t="shared" ref="U215" si="1218">N215-N214</f>
        <v>-0.8520999999999983</v>
      </c>
      <c r="V215" s="6">
        <f t="shared" ref="V215" si="1219">E215-E214</f>
        <v>-0.89999999999999147</v>
      </c>
      <c r="W215" s="9">
        <f>Tabla1[[#This Row],[Protein]]/Tabla1[[#This Row],[Peso (Kg)]]</f>
        <v>0.2709306424104605</v>
      </c>
      <c r="X215" s="9">
        <f t="shared" si="1134"/>
        <v>0.26642945356932213</v>
      </c>
      <c r="Y215" s="6">
        <f t="shared" si="842"/>
        <v>41.336500000000008</v>
      </c>
      <c r="Z215" s="6">
        <f t="shared" si="1135"/>
        <v>88.014285714285734</v>
      </c>
      <c r="AA215" s="6">
        <f t="shared" ref="AA215" si="1220">AVERAGE(N209:N215)</f>
        <v>13.857485714285716</v>
      </c>
      <c r="AB215" s="6">
        <f t="shared" ref="AB215" si="1221">AVERAGE(R209:R215)</f>
        <v>23.447985714285714</v>
      </c>
      <c r="AC215" s="6">
        <f t="shared" ref="AC215" si="1222">100*(AB215/AB214-1)</f>
        <v>0.13540641293803279</v>
      </c>
      <c r="AD215" s="42">
        <f>Tabla1[[#This Row],[Avg Agua)]]/Tabla1[[#This Row],[Avg Musculo]]</f>
        <v>2.0060309779883623</v>
      </c>
    </row>
    <row r="216" spans="1:31" x14ac:dyDescent="0.3">
      <c r="A216">
        <v>6</v>
      </c>
      <c r="B216">
        <v>10</v>
      </c>
      <c r="C216" t="s">
        <v>24</v>
      </c>
      <c r="D216" s="4">
        <v>45357</v>
      </c>
      <c r="E216" s="6">
        <v>88.7</v>
      </c>
      <c r="F216" s="7">
        <f t="shared" si="85"/>
        <v>25.096197374377549</v>
      </c>
      <c r="G216" s="9">
        <v>0.16400000000000001</v>
      </c>
      <c r="H216" s="6">
        <f t="shared" si="291"/>
        <v>74.153199999999998</v>
      </c>
      <c r="I216" s="6">
        <f t="shared" si="644"/>
        <v>22.998699999999996</v>
      </c>
      <c r="J216">
        <v>3.7</v>
      </c>
      <c r="K216" s="5">
        <v>7.0000000000000007E-2</v>
      </c>
      <c r="L216" s="17">
        <v>2143</v>
      </c>
      <c r="M216" s="5">
        <v>0.53500000000000003</v>
      </c>
      <c r="N216" s="6">
        <f t="shared" si="304"/>
        <v>14.546800000000001</v>
      </c>
      <c r="O216" s="21">
        <f t="shared" si="751"/>
        <v>47.454500000000003</v>
      </c>
      <c r="P216" s="8">
        <f t="shared" si="1130"/>
        <v>47.152028571428573</v>
      </c>
      <c r="Q216" s="8">
        <f t="shared" si="752"/>
        <v>65.701300000000003</v>
      </c>
      <c r="R216" s="6">
        <f t="shared" si="753"/>
        <v>22.998699999999996</v>
      </c>
      <c r="S216" s="6">
        <f t="shared" si="684"/>
        <v>6.2090000000000005</v>
      </c>
      <c r="T216" s="6">
        <f t="shared" ref="T216" si="1223">I216-I215</f>
        <v>-0.82965000000000799</v>
      </c>
      <c r="U216" s="6">
        <f t="shared" ref="U216" si="1224">N216-N215</f>
        <v>0.73864999999999981</v>
      </c>
      <c r="V216" s="6">
        <f t="shared" ref="V216" si="1225">E216-E215</f>
        <v>0.75</v>
      </c>
      <c r="W216" s="9">
        <f>Tabla1[[#This Row],[Protein]]/Tabla1[[#This Row],[Peso (Kg)]]</f>
        <v>0.25928635851183762</v>
      </c>
      <c r="X216" s="9">
        <f t="shared" si="1134"/>
        <v>0.26493956245240252</v>
      </c>
      <c r="Y216" s="6">
        <f t="shared" si="842"/>
        <v>41.2455</v>
      </c>
      <c r="Z216" s="6">
        <f t="shared" si="1135"/>
        <v>88.228571428571442</v>
      </c>
      <c r="AA216" s="6">
        <f t="shared" ref="AA216" si="1226">AVERAGE(N210:N216)</f>
        <v>14.017200000000001</v>
      </c>
      <c r="AB216" s="6">
        <f t="shared" ref="AB216" si="1227">AVERAGE(R210:R216)</f>
        <v>23.373628571428565</v>
      </c>
      <c r="AC216" s="6">
        <f t="shared" ref="AC216" si="1228">100*(AB216/AB215-1)</f>
        <v>-0.3171152685061851</v>
      </c>
      <c r="AD216" s="42">
        <f>Tabla1[[#This Row],[Avg Agua)]]/Tabla1[[#This Row],[Avg Musculo]]</f>
        <v>2.0173174407788026</v>
      </c>
    </row>
    <row r="217" spans="1:31" x14ac:dyDescent="0.3">
      <c r="A217">
        <v>6</v>
      </c>
      <c r="B217">
        <v>10</v>
      </c>
      <c r="C217" t="s">
        <v>22</v>
      </c>
      <c r="D217" s="4">
        <v>45358</v>
      </c>
      <c r="E217" s="6">
        <v>89.05</v>
      </c>
      <c r="F217" s="7">
        <f t="shared" si="85"/>
        <v>25.19522408329561</v>
      </c>
      <c r="G217" s="9">
        <v>0.161</v>
      </c>
      <c r="H217" s="6">
        <f t="shared" si="291"/>
        <v>74.712949999999992</v>
      </c>
      <c r="I217" s="6">
        <f t="shared" si="644"/>
        <v>23.282149999999991</v>
      </c>
      <c r="J217">
        <v>3.7</v>
      </c>
      <c r="K217" s="5">
        <v>7.0000000000000007E-2</v>
      </c>
      <c r="L217" s="17">
        <v>2159</v>
      </c>
      <c r="M217" s="5">
        <v>0.53600000000000003</v>
      </c>
      <c r="N217" s="6">
        <f t="shared" si="304"/>
        <v>14.33705</v>
      </c>
      <c r="O217" s="21">
        <f t="shared" si="751"/>
        <v>47.730800000000002</v>
      </c>
      <c r="P217" s="8">
        <f t="shared" si="1130"/>
        <v>47.18917142857142</v>
      </c>
      <c r="Q217" s="8">
        <f t="shared" si="752"/>
        <v>65.76785000000001</v>
      </c>
      <c r="R217" s="6">
        <f t="shared" si="753"/>
        <v>23.282149999999991</v>
      </c>
      <c r="S217" s="6">
        <f t="shared" si="684"/>
        <v>6.2335000000000003</v>
      </c>
      <c r="T217" s="6">
        <f t="shared" ref="T217" si="1229">I217-I216</f>
        <v>0.28344999999999487</v>
      </c>
      <c r="U217" s="6">
        <f t="shared" ref="U217" si="1230">N217-N216</f>
        <v>-0.20975000000000144</v>
      </c>
      <c r="V217" s="6">
        <f t="shared" ref="V217" si="1231">E217-E216</f>
        <v>0.34999999999999432</v>
      </c>
      <c r="W217" s="9">
        <f>Tabla1[[#This Row],[Protein]]/Tabla1[[#This Row],[Peso (Kg)]]</f>
        <v>0.2614503088152722</v>
      </c>
      <c r="X217" s="9">
        <f t="shared" si="1134"/>
        <v>0.26498320708599993</v>
      </c>
      <c r="Y217" s="6">
        <f t="shared" si="842"/>
        <v>41.319199999999995</v>
      </c>
      <c r="Z217" s="6">
        <f t="shared" si="1135"/>
        <v>88.321428571428555</v>
      </c>
      <c r="AA217" s="6">
        <f t="shared" ref="AA217" si="1232">AVERAGE(N211:N217)</f>
        <v>14.044778571428571</v>
      </c>
      <c r="AB217" s="6">
        <f t="shared" ref="AB217" si="1233">AVERAGE(R211:R217)</f>
        <v>23.401764285714282</v>
      </c>
      <c r="AC217" s="6">
        <f t="shared" ref="AC217" si="1234">100*(AB217/AB216-1)</f>
        <v>0.12037375454878596</v>
      </c>
      <c r="AD217" s="42">
        <f>Tabla1[[#This Row],[Avg Agua)]]/Tabla1[[#This Row],[Avg Musculo]]</f>
        <v>2.0164792214994778</v>
      </c>
    </row>
    <row r="218" spans="1:31" x14ac:dyDescent="0.3">
      <c r="A218">
        <v>6</v>
      </c>
      <c r="B218">
        <v>10</v>
      </c>
      <c r="C218" t="s">
        <v>20</v>
      </c>
      <c r="D218" s="4">
        <v>45359</v>
      </c>
      <c r="E218" s="6">
        <v>88.15</v>
      </c>
      <c r="F218" s="7">
        <f t="shared" si="85"/>
        <v>24.940583974649165</v>
      </c>
      <c r="G218" s="9">
        <v>0.16</v>
      </c>
      <c r="H218" s="6">
        <f t="shared" si="291"/>
        <v>74.046000000000006</v>
      </c>
      <c r="I218" s="6">
        <f t="shared" si="644"/>
        <v>23.626500000000004</v>
      </c>
      <c r="J218">
        <v>3.7</v>
      </c>
      <c r="K218" s="5">
        <v>7.0000000000000007E-2</v>
      </c>
      <c r="L218" s="17">
        <v>2139</v>
      </c>
      <c r="M218" s="5">
        <v>0.53</v>
      </c>
      <c r="N218" s="6">
        <f t="shared" si="304"/>
        <v>14.104000000000001</v>
      </c>
      <c r="O218" s="21">
        <f t="shared" si="751"/>
        <v>46.719500000000004</v>
      </c>
      <c r="P218" s="8">
        <f t="shared" si="1130"/>
        <v>47.137671428571423</v>
      </c>
      <c r="Q218" s="8">
        <f t="shared" si="752"/>
        <v>64.523499999999999</v>
      </c>
      <c r="R218" s="6">
        <f t="shared" si="753"/>
        <v>23.626500000000004</v>
      </c>
      <c r="S218" s="6">
        <f t="shared" si="684"/>
        <v>6.1705000000000014</v>
      </c>
      <c r="T218" s="6">
        <f t="shared" ref="T218" si="1235">I218-I217</f>
        <v>0.34435000000001281</v>
      </c>
      <c r="U218" s="6">
        <f t="shared" ref="U218" si="1236">N218-N217</f>
        <v>-0.23304999999999865</v>
      </c>
      <c r="V218" s="6">
        <f t="shared" ref="V218" si="1237">E218-E217</f>
        <v>-0.89999999999999147</v>
      </c>
      <c r="W218" s="9">
        <f>Tabla1[[#This Row],[Protein]]/Tabla1[[#This Row],[Peso (Kg)]]</f>
        <v>0.26802609188882587</v>
      </c>
      <c r="X218" s="9">
        <f t="shared" si="1134"/>
        <v>0.26485057086232561</v>
      </c>
      <c r="Y218" s="6">
        <f t="shared" si="842"/>
        <v>41.430500000000009</v>
      </c>
      <c r="Z218" s="6">
        <f t="shared" si="1135"/>
        <v>88.342857142857127</v>
      </c>
      <c r="AA218" s="6">
        <f t="shared" ref="AA218" si="1238">AVERAGE(N212:N218)</f>
        <v>14.123635714285715</v>
      </c>
      <c r="AB218" s="6">
        <f t="shared" ref="AB218" si="1239">AVERAGE(R212:R218)</f>
        <v>23.39583571428571</v>
      </c>
      <c r="AC218" s="6">
        <f t="shared" ref="AC218" si="1240">100*(AB218/AB217-1)</f>
        <v>-2.5333865242771481E-2</v>
      </c>
      <c r="AD218" s="42">
        <f>Tabla1[[#This Row],[Avg Agua)]]/Tabla1[[#This Row],[Avg Musculo]]</f>
        <v>2.0147889566427728</v>
      </c>
    </row>
    <row r="219" spans="1:31" x14ac:dyDescent="0.3">
      <c r="A219">
        <v>6</v>
      </c>
      <c r="B219">
        <v>10</v>
      </c>
      <c r="C219" t="s">
        <v>25</v>
      </c>
      <c r="D219" s="4">
        <v>45360</v>
      </c>
      <c r="E219" s="6">
        <v>87.85</v>
      </c>
      <c r="F219" s="7">
        <f t="shared" si="85"/>
        <v>24.855703938433681</v>
      </c>
      <c r="G219" s="9">
        <v>0.155</v>
      </c>
      <c r="H219" s="6">
        <f t="shared" si="291"/>
        <v>74.233249999999998</v>
      </c>
      <c r="I219" s="6">
        <f t="shared" si="644"/>
        <v>24.236299999999996</v>
      </c>
      <c r="J219">
        <v>3.7</v>
      </c>
      <c r="K219" s="5">
        <v>7.0000000000000007E-2</v>
      </c>
      <c r="L219" s="17">
        <v>2142</v>
      </c>
      <c r="M219" s="5">
        <v>0.52700000000000002</v>
      </c>
      <c r="N219" s="6">
        <f t="shared" si="304"/>
        <v>13.61675</v>
      </c>
      <c r="O219" s="21">
        <f t="shared" si="751"/>
        <v>46.296950000000002</v>
      </c>
      <c r="P219" s="8">
        <f t="shared" si="1130"/>
        <v>47.037271428571422</v>
      </c>
      <c r="Q219" s="8">
        <f t="shared" si="752"/>
        <v>63.613699999999994</v>
      </c>
      <c r="R219" s="6">
        <f t="shared" si="753"/>
        <v>24.236299999999996</v>
      </c>
      <c r="S219" s="6">
        <f t="shared" si="684"/>
        <v>6.1494999999999997</v>
      </c>
      <c r="T219" s="6">
        <f t="shared" ref="T219" si="1241">I219-I218</f>
        <v>0.60979999999999279</v>
      </c>
      <c r="U219" s="6">
        <f t="shared" ref="U219" si="1242">N219-N218</f>
        <v>-0.48725000000000129</v>
      </c>
      <c r="V219" s="6">
        <f t="shared" ref="V219" si="1243">E219-E218</f>
        <v>-0.30000000000001137</v>
      </c>
      <c r="W219" s="9">
        <f>Tabla1[[#This Row],[Protein]]/Tabla1[[#This Row],[Peso (Kg)]]</f>
        <v>0.27588275469550366</v>
      </c>
      <c r="X219" s="9">
        <f t="shared" si="1134"/>
        <v>0.26599342800518277</v>
      </c>
      <c r="Y219" s="6">
        <f t="shared" si="842"/>
        <v>41.553049999999999</v>
      </c>
      <c r="Z219" s="6">
        <f t="shared" si="1135"/>
        <v>88.342857142857142</v>
      </c>
      <c r="AA219" s="6">
        <f t="shared" ref="AA219" si="1244">AVERAGE(N213:N219)</f>
        <v>14.123635714285715</v>
      </c>
      <c r="AB219" s="6">
        <f t="shared" ref="AB219" si="1245">AVERAGE(R213:R219)</f>
        <v>23.49623571428571</v>
      </c>
      <c r="AC219" s="6">
        <f t="shared" ref="AC219" si="1246">100*(AB219/AB218-1)</f>
        <v>0.42913619853595097</v>
      </c>
      <c r="AD219" s="42">
        <f>Tabla1[[#This Row],[Avg Agua)]]/Tabla1[[#This Row],[Avg Musculo]]</f>
        <v>2.0019066883965912</v>
      </c>
    </row>
    <row r="220" spans="1:31" x14ac:dyDescent="0.3">
      <c r="A220">
        <v>6</v>
      </c>
      <c r="B220">
        <v>10</v>
      </c>
      <c r="C220" t="s">
        <v>26</v>
      </c>
      <c r="D220" s="4">
        <v>45361</v>
      </c>
      <c r="E220" s="6">
        <v>87.8</v>
      </c>
      <c r="F220" s="7">
        <f t="shared" si="85"/>
        <v>24.841557265731101</v>
      </c>
      <c r="G220" s="9">
        <v>0.154</v>
      </c>
      <c r="H220" s="6">
        <f t="shared" si="291"/>
        <v>74.278800000000004</v>
      </c>
      <c r="I220" s="6">
        <f t="shared" si="644"/>
        <v>23.957000000000004</v>
      </c>
      <c r="J220">
        <v>3.7</v>
      </c>
      <c r="K220" s="5">
        <v>7.0000000000000007E-2</v>
      </c>
      <c r="L220" s="17">
        <v>2144</v>
      </c>
      <c r="M220" s="5">
        <v>0.53100000000000003</v>
      </c>
      <c r="N220" s="6">
        <f t="shared" si="304"/>
        <v>13.521199999999999</v>
      </c>
      <c r="O220" s="21">
        <f t="shared" si="751"/>
        <v>46.6218</v>
      </c>
      <c r="P220" s="8">
        <f t="shared" si="1130"/>
        <v>46.983278571428578</v>
      </c>
      <c r="Q220" s="8">
        <f t="shared" si="752"/>
        <v>63.842999999999989</v>
      </c>
      <c r="R220" s="6">
        <f t="shared" si="753"/>
        <v>23.957000000000004</v>
      </c>
      <c r="S220" s="6">
        <f t="shared" si="684"/>
        <v>6.1460000000000008</v>
      </c>
      <c r="T220" s="6">
        <f t="shared" ref="T220" si="1247">I220-I219</f>
        <v>-0.27929999999999211</v>
      </c>
      <c r="U220" s="6">
        <f t="shared" ref="U220" si="1248">N220-N219</f>
        <v>-9.5550000000001134E-2</v>
      </c>
      <c r="V220" s="6">
        <f t="shared" ref="V220" si="1249">E220-E219</f>
        <v>-4.9999999999997158E-2</v>
      </c>
      <c r="W220" s="9">
        <f>Tabla1[[#This Row],[Protein]]/Tabla1[[#This Row],[Peso (Kg)]]</f>
        <v>0.27285876993166291</v>
      </c>
      <c r="X220" s="9">
        <f t="shared" si="1134"/>
        <v>0.26682738676361289</v>
      </c>
      <c r="Y220" s="6">
        <f t="shared" si="842"/>
        <v>41.178200000000004</v>
      </c>
      <c r="Z220" s="6">
        <f t="shared" si="1135"/>
        <v>88.335714285714289</v>
      </c>
      <c r="AA220" s="6">
        <f t="shared" ref="AA220" si="1250">AVERAGE(N214:N220)</f>
        <v>14.084885714285715</v>
      </c>
      <c r="AB220" s="6">
        <f t="shared" ref="AB220" si="1251">AVERAGE(R214:R220)</f>
        <v>23.567549999999994</v>
      </c>
      <c r="AC220" s="6">
        <f t="shared" ref="AC220" si="1252">100*(AB220/AB219-1)</f>
        <v>0.30351366313083883</v>
      </c>
      <c r="AD220" s="42">
        <f>Tabla1[[#This Row],[Avg Agua)]]/Tabla1[[#This Row],[Avg Musculo]]</f>
        <v>1.9935580309123599</v>
      </c>
    </row>
    <row r="221" spans="1:31" x14ac:dyDescent="0.3">
      <c r="A221">
        <v>6</v>
      </c>
      <c r="B221">
        <v>11</v>
      </c>
      <c r="C221" t="s">
        <v>21</v>
      </c>
      <c r="D221" s="4">
        <v>45362</v>
      </c>
      <c r="E221" s="6">
        <v>88.15</v>
      </c>
      <c r="F221" s="7">
        <f t="shared" si="85"/>
        <v>24.940583974649165</v>
      </c>
      <c r="G221" s="9">
        <v>0.16</v>
      </c>
      <c r="H221" s="6">
        <f t="shared" si="291"/>
        <v>74.046000000000006</v>
      </c>
      <c r="I221" s="6">
        <f t="shared" si="644"/>
        <v>23.197600000000001</v>
      </c>
      <c r="J221">
        <v>3.6</v>
      </c>
      <c r="K221" s="5">
        <v>7.0000000000000007E-2</v>
      </c>
      <c r="L221" s="17">
        <v>2139</v>
      </c>
      <c r="M221" s="5">
        <v>0.53600000000000003</v>
      </c>
      <c r="N221" s="6">
        <f t="shared" si="304"/>
        <v>14.104000000000001</v>
      </c>
      <c r="O221" s="21">
        <f t="shared" si="751"/>
        <v>47.248400000000004</v>
      </c>
      <c r="P221" s="8">
        <f t="shared" si="1130"/>
        <v>46.955064285714293</v>
      </c>
      <c r="Q221" s="8">
        <f t="shared" si="752"/>
        <v>64.952400000000011</v>
      </c>
      <c r="R221" s="6">
        <f t="shared" si="753"/>
        <v>23.197600000000001</v>
      </c>
      <c r="S221" s="6">
        <f t="shared" si="684"/>
        <v>6.1705000000000014</v>
      </c>
      <c r="T221" s="6">
        <f t="shared" ref="T221" si="1253">I221-I220</f>
        <v>-0.75940000000000296</v>
      </c>
      <c r="U221" s="6">
        <f t="shared" ref="U221" si="1254">N221-N220</f>
        <v>0.58280000000000243</v>
      </c>
      <c r="V221" s="6">
        <f t="shared" ref="V221" si="1255">E221-E220</f>
        <v>0.35000000000000853</v>
      </c>
      <c r="W221" s="9">
        <f>Tabla1[[#This Row],[Protein]]/Tabla1[[#This Row],[Peso (Kg)]]</f>
        <v>0.2631605218377765</v>
      </c>
      <c r="X221" s="9">
        <f t="shared" si="1134"/>
        <v>0.26737077829876277</v>
      </c>
      <c r="Y221" s="6">
        <f t="shared" si="842"/>
        <v>40.901600000000002</v>
      </c>
      <c r="Z221" s="6">
        <f t="shared" si="1135"/>
        <v>88.23571428571428</v>
      </c>
      <c r="AA221" s="6">
        <f t="shared" ref="AA221" si="1256">AVERAGE(N215:N221)</f>
        <v>14.005421428571427</v>
      </c>
      <c r="AB221" s="6">
        <f t="shared" ref="AB221" si="1257">AVERAGE(R215:R221)</f>
        <v>23.589514285714284</v>
      </c>
      <c r="AC221" s="6">
        <f t="shared" ref="AC221" si="1258">100*(AB221/AB220-1)</f>
        <v>9.3197153349788842E-2</v>
      </c>
      <c r="AD221" s="42">
        <f>Tabla1[[#This Row],[Avg Agua)]]/Tabla1[[#This Row],[Avg Musculo]]</f>
        <v>1.9905057695126047</v>
      </c>
    </row>
    <row r="222" spans="1:31" x14ac:dyDescent="0.3">
      <c r="A222">
        <v>6</v>
      </c>
      <c r="B222">
        <v>11</v>
      </c>
      <c r="C222" t="s">
        <v>20</v>
      </c>
      <c r="D222" s="4">
        <v>45366</v>
      </c>
      <c r="E222" s="6">
        <v>88.2</v>
      </c>
      <c r="F222" s="7">
        <f t="shared" si="85"/>
        <v>24.954730647351745</v>
      </c>
      <c r="G222" s="9">
        <v>0.161</v>
      </c>
      <c r="H222" s="6">
        <f t="shared" si="291"/>
        <v>73.999800000000008</v>
      </c>
      <c r="I222" s="6">
        <f t="shared" si="644"/>
        <v>22.86</v>
      </c>
      <c r="J222">
        <v>3.6</v>
      </c>
      <c r="K222" s="5">
        <v>7.0000000000000007E-2</v>
      </c>
      <c r="L222" s="17">
        <v>2138</v>
      </c>
      <c r="M222" s="5">
        <v>0.53900000000000003</v>
      </c>
      <c r="N222" s="6">
        <f t="shared" si="304"/>
        <v>14.200200000000001</v>
      </c>
      <c r="O222" s="21">
        <f t="shared" si="751"/>
        <v>47.539800000000007</v>
      </c>
      <c r="P222" s="8">
        <f t="shared" si="1130"/>
        <v>47.087392857142859</v>
      </c>
      <c r="Q222" s="8">
        <f t="shared" si="752"/>
        <v>65.34</v>
      </c>
      <c r="R222" s="6">
        <f t="shared" si="753"/>
        <v>22.86</v>
      </c>
      <c r="S222" s="6">
        <f t="shared" si="684"/>
        <v>6.1740000000000004</v>
      </c>
      <c r="T222" s="6">
        <f t="shared" ref="T222" si="1259">I222-I221</f>
        <v>-0.3376000000000019</v>
      </c>
      <c r="U222" s="6">
        <f t="shared" ref="U222" si="1260">N222-N221</f>
        <v>9.6199999999999619E-2</v>
      </c>
      <c r="V222" s="6">
        <f t="shared" ref="V222" si="1261">E222-E221</f>
        <v>4.9999999999997158E-2</v>
      </c>
      <c r="W222" s="9">
        <f>Tabla1[[#This Row],[Protein]]/Tabla1[[#This Row],[Peso (Kg)]]</f>
        <v>0.25918367346938775</v>
      </c>
      <c r="X222" s="9">
        <f t="shared" si="1134"/>
        <v>0.26569263987860953</v>
      </c>
      <c r="Y222" s="6">
        <f t="shared" si="842"/>
        <v>40.660200000000003</v>
      </c>
      <c r="Z222" s="6">
        <f t="shared" si="1135"/>
        <v>88.271428571428586</v>
      </c>
      <c r="AA222" s="6">
        <f t="shared" ref="AA222" si="1262">AVERAGE(N216:N222)</f>
        <v>14.06142857142857</v>
      </c>
      <c r="AB222" s="6">
        <f t="shared" ref="AB222" si="1263">AVERAGE(R216:R222)</f>
        <v>23.451178571428574</v>
      </c>
      <c r="AC222" s="6">
        <f t="shared" ref="AC222" si="1264">100*(AB222/AB221-1)</f>
        <v>-0.58642883702563209</v>
      </c>
      <c r="AD222" s="42">
        <f>Tabla1[[#This Row],[Avg Agua)]]/Tabla1[[#This Row],[Avg Musculo]]</f>
        <v>2.0078902522413582</v>
      </c>
      <c r="AE222" t="s">
        <v>55</v>
      </c>
    </row>
    <row r="223" spans="1:31" x14ac:dyDescent="0.3">
      <c r="A223">
        <v>6</v>
      </c>
      <c r="B223">
        <v>11</v>
      </c>
      <c r="C223" t="s">
        <v>25</v>
      </c>
      <c r="D223" s="4">
        <v>45367</v>
      </c>
      <c r="E223" s="6">
        <v>88.25</v>
      </c>
      <c r="F223" s="7">
        <f t="shared" si="85"/>
        <v>24.968877320054325</v>
      </c>
      <c r="G223" s="9">
        <v>0.159</v>
      </c>
      <c r="H223" s="6">
        <f t="shared" si="291"/>
        <v>74.218249999999998</v>
      </c>
      <c r="I223" s="6">
        <f t="shared" si="644"/>
        <v>23.216249999999999</v>
      </c>
      <c r="J223">
        <v>3.7</v>
      </c>
      <c r="K223" s="5">
        <v>7.0000000000000007E-2</v>
      </c>
      <c r="L223" s="17">
        <v>2143</v>
      </c>
      <c r="M223" s="5">
        <v>0.53600000000000003</v>
      </c>
      <c r="N223" s="6">
        <f t="shared" si="304"/>
        <v>14.031750000000001</v>
      </c>
      <c r="O223" s="21">
        <f t="shared" si="751"/>
        <v>47.302</v>
      </c>
      <c r="P223" s="8">
        <f t="shared" si="1130"/>
        <v>47.065607142857154</v>
      </c>
      <c r="Q223" s="8">
        <f t="shared" si="752"/>
        <v>65.033749999999998</v>
      </c>
      <c r="R223" s="6">
        <f t="shared" si="753"/>
        <v>23.216249999999999</v>
      </c>
      <c r="S223" s="6">
        <f t="shared" si="684"/>
        <v>6.1775000000000002</v>
      </c>
      <c r="T223" s="6">
        <f t="shared" ref="T223" si="1265">I223-I222</f>
        <v>0.35624999999999929</v>
      </c>
      <c r="U223" s="6">
        <f t="shared" ref="U223" si="1266">N223-N222</f>
        <v>-0.16844999999999999</v>
      </c>
      <c r="V223" s="6">
        <f t="shared" ref="V223" si="1267">E223-E222</f>
        <v>4.9999999999997158E-2</v>
      </c>
      <c r="W223" s="9">
        <f>Tabla1[[#This Row],[Protein]]/Tabla1[[#This Row],[Peso (Kg)]]</f>
        <v>0.26307365439093483</v>
      </c>
      <c r="X223" s="9">
        <f t="shared" si="1134"/>
        <v>0.26623368214705195</v>
      </c>
      <c r="Y223" s="6">
        <f t="shared" si="842"/>
        <v>40.948</v>
      </c>
      <c r="Z223" s="6">
        <f t="shared" si="1135"/>
        <v>88.20714285714287</v>
      </c>
      <c r="AA223" s="6">
        <f t="shared" ref="AA223" si="1268">AVERAGE(N217:N223)</f>
        <v>13.98785</v>
      </c>
      <c r="AB223" s="6">
        <f t="shared" ref="AB223" si="1269">AVERAGE(R217:R223)</f>
        <v>23.482257142857147</v>
      </c>
      <c r="AC223" s="6">
        <f t="shared" ref="AC223" si="1270">100*(AB223/AB222-1)</f>
        <v>0.13252456090389053</v>
      </c>
      <c r="AD223" s="42">
        <f>Tabla1[[#This Row],[Avg Agua)]]/Tabla1[[#This Row],[Avg Musculo]]</f>
        <v>2.0043050741045825</v>
      </c>
    </row>
    <row r="224" spans="1:31" x14ac:dyDescent="0.3">
      <c r="A224">
        <v>6</v>
      </c>
      <c r="B224">
        <v>11</v>
      </c>
      <c r="C224" t="s">
        <v>26</v>
      </c>
      <c r="D224" s="4">
        <v>45368</v>
      </c>
      <c r="E224" s="6">
        <v>87.95</v>
      </c>
      <c r="F224" s="7">
        <f t="shared" si="85"/>
        <v>24.883997283838845</v>
      </c>
      <c r="G224" s="9">
        <v>0.161</v>
      </c>
      <c r="H224" s="6">
        <f t="shared" si="291"/>
        <v>73.790050000000008</v>
      </c>
      <c r="I224" s="6">
        <f t="shared" si="644"/>
        <v>23.312700000000014</v>
      </c>
      <c r="J224">
        <v>3.6</v>
      </c>
      <c r="K224" s="5">
        <v>7.0000000000000007E-2</v>
      </c>
      <c r="L224" s="17">
        <v>2131</v>
      </c>
      <c r="M224" s="5">
        <v>0.53299999999999992</v>
      </c>
      <c r="N224" s="6">
        <f t="shared" si="304"/>
        <v>14.15995</v>
      </c>
      <c r="O224" s="21">
        <f t="shared" si="751"/>
        <v>46.877349999999993</v>
      </c>
      <c r="P224" s="8">
        <f t="shared" si="1130"/>
        <v>46.943685714285714</v>
      </c>
      <c r="Q224" s="8">
        <f t="shared" si="752"/>
        <v>64.637299999999982</v>
      </c>
      <c r="R224" s="6">
        <f t="shared" si="753"/>
        <v>23.312700000000014</v>
      </c>
      <c r="S224" s="6">
        <f t="shared" si="684"/>
        <v>6.1565000000000012</v>
      </c>
      <c r="T224" s="6">
        <f t="shared" ref="T224" si="1271">I224-I223</f>
        <v>9.6450000000015024E-2</v>
      </c>
      <c r="U224" s="6">
        <f t="shared" ref="U224" si="1272">N224-N223</f>
        <v>0.12819999999999965</v>
      </c>
      <c r="V224" s="6">
        <f t="shared" ref="V224" si="1273">E224-E223</f>
        <v>-0.29999999999999716</v>
      </c>
      <c r="W224" s="9">
        <f>Tabla1[[#This Row],[Protein]]/Tabla1[[#This Row],[Peso (Kg)]]</f>
        <v>0.26506765207504279</v>
      </c>
      <c r="X224" s="9">
        <f t="shared" si="1134"/>
        <v>0.26675044546987636</v>
      </c>
      <c r="Y224" s="6">
        <f t="shared" si="842"/>
        <v>41.072650000000017</v>
      </c>
      <c r="Z224" s="6">
        <f t="shared" si="1135"/>
        <v>88.050000000000026</v>
      </c>
      <c r="AA224" s="6">
        <f t="shared" ref="AA224" si="1274">AVERAGE(N218:N224)</f>
        <v>13.962549999999998</v>
      </c>
      <c r="AB224" s="6">
        <f t="shared" ref="AB224" si="1275">AVERAGE(R218:R224)</f>
        <v>23.486621428571429</v>
      </c>
      <c r="AC224" s="6">
        <f t="shared" ref="AC224" si="1276">100*(AB224/AB223-1)</f>
        <v>1.8585460876829885E-2</v>
      </c>
      <c r="AD224" s="42">
        <f>Tabla1[[#This Row],[Avg Agua)]]/Tabla1[[#This Row],[Avg Musculo]]</f>
        <v>1.9987415327935933</v>
      </c>
      <c r="AE224" t="s">
        <v>56</v>
      </c>
    </row>
    <row r="225" spans="1:31" x14ac:dyDescent="0.3">
      <c r="A225">
        <v>7</v>
      </c>
      <c r="B225">
        <v>12</v>
      </c>
      <c r="C225" t="s">
        <v>21</v>
      </c>
      <c r="D225" s="4">
        <v>45369</v>
      </c>
      <c r="E225" s="6">
        <v>89.1</v>
      </c>
      <c r="F225" s="7">
        <f t="shared" si="85"/>
        <v>25.20937075599819</v>
      </c>
      <c r="G225" s="9">
        <v>0.161</v>
      </c>
      <c r="H225" s="6">
        <f t="shared" si="291"/>
        <v>74.754899999999992</v>
      </c>
      <c r="I225" s="6">
        <f t="shared" si="644"/>
        <v>23.475499999999993</v>
      </c>
      <c r="J225">
        <v>3.7</v>
      </c>
      <c r="K225" s="5">
        <v>7.0000000000000007E-2</v>
      </c>
      <c r="L225" s="17">
        <v>2162</v>
      </c>
      <c r="M225" s="5">
        <v>0.53400000000000003</v>
      </c>
      <c r="N225" s="6">
        <f t="shared" si="304"/>
        <v>14.345099999999999</v>
      </c>
      <c r="O225" s="21">
        <f t="shared" si="751"/>
        <v>47.5794</v>
      </c>
      <c r="P225" s="8">
        <f t="shared" si="1130"/>
        <v>47.066528571428577</v>
      </c>
      <c r="Q225" s="8">
        <f t="shared" si="752"/>
        <v>65.624499999999998</v>
      </c>
      <c r="R225" s="6">
        <f t="shared" si="753"/>
        <v>23.475499999999993</v>
      </c>
      <c r="S225" s="6">
        <f t="shared" si="684"/>
        <v>6.2370000000000001</v>
      </c>
      <c r="T225" s="6">
        <f t="shared" ref="T225" si="1277">I225-I224</f>
        <v>0.16279999999997941</v>
      </c>
      <c r="U225" s="6">
        <f t="shared" ref="U225" si="1278">N225-N224</f>
        <v>0.18514999999999837</v>
      </c>
      <c r="V225" s="6">
        <f t="shared" ref="V225" si="1279">E225-E224</f>
        <v>1.1499999999999915</v>
      </c>
      <c r="W225" s="9">
        <f>Tabla1[[#This Row],[Protein]]/Tabla1[[#This Row],[Peso (Kg)]]</f>
        <v>0.26347362514029177</v>
      </c>
      <c r="X225" s="9">
        <f t="shared" si="1134"/>
        <v>0.26610009307722865</v>
      </c>
      <c r="Y225" s="6">
        <f t="shared" si="842"/>
        <v>41.520599999999995</v>
      </c>
      <c r="Z225" s="6">
        <f t="shared" si="1135"/>
        <v>88.185714285714283</v>
      </c>
      <c r="AA225" s="6">
        <f t="shared" ref="AA225" si="1280">AVERAGE(N219:N225)</f>
        <v>13.996992857142857</v>
      </c>
      <c r="AB225" s="6">
        <f t="shared" ref="AB225" si="1281">AVERAGE(R219:R225)</f>
        <v>23.465049999999998</v>
      </c>
      <c r="AC225" s="6">
        <f t="shared" ref="AC225:AC226" si="1282">100*(AB225/AB224-1)</f>
        <v>-9.1845600854234544E-2</v>
      </c>
      <c r="AD225" s="42">
        <f>Tabla1[[#This Row],[Avg Agua)]]/Tabla1[[#This Row],[Avg Musculo]]</f>
        <v>2.005814118078955</v>
      </c>
    </row>
    <row r="226" spans="1:31" x14ac:dyDescent="0.3">
      <c r="A226">
        <v>7</v>
      </c>
      <c r="B226">
        <v>12</v>
      </c>
      <c r="C226" t="s">
        <v>23</v>
      </c>
      <c r="D226" s="4">
        <v>45370</v>
      </c>
      <c r="E226" s="6">
        <v>87.7</v>
      </c>
      <c r="F226" s="7">
        <f t="shared" si="85"/>
        <v>24.813263920325941</v>
      </c>
      <c r="G226" s="9">
        <v>0.158</v>
      </c>
      <c r="H226" s="6">
        <f t="shared" si="291"/>
        <v>73.843400000000003</v>
      </c>
      <c r="I226" s="6">
        <f t="shared" si="644"/>
        <v>23.674699999999994</v>
      </c>
      <c r="J226">
        <v>3.6</v>
      </c>
      <c r="K226" s="5">
        <v>7.0000000000000007E-2</v>
      </c>
      <c r="L226" s="17">
        <v>2131</v>
      </c>
      <c r="M226" s="5">
        <v>0.53100000000000003</v>
      </c>
      <c r="N226" s="6">
        <f t="shared" si="304"/>
        <v>13.8566</v>
      </c>
      <c r="O226" s="21">
        <f t="shared" si="751"/>
        <v>46.568700000000007</v>
      </c>
      <c r="P226" s="8">
        <f t="shared" si="1130"/>
        <v>47.105350000000008</v>
      </c>
      <c r="Q226" s="8">
        <f t="shared" si="752"/>
        <v>64.025300000000016</v>
      </c>
      <c r="R226" s="6">
        <f t="shared" si="753"/>
        <v>23.674699999999994</v>
      </c>
      <c r="S226" s="6">
        <f t="shared" si="684"/>
        <v>6.1390000000000011</v>
      </c>
      <c r="T226" s="6">
        <f t="shared" ref="T226" si="1283">I226-I225</f>
        <v>0.19920000000000115</v>
      </c>
      <c r="U226" s="6">
        <f t="shared" ref="U226" si="1284">N226-N225</f>
        <v>-0.48849999999999838</v>
      </c>
      <c r="V226" s="6">
        <f t="shared" ref="V226" si="1285">E226-E225</f>
        <v>-1.3999999999999915</v>
      </c>
      <c r="W226" s="9">
        <f>Tabla1[[#This Row],[Protein]]/Tabla1[[#This Row],[Peso (Kg)]]</f>
        <v>0.26995096921322681</v>
      </c>
      <c r="X226" s="9">
        <f t="shared" si="1134"/>
        <v>0.26525269515118904</v>
      </c>
      <c r="Y226" s="6">
        <f t="shared" si="842"/>
        <v>41.131299999999996</v>
      </c>
      <c r="Z226" s="6">
        <f t="shared" si="1135"/>
        <v>88.164285714285711</v>
      </c>
      <c r="AA226" s="6">
        <f t="shared" ref="AA226" si="1286">AVERAGE(N220:N226)</f>
        <v>14.031257142857143</v>
      </c>
      <c r="AB226" s="6">
        <f t="shared" ref="AB226" si="1287">AVERAGE(R220:R226)</f>
        <v>23.384821428571428</v>
      </c>
      <c r="AC226" s="6">
        <f t="shared" si="1282"/>
        <v>-0.34190667153306542</v>
      </c>
      <c r="AD226" s="42">
        <f>Tabla1[[#This Row],[Avg Agua)]]/Tabla1[[#This Row],[Avg Musculo]]</f>
        <v>2.0143557710663971</v>
      </c>
    </row>
    <row r="227" spans="1:31" x14ac:dyDescent="0.3">
      <c r="A227">
        <v>7</v>
      </c>
      <c r="B227">
        <v>12</v>
      </c>
      <c r="C227" t="s">
        <v>24</v>
      </c>
      <c r="D227" s="4">
        <v>45371</v>
      </c>
      <c r="E227" s="6">
        <v>87.6</v>
      </c>
      <c r="F227" s="7">
        <f t="shared" si="85"/>
        <v>24.784970574920777</v>
      </c>
      <c r="G227" s="9">
        <v>0.155</v>
      </c>
      <c r="H227" s="6">
        <f t="shared" si="291"/>
        <v>74.021999999999991</v>
      </c>
      <c r="I227" s="6">
        <f t="shared" si="644"/>
        <v>23.906399999999991</v>
      </c>
      <c r="J227">
        <v>3.6</v>
      </c>
      <c r="K227" s="5">
        <v>7.0000000000000007E-2</v>
      </c>
      <c r="L227" s="17">
        <v>2136</v>
      </c>
      <c r="M227" s="5">
        <v>0.53100000000000003</v>
      </c>
      <c r="N227" s="6">
        <f t="shared" si="304"/>
        <v>13.577999999999999</v>
      </c>
      <c r="O227" s="21">
        <f t="shared" si="751"/>
        <v>46.515599999999999</v>
      </c>
      <c r="P227" s="8">
        <f t="shared" si="1130"/>
        <v>47.090178571428574</v>
      </c>
      <c r="Q227" s="8">
        <f t="shared" si="752"/>
        <v>63.693600000000004</v>
      </c>
      <c r="R227" s="6">
        <f t="shared" si="753"/>
        <v>23.906399999999991</v>
      </c>
      <c r="S227" s="6">
        <f t="shared" si="684"/>
        <v>6.1320000000000006</v>
      </c>
      <c r="T227" s="6">
        <f t="shared" ref="T227" si="1288">I227-I226</f>
        <v>0.23169999999999646</v>
      </c>
      <c r="U227" s="6">
        <f t="shared" ref="U227" si="1289">N227-N226</f>
        <v>-0.27860000000000085</v>
      </c>
      <c r="V227" s="6">
        <f t="shared" ref="V227" si="1290">E227-E226</f>
        <v>-0.10000000000000853</v>
      </c>
      <c r="W227" s="9">
        <f>Tabla1[[#This Row],[Protein]]/Tabla1[[#This Row],[Peso (Kg)]]</f>
        <v>0.27290410958904099</v>
      </c>
      <c r="X227" s="9">
        <f t="shared" si="1134"/>
        <v>0.26525917224510021</v>
      </c>
      <c r="Y227" s="6">
        <f t="shared" si="842"/>
        <v>41.084399999999995</v>
      </c>
      <c r="Z227" s="6">
        <f t="shared" si="1135"/>
        <v>88.135714285714286</v>
      </c>
      <c r="AA227" s="6">
        <f t="shared" ref="AA227" si="1291">AVERAGE(N221:N227)</f>
        <v>14.03937142857143</v>
      </c>
      <c r="AB227" s="6">
        <f t="shared" ref="AB227" si="1292">AVERAGE(R221:R227)</f>
        <v>23.377592857142854</v>
      </c>
      <c r="AC227" s="6">
        <f t="shared" ref="AC227" si="1293">100*(AB227/AB226-1)</f>
        <v>-3.0911381772369406E-2</v>
      </c>
      <c r="AD227" s="42">
        <f>Tabla1[[#This Row],[Avg Agua)]]/Tabla1[[#This Row],[Avg Musculo]]</f>
        <v>2.0143296557173342</v>
      </c>
    </row>
    <row r="228" spans="1:31" x14ac:dyDescent="0.3">
      <c r="A228">
        <v>7</v>
      </c>
      <c r="B228">
        <v>12</v>
      </c>
      <c r="C228" t="s">
        <v>22</v>
      </c>
      <c r="D228" s="4">
        <v>45372</v>
      </c>
      <c r="E228" s="6">
        <v>88.3</v>
      </c>
      <c r="F228" s="7">
        <f t="shared" si="85"/>
        <v>24.983023992756905</v>
      </c>
      <c r="G228" s="9">
        <v>0.159</v>
      </c>
      <c r="H228" s="6">
        <f t="shared" si="291"/>
        <v>74.260300000000001</v>
      </c>
      <c r="I228" s="6">
        <f t="shared" si="644"/>
        <v>23.408100000000001</v>
      </c>
      <c r="J228">
        <v>3.7</v>
      </c>
      <c r="K228" s="5">
        <v>7.0000000000000007E-2</v>
      </c>
      <c r="L228" s="17">
        <v>2145</v>
      </c>
      <c r="M228" s="5">
        <v>0.53400000000000003</v>
      </c>
      <c r="N228" s="6">
        <f t="shared" si="304"/>
        <v>14.0397</v>
      </c>
      <c r="O228" s="21">
        <f t="shared" si="751"/>
        <v>47.152200000000001</v>
      </c>
      <c r="P228" s="8">
        <f t="shared" si="1130"/>
        <v>47.076435714285715</v>
      </c>
      <c r="Q228" s="8">
        <f t="shared" si="752"/>
        <v>64.891899999999993</v>
      </c>
      <c r="R228" s="6">
        <f t="shared" si="753"/>
        <v>23.408100000000001</v>
      </c>
      <c r="S228" s="6">
        <f t="shared" si="684"/>
        <v>6.181</v>
      </c>
      <c r="T228" s="6">
        <f t="shared" ref="T228" si="1294">I228-I227</f>
        <v>-0.49829999999998975</v>
      </c>
      <c r="U228" s="6">
        <f t="shared" ref="U228" si="1295">N228-N227</f>
        <v>0.46170000000000044</v>
      </c>
      <c r="V228" s="6">
        <f t="shared" ref="V228" si="1296">E228-E227</f>
        <v>0.70000000000000284</v>
      </c>
      <c r="W228" s="9">
        <f>Tabla1[[#This Row],[Protein]]/Tabla1[[#This Row],[Peso (Kg)]]</f>
        <v>0.26509739524348813</v>
      </c>
      <c r="X228" s="9">
        <f t="shared" si="1134"/>
        <v>0.2655358684459162</v>
      </c>
      <c r="Y228" s="6">
        <f t="shared" si="842"/>
        <v>41.147800000000004</v>
      </c>
      <c r="Z228" s="6">
        <f t="shared" si="1135"/>
        <v>88.157142857142844</v>
      </c>
      <c r="AA228" s="6">
        <f t="shared" ref="AA228" si="1297">AVERAGE(N222:N228)</f>
        <v>14.030185714285713</v>
      </c>
      <c r="AB228" s="6">
        <f t="shared" ref="AB228" si="1298">AVERAGE(R222:R228)</f>
        <v>23.407664285714283</v>
      </c>
      <c r="AC228" s="6">
        <f t="shared" ref="AC228" si="1299">100*(AB228/AB227-1)</f>
        <v>0.12863355416954381</v>
      </c>
      <c r="AD228" s="42">
        <f>Tabla1[[#This Row],[Avg Agua)]]/Tabla1[[#This Row],[Avg Musculo]]</f>
        <v>2.0111547713462596</v>
      </c>
    </row>
    <row r="229" spans="1:31" x14ac:dyDescent="0.3">
      <c r="A229">
        <v>7</v>
      </c>
      <c r="B229">
        <v>12</v>
      </c>
      <c r="C229" t="s">
        <v>20</v>
      </c>
      <c r="D229" s="4">
        <v>45373</v>
      </c>
      <c r="E229" s="6">
        <v>88.6</v>
      </c>
      <c r="F229" s="7">
        <f t="shared" si="85"/>
        <v>25.067904028972386</v>
      </c>
      <c r="G229" s="9">
        <v>0.16200000000000001</v>
      </c>
      <c r="H229" s="6">
        <f t="shared" si="291"/>
        <v>74.246799999999993</v>
      </c>
      <c r="I229" s="6">
        <f t="shared" si="644"/>
        <v>23.588799999999996</v>
      </c>
      <c r="J229">
        <v>3.7</v>
      </c>
      <c r="K229" s="5">
        <v>7.0000000000000007E-2</v>
      </c>
      <c r="L229" s="17">
        <v>2147</v>
      </c>
      <c r="M229" s="5">
        <v>0.53</v>
      </c>
      <c r="N229" s="6">
        <f t="shared" si="304"/>
        <v>14.353199999999999</v>
      </c>
      <c r="O229" s="21">
        <f t="shared" si="751"/>
        <v>46.957999999999998</v>
      </c>
      <c r="P229" s="8">
        <f t="shared" si="1130"/>
        <v>46.993321428571434</v>
      </c>
      <c r="Q229" s="8">
        <f t="shared" si="752"/>
        <v>65.011200000000002</v>
      </c>
      <c r="R229" s="6">
        <f t="shared" si="753"/>
        <v>23.588799999999996</v>
      </c>
      <c r="S229" s="6">
        <f t="shared" si="684"/>
        <v>6.202</v>
      </c>
      <c r="T229" s="6">
        <f t="shared" ref="T229" si="1300">I229-I228</f>
        <v>0.18069999999999453</v>
      </c>
      <c r="U229" s="6">
        <f t="shared" ref="U229" si="1301">N229-N228</f>
        <v>0.31349999999999945</v>
      </c>
      <c r="V229" s="6">
        <f t="shared" ref="V229" si="1302">E229-E228</f>
        <v>0.29999999999999716</v>
      </c>
      <c r="W229" s="9">
        <f>Tabla1[[#This Row],[Protein]]/Tabla1[[#This Row],[Peso (Kg)]]</f>
        <v>0.26623927765237015</v>
      </c>
      <c r="X229" s="9">
        <f t="shared" si="1134"/>
        <v>0.26654381190062792</v>
      </c>
      <c r="Y229" s="6">
        <f t="shared" si="842"/>
        <v>41.641999999999996</v>
      </c>
      <c r="Z229" s="6">
        <f t="shared" si="1135"/>
        <v>88.214285714285694</v>
      </c>
      <c r="AA229" s="6">
        <f t="shared" ref="AA229" si="1303">AVERAGE(N223:N229)</f>
        <v>14.052042857142856</v>
      </c>
      <c r="AB229" s="6">
        <f t="shared" ref="AB229" si="1304">AVERAGE(R223:R229)</f>
        <v>23.511778571428568</v>
      </c>
      <c r="AC229" s="6">
        <f t="shared" ref="AC229" si="1305">100*(AB229/AB228-1)</f>
        <v>0.4447871622023758</v>
      </c>
      <c r="AD229" s="42">
        <f>Tabla1[[#This Row],[Avg Agua)]]/Tabla1[[#This Row],[Avg Musculo]]</f>
        <v>1.9987140184144792</v>
      </c>
    </row>
    <row r="230" spans="1:31" x14ac:dyDescent="0.3">
      <c r="A230">
        <v>7</v>
      </c>
      <c r="B230">
        <v>13</v>
      </c>
      <c r="C230" t="s">
        <v>25</v>
      </c>
      <c r="D230" s="4">
        <v>45374</v>
      </c>
      <c r="E230" s="6">
        <v>88.1</v>
      </c>
      <c r="F230" s="7">
        <f t="shared" si="85"/>
        <v>24.926437301946581</v>
      </c>
      <c r="G230" s="9">
        <v>0.16</v>
      </c>
      <c r="H230" s="6">
        <f t="shared" si="291"/>
        <v>74.003999999999991</v>
      </c>
      <c r="I230" s="6">
        <f t="shared" si="644"/>
        <v>22.994299999999992</v>
      </c>
      <c r="J230">
        <v>3.7</v>
      </c>
      <c r="K230" s="5">
        <v>7.0000000000000007E-2</v>
      </c>
      <c r="L230" s="17">
        <v>2137</v>
      </c>
      <c r="M230" s="5">
        <v>0.53700000000000003</v>
      </c>
      <c r="N230" s="6">
        <f t="shared" si="304"/>
        <v>14.096</v>
      </c>
      <c r="O230" s="21">
        <f t="shared" si="751"/>
        <v>47.309699999999999</v>
      </c>
      <c r="P230" s="8">
        <f t="shared" si="1130"/>
        <v>46.994421428571435</v>
      </c>
      <c r="Q230" s="8">
        <f t="shared" si="752"/>
        <v>65.105699999999999</v>
      </c>
      <c r="R230" s="6">
        <f t="shared" si="753"/>
        <v>22.994299999999992</v>
      </c>
      <c r="S230" s="6">
        <f t="shared" si="684"/>
        <v>6.1669999999999998</v>
      </c>
      <c r="T230" s="6">
        <f t="shared" ref="T230" si="1306">I230-I229</f>
        <v>-0.59450000000000358</v>
      </c>
      <c r="U230" s="6">
        <f t="shared" ref="U230" si="1307">N230-N229</f>
        <v>-0.25719999999999921</v>
      </c>
      <c r="V230" s="6">
        <f t="shared" ref="V230" si="1308">E230-E229</f>
        <v>-0.5</v>
      </c>
      <c r="W230" s="9">
        <f>Tabla1[[#This Row],[Protein]]/Tabla1[[#This Row],[Peso (Kg)]]</f>
        <v>0.2610022701475595</v>
      </c>
      <c r="X230" s="9">
        <f t="shared" si="1134"/>
        <v>0.26624789986586</v>
      </c>
      <c r="Y230" s="6">
        <f t="shared" si="842"/>
        <v>40.790299999999995</v>
      </c>
      <c r="Z230" s="6">
        <f t="shared" si="1135"/>
        <v>88.19285714285715</v>
      </c>
      <c r="AA230" s="6">
        <f t="shared" ref="AA230" si="1309">AVERAGE(N224:N230)</f>
        <v>14.061221428571429</v>
      </c>
      <c r="AB230" s="6">
        <f t="shared" ref="AB230" si="1310">AVERAGE(R224:R230)</f>
        <v>23.480071428571424</v>
      </c>
      <c r="AC230" s="6">
        <f t="shared" ref="AC230" si="1311">100*(AB230/AB229-1)</f>
        <v>-0.13485641998889353</v>
      </c>
      <c r="AD230" s="42">
        <f>Tabla1[[#This Row],[Avg Agua)]]/Tabla1[[#This Row],[Avg Musculo]]</f>
        <v>2.0014599006452287</v>
      </c>
    </row>
    <row r="231" spans="1:31" x14ac:dyDescent="0.3">
      <c r="A231">
        <v>7</v>
      </c>
      <c r="B231">
        <v>13</v>
      </c>
      <c r="C231" t="s">
        <v>26</v>
      </c>
      <c r="D231" s="4">
        <v>45381</v>
      </c>
      <c r="E231" s="6">
        <v>89.2</v>
      </c>
      <c r="F231" s="7">
        <f t="shared" si="85"/>
        <v>25.237664101403354</v>
      </c>
      <c r="G231" s="9">
        <v>0.17199999999999999</v>
      </c>
      <c r="H231" s="6">
        <f t="shared" si="291"/>
        <v>73.857600000000005</v>
      </c>
      <c r="I231" s="6">
        <f t="shared" si="644"/>
        <v>21.82200000000001</v>
      </c>
      <c r="J231">
        <v>3.6</v>
      </c>
      <c r="K231" s="5">
        <v>7.4999999999999997E-2</v>
      </c>
      <c r="L231" s="17">
        <v>2138</v>
      </c>
      <c r="M231" s="5">
        <v>0.54299999999999993</v>
      </c>
      <c r="N231" s="6">
        <f t="shared" si="304"/>
        <v>15.3424</v>
      </c>
      <c r="O231" s="21">
        <f t="shared" si="751"/>
        <v>48.435599999999994</v>
      </c>
      <c r="P231" s="8">
        <f t="shared" si="1130"/>
        <v>47.217028571428564</v>
      </c>
      <c r="Q231" s="8">
        <f t="shared" si="752"/>
        <v>67.377999999999986</v>
      </c>
      <c r="R231" s="6">
        <f t="shared" si="753"/>
        <v>21.82200000000001</v>
      </c>
      <c r="S231" s="6">
        <f t="shared" si="684"/>
        <v>6.69</v>
      </c>
      <c r="T231" s="6">
        <f t="shared" ref="T231" si="1312">I231-I230</f>
        <v>-1.1722999999999821</v>
      </c>
      <c r="U231" s="6">
        <f t="shared" ref="U231" si="1313">N231-N230</f>
        <v>1.2463999999999995</v>
      </c>
      <c r="V231" s="6">
        <f t="shared" ref="V231" si="1314">E231-E230</f>
        <v>1.1000000000000085</v>
      </c>
      <c r="W231" s="9">
        <f>Tabla1[[#This Row],[Protein]]/Tabla1[[#This Row],[Peso (Kg)]]</f>
        <v>0.24464125560538127</v>
      </c>
      <c r="X231" s="9">
        <f t="shared" si="1134"/>
        <v>0.26332984322733688</v>
      </c>
      <c r="Y231" s="6">
        <f t="shared" si="842"/>
        <v>40.764400000000009</v>
      </c>
      <c r="Z231" s="6">
        <f t="shared" si="1135"/>
        <v>88.371428571428581</v>
      </c>
      <c r="AA231" s="6">
        <f t="shared" ref="AA231" si="1315">AVERAGE(N225:N231)</f>
        <v>14.230142857142857</v>
      </c>
      <c r="AB231" s="6">
        <f t="shared" ref="AB231" si="1316">AVERAGE(R225:R231)</f>
        <v>23.267114285714282</v>
      </c>
      <c r="AC231" s="6">
        <f t="shared" ref="AC231:AC232" si="1317">100*(AB231/AB230-1)</f>
        <v>-0.90696974029648159</v>
      </c>
      <c r="AD231" s="42">
        <f>Tabla1[[#This Row],[Avg Agua)]]/Tabla1[[#This Row],[Avg Musculo]]</f>
        <v>2.0293461402912021</v>
      </c>
      <c r="AE231" t="s">
        <v>57</v>
      </c>
    </row>
    <row r="232" spans="1:31" x14ac:dyDescent="0.3">
      <c r="A232">
        <v>7</v>
      </c>
      <c r="B232">
        <v>14</v>
      </c>
      <c r="C232" t="s">
        <v>21</v>
      </c>
      <c r="D232" s="4">
        <v>45383</v>
      </c>
      <c r="E232" s="6">
        <v>88.55</v>
      </c>
      <c r="F232" s="7">
        <f t="shared" si="85"/>
        <v>25.053757356269806</v>
      </c>
      <c r="G232" s="9">
        <v>0.156</v>
      </c>
      <c r="H232" s="6">
        <f t="shared" si="291"/>
        <v>74.736199999999997</v>
      </c>
      <c r="I232" s="6">
        <f t="shared" si="644"/>
        <v>23.839050000000004</v>
      </c>
      <c r="J232">
        <v>3.7</v>
      </c>
      <c r="K232" s="5">
        <v>7.0000000000000007E-2</v>
      </c>
      <c r="L232" s="17">
        <v>2159</v>
      </c>
      <c r="M232" s="5">
        <v>0.53299999999999992</v>
      </c>
      <c r="N232" s="6">
        <f t="shared" si="304"/>
        <v>13.813799999999999</v>
      </c>
      <c r="O232" s="21">
        <f t="shared" si="751"/>
        <v>47.197149999999993</v>
      </c>
      <c r="P232" s="8">
        <f t="shared" si="1130"/>
        <v>47.16242142857142</v>
      </c>
      <c r="Q232" s="8">
        <f t="shared" si="752"/>
        <v>64.710949999999997</v>
      </c>
      <c r="R232" s="6">
        <f t="shared" si="753"/>
        <v>23.839050000000004</v>
      </c>
      <c r="S232" s="6">
        <f t="shared" si="684"/>
        <v>6.1985000000000001</v>
      </c>
      <c r="T232" s="6">
        <f t="shared" ref="T232" si="1318">I232-I231</f>
        <v>2.017049999999994</v>
      </c>
      <c r="U232" s="6">
        <f t="shared" ref="U232" si="1319">N232-N231</f>
        <v>-1.5286000000000008</v>
      </c>
      <c r="V232" s="6">
        <f t="shared" ref="V232" si="1320">E232-E231</f>
        <v>-0.65000000000000568</v>
      </c>
      <c r="W232" s="9">
        <f>Tabla1[[#This Row],[Protein]]/Tabla1[[#This Row],[Peso (Kg)]]</f>
        <v>0.26921569734613215</v>
      </c>
      <c r="X232" s="9">
        <f t="shared" si="1134"/>
        <v>0.26415013925674274</v>
      </c>
      <c r="Y232" s="6">
        <f t="shared" si="842"/>
        <v>41.352850000000004</v>
      </c>
      <c r="Z232" s="6">
        <f t="shared" si="1135"/>
        <v>88.292857142857159</v>
      </c>
      <c r="AA232" s="6">
        <f t="shared" ref="AA232" si="1321">AVERAGE(N226:N232)</f>
        <v>14.154242857142858</v>
      </c>
      <c r="AB232" s="6">
        <f t="shared" ref="AB232" si="1322">AVERAGE(R226:R232)</f>
        <v>23.319050000000001</v>
      </c>
      <c r="AC232" s="6">
        <f t="shared" si="1317"/>
        <v>0.22321510801881495</v>
      </c>
      <c r="AD232" s="42">
        <f>Tabla1[[#This Row],[Avg Agua)]]/Tabla1[[#This Row],[Avg Musculo]]</f>
        <v>2.0224846822049534</v>
      </c>
    </row>
    <row r="233" spans="1:31" x14ac:dyDescent="0.3">
      <c r="A233">
        <v>7</v>
      </c>
      <c r="B233">
        <v>14</v>
      </c>
      <c r="C233" t="s">
        <v>23</v>
      </c>
      <c r="D233" s="4">
        <v>45384</v>
      </c>
      <c r="E233" s="6">
        <v>87.95</v>
      </c>
      <c r="F233" s="7">
        <f t="shared" si="85"/>
        <v>24.883997283838845</v>
      </c>
      <c r="G233" s="9">
        <v>0.156</v>
      </c>
      <c r="H233" s="6">
        <f t="shared" si="291"/>
        <v>74.229799999999997</v>
      </c>
      <c r="I233" s="6">
        <f t="shared" si="644"/>
        <v>24.092199999999995</v>
      </c>
      <c r="J233">
        <v>3.7</v>
      </c>
      <c r="K233" s="5">
        <v>7.0000000000000007E-2</v>
      </c>
      <c r="L233" s="17">
        <v>2143</v>
      </c>
      <c r="M233" s="5">
        <v>0.52800000000000002</v>
      </c>
      <c r="N233" s="6">
        <f t="shared" si="304"/>
        <v>13.7202</v>
      </c>
      <c r="O233" s="21">
        <f t="shared" si="751"/>
        <v>46.437600000000003</v>
      </c>
      <c r="P233" s="8">
        <f t="shared" si="1130"/>
        <v>47.14369285714286</v>
      </c>
      <c r="Q233" s="8">
        <f t="shared" si="752"/>
        <v>63.857800000000012</v>
      </c>
      <c r="R233" s="6">
        <f t="shared" si="753"/>
        <v>24.092199999999995</v>
      </c>
      <c r="S233" s="6">
        <f t="shared" si="684"/>
        <v>6.1565000000000012</v>
      </c>
      <c r="T233" s="6">
        <f t="shared" ref="T233" si="1323">I233-I232</f>
        <v>0.25314999999999088</v>
      </c>
      <c r="U233" s="6">
        <f t="shared" ref="U233" si="1324">N233-N232</f>
        <v>-9.3599999999998573E-2</v>
      </c>
      <c r="V233" s="6">
        <f t="shared" ref="V233" si="1325">E233-E232</f>
        <v>-0.59999999999999432</v>
      </c>
      <c r="W233" s="9">
        <f>Tabla1[[#This Row],[Protein]]/Tabla1[[#This Row],[Peso (Kg)]]</f>
        <v>0.27393064241046045</v>
      </c>
      <c r="X233" s="9">
        <f t="shared" si="1134"/>
        <v>0.26471866399920463</v>
      </c>
      <c r="Y233" s="6">
        <f t="shared" si="842"/>
        <v>41.5124</v>
      </c>
      <c r="Z233" s="6">
        <f t="shared" si="1135"/>
        <v>88.328571428571436</v>
      </c>
      <c r="AA233" s="6">
        <f t="shared" ref="AA233" si="1326">AVERAGE(N227:N233)</f>
        <v>14.134757142857143</v>
      </c>
      <c r="AB233" s="6">
        <f t="shared" ref="AB233" si="1327">AVERAGE(R227:R233)</f>
        <v>23.378692857142855</v>
      </c>
      <c r="AC233" s="6">
        <f t="shared" ref="AC233" si="1328">100*(AB233/AB232-1)</f>
        <v>0.25576881194926404</v>
      </c>
      <c r="AD233" s="42">
        <f>Tabla1[[#This Row],[Avg Agua)]]/Tabla1[[#This Row],[Avg Musculo]]</f>
        <v>2.0165238982871156</v>
      </c>
    </row>
    <row r="234" spans="1:31" x14ac:dyDescent="0.3">
      <c r="A234">
        <v>7</v>
      </c>
      <c r="B234">
        <v>14</v>
      </c>
      <c r="C234" t="s">
        <v>24</v>
      </c>
      <c r="D234" s="4">
        <v>45385</v>
      </c>
      <c r="E234" s="6">
        <v>87.8</v>
      </c>
      <c r="F234" s="7">
        <f t="shared" si="85"/>
        <v>24.841557265731101</v>
      </c>
      <c r="G234" s="9">
        <v>0.152</v>
      </c>
      <c r="H234" s="6">
        <f t="shared" si="291"/>
        <v>74.454399999999993</v>
      </c>
      <c r="I234" s="6">
        <f t="shared" si="644"/>
        <v>24.220399999999994</v>
      </c>
      <c r="J234">
        <v>3.7</v>
      </c>
      <c r="K234" s="5">
        <v>7.0000000000000007E-2</v>
      </c>
      <c r="L234" s="17">
        <v>2148</v>
      </c>
      <c r="M234" s="5">
        <v>0.53</v>
      </c>
      <c r="N234" s="6">
        <f t="shared" si="304"/>
        <v>13.345599999999999</v>
      </c>
      <c r="O234" s="21">
        <f t="shared" si="751"/>
        <v>46.533999999999999</v>
      </c>
      <c r="P234" s="8">
        <f t="shared" si="1130"/>
        <v>47.146321428571419</v>
      </c>
      <c r="Q234" s="8">
        <f t="shared" si="752"/>
        <v>63.579599999999999</v>
      </c>
      <c r="R234" s="6">
        <f t="shared" si="753"/>
        <v>24.220399999999994</v>
      </c>
      <c r="S234" s="6">
        <f t="shared" si="684"/>
        <v>6.1460000000000008</v>
      </c>
      <c r="T234" s="6">
        <f t="shared" ref="T234" si="1329">I234-I233</f>
        <v>0.12819999999999965</v>
      </c>
      <c r="U234" s="6">
        <f t="shared" ref="U234" si="1330">N234-N233</f>
        <v>-0.37460000000000093</v>
      </c>
      <c r="V234" s="6">
        <f t="shared" ref="V234" si="1331">E234-E233</f>
        <v>-0.15000000000000568</v>
      </c>
      <c r="W234" s="9">
        <f>Tabla1[[#This Row],[Protein]]/Tabla1[[#This Row],[Peso (Kg)]]</f>
        <v>0.27585876993166281</v>
      </c>
      <c r="X234" s="9">
        <f t="shared" si="1134"/>
        <v>0.26514075833386491</v>
      </c>
      <c r="Y234" s="6">
        <f t="shared" si="842"/>
        <v>41.265999999999998</v>
      </c>
      <c r="Z234" s="6">
        <f t="shared" si="1135"/>
        <v>88.357142857142861</v>
      </c>
      <c r="AA234" s="6">
        <f t="shared" ref="AA234" si="1332">AVERAGE(N228:N234)</f>
        <v>14.101557142857144</v>
      </c>
      <c r="AB234" s="6">
        <f t="shared" ref="AB234" si="1333">AVERAGE(R228:R234)</f>
        <v>23.423549999999999</v>
      </c>
      <c r="AC234" s="6">
        <f t="shared" ref="AC234" si="1334">100*(AB234/AB233-1)</f>
        <v>0.19187190289571276</v>
      </c>
      <c r="AD234" s="42">
        <f>Tabla1[[#This Row],[Avg Agua)]]/Tabla1[[#This Row],[Avg Musculo]]</f>
        <v>2.0127743842658958</v>
      </c>
    </row>
    <row r="235" spans="1:31" x14ac:dyDescent="0.3">
      <c r="A235">
        <v>7</v>
      </c>
      <c r="B235">
        <v>14</v>
      </c>
      <c r="C235" t="s">
        <v>22</v>
      </c>
      <c r="D235" s="4">
        <v>45386</v>
      </c>
      <c r="E235" s="6">
        <v>87.95</v>
      </c>
      <c r="F235" s="7">
        <f t="shared" si="85"/>
        <v>24.883997283838845</v>
      </c>
      <c r="G235" s="9">
        <v>0.154</v>
      </c>
      <c r="H235" s="6">
        <f t="shared" si="291"/>
        <v>74.405699999999996</v>
      </c>
      <c r="I235" s="6">
        <f t="shared" si="644"/>
        <v>23.916299999999996</v>
      </c>
      <c r="J235">
        <v>3.7</v>
      </c>
      <c r="K235" s="5">
        <v>7.0000000000000007E-2</v>
      </c>
      <c r="L235" s="17">
        <v>2147</v>
      </c>
      <c r="M235" s="5">
        <v>0.53200000000000003</v>
      </c>
      <c r="N235" s="6">
        <f t="shared" si="304"/>
        <v>13.5443</v>
      </c>
      <c r="O235" s="21">
        <f t="shared" si="751"/>
        <v>46.789400000000001</v>
      </c>
      <c r="P235" s="8">
        <f t="shared" si="1130"/>
        <v>47.09449285714286</v>
      </c>
      <c r="Q235" s="8">
        <f t="shared" si="752"/>
        <v>64.03370000000001</v>
      </c>
      <c r="R235" s="6">
        <f t="shared" si="753"/>
        <v>23.916299999999996</v>
      </c>
      <c r="S235" s="6">
        <f t="shared" si="684"/>
        <v>6.1565000000000012</v>
      </c>
      <c r="T235" s="6">
        <f t="shared" ref="T235" si="1335">I235-I234</f>
        <v>-0.30409999999999826</v>
      </c>
      <c r="U235" s="6">
        <f t="shared" ref="U235" si="1336">N235-N234</f>
        <v>0.19870000000000054</v>
      </c>
      <c r="V235" s="6">
        <f t="shared" ref="V235" si="1337">E235-E234</f>
        <v>0.15000000000000568</v>
      </c>
      <c r="W235" s="9">
        <f>Tabla1[[#This Row],[Protein]]/Tabla1[[#This Row],[Peso (Kg)]]</f>
        <v>0.27193064241046044</v>
      </c>
      <c r="X235" s="9">
        <f t="shared" si="1134"/>
        <v>0.26611693650057527</v>
      </c>
      <c r="Y235" s="6">
        <f t="shared" si="842"/>
        <v>41.160600000000002</v>
      </c>
      <c r="Z235" s="6">
        <f t="shared" si="1135"/>
        <v>88.30714285714285</v>
      </c>
      <c r="AA235" s="6">
        <f t="shared" ref="AA235" si="1338">AVERAGE(N229:N235)</f>
        <v>14.030785714285713</v>
      </c>
      <c r="AB235" s="6">
        <f t="shared" ref="AB235" si="1339">AVERAGE(R229:R235)</f>
        <v>23.49615</v>
      </c>
      <c r="AC235" s="6">
        <f t="shared" ref="AC235" si="1340">100*(AB235/AB234-1)</f>
        <v>0.30994447895387189</v>
      </c>
      <c r="AD235" s="42">
        <f>Tabla1[[#This Row],[Avg Agua)]]/Tabla1[[#This Row],[Avg Musculo]]</f>
        <v>2.0043493447710734</v>
      </c>
    </row>
    <row r="236" spans="1:31" x14ac:dyDescent="0.3">
      <c r="A236">
        <v>7</v>
      </c>
      <c r="B236">
        <v>14</v>
      </c>
      <c r="C236" t="s">
        <v>20</v>
      </c>
      <c r="D236" s="4">
        <v>45387</v>
      </c>
      <c r="E236" s="6">
        <v>88.75</v>
      </c>
      <c r="F236" s="7">
        <f t="shared" si="85"/>
        <v>25.11034404708013</v>
      </c>
      <c r="G236" s="9">
        <v>0.16200000000000001</v>
      </c>
      <c r="H236" s="6">
        <f t="shared" si="291"/>
        <v>74.372500000000002</v>
      </c>
      <c r="I236" s="6">
        <f t="shared" si="644"/>
        <v>23.19125</v>
      </c>
      <c r="J236">
        <v>3.7</v>
      </c>
      <c r="K236" s="5">
        <v>7.0000000000000007E-2</v>
      </c>
      <c r="L236" s="17">
        <v>2151</v>
      </c>
      <c r="M236" s="5">
        <v>0.53500000000000003</v>
      </c>
      <c r="N236" s="6">
        <f t="shared" si="304"/>
        <v>14.377500000000001</v>
      </c>
      <c r="O236" s="21">
        <f t="shared" si="751"/>
        <v>47.481250000000003</v>
      </c>
      <c r="P236" s="8">
        <f t="shared" si="1130"/>
        <v>47.169242857142855</v>
      </c>
      <c r="Q236" s="8">
        <f t="shared" si="752"/>
        <v>65.558750000000003</v>
      </c>
      <c r="R236" s="6">
        <f t="shared" si="753"/>
        <v>23.19125</v>
      </c>
      <c r="S236" s="6">
        <f t="shared" si="684"/>
        <v>6.2125000000000004</v>
      </c>
      <c r="T236" s="6">
        <f t="shared" ref="T236" si="1341">I236-I235</f>
        <v>-0.72504999999999598</v>
      </c>
      <c r="U236" s="6">
        <f t="shared" ref="U236" si="1342">N236-N235</f>
        <v>0.83320000000000149</v>
      </c>
      <c r="V236" s="6">
        <f t="shared" ref="V236" si="1343">E236-E235</f>
        <v>0.79999999999999716</v>
      </c>
      <c r="W236" s="9">
        <f>Tabla1[[#This Row],[Protein]]/Tabla1[[#This Row],[Peso (Kg)]]</f>
        <v>0.2613098591549296</v>
      </c>
      <c r="X236" s="9">
        <f t="shared" si="1134"/>
        <v>0.26541273385808373</v>
      </c>
      <c r="Y236" s="6">
        <f t="shared" si="842"/>
        <v>41.268750000000004</v>
      </c>
      <c r="Z236" s="6">
        <f t="shared" si="1135"/>
        <v>88.328571428571436</v>
      </c>
      <c r="AA236" s="6">
        <f t="shared" ref="AA236" si="1344">AVERAGE(N230:N236)</f>
        <v>14.034257142857143</v>
      </c>
      <c r="AB236" s="6">
        <f t="shared" ref="AB236" si="1345">AVERAGE(R230:R236)</f>
        <v>23.439357142857141</v>
      </c>
      <c r="AC236" s="6">
        <f t="shared" ref="AC236" si="1346">100*(AB236/AB235-1)</f>
        <v>-0.24171133203890749</v>
      </c>
      <c r="AD236" s="42">
        <f>Tabla1[[#This Row],[Avg Agua)]]/Tabla1[[#This Row],[Avg Musculo]]</f>
        <v>2.0123949035657365</v>
      </c>
      <c r="AE236" t="s">
        <v>58</v>
      </c>
    </row>
    <row r="237" spans="1:31" x14ac:dyDescent="0.3">
      <c r="A237">
        <v>7</v>
      </c>
      <c r="B237">
        <v>14</v>
      </c>
      <c r="C237" t="s">
        <v>25</v>
      </c>
      <c r="D237" s="4">
        <v>45388</v>
      </c>
      <c r="E237" s="6">
        <v>89.25</v>
      </c>
      <c r="F237" s="7">
        <f t="shared" si="85"/>
        <v>25.25181077410593</v>
      </c>
      <c r="G237" s="9">
        <v>0.16700000000000001</v>
      </c>
      <c r="H237" s="6">
        <f t="shared" si="291"/>
        <v>74.345249999999993</v>
      </c>
      <c r="I237" s="6">
        <f t="shared" si="644"/>
        <v>23.074999999999999</v>
      </c>
      <c r="J237">
        <v>3.7</v>
      </c>
      <c r="K237" s="5">
        <v>7.4999999999999997E-2</v>
      </c>
      <c r="L237" s="17">
        <v>2150</v>
      </c>
      <c r="M237" s="5">
        <v>0.53299999999999992</v>
      </c>
      <c r="N237" s="6">
        <f t="shared" si="304"/>
        <v>14.904750000000002</v>
      </c>
      <c r="O237" s="21">
        <f t="shared" si="751"/>
        <v>47.570249999999994</v>
      </c>
      <c r="P237" s="8">
        <f t="shared" si="1130"/>
        <v>47.206464285714283</v>
      </c>
      <c r="Q237" s="8">
        <f t="shared" si="752"/>
        <v>66.174999999999997</v>
      </c>
      <c r="R237" s="6">
        <f t="shared" si="753"/>
        <v>23.074999999999999</v>
      </c>
      <c r="S237" s="6">
        <f t="shared" si="684"/>
        <v>6.6937499999999996</v>
      </c>
      <c r="T237" s="6">
        <f t="shared" ref="T237" si="1347">I237-I236</f>
        <v>-0.11625000000000085</v>
      </c>
      <c r="U237" s="6">
        <f t="shared" ref="U237" si="1348">N237-N236</f>
        <v>0.52725000000000044</v>
      </c>
      <c r="V237" s="6">
        <f t="shared" ref="V237" si="1349">E237-E236</f>
        <v>0.5</v>
      </c>
      <c r="W237" s="9">
        <f>Tabla1[[#This Row],[Protein]]/Tabla1[[#This Row],[Peso (Kg)]]</f>
        <v>0.25854341736694675</v>
      </c>
      <c r="X237" s="9">
        <f t="shared" si="1134"/>
        <v>0.26506146917513906</v>
      </c>
      <c r="Y237" s="6">
        <f t="shared" si="842"/>
        <v>41.679750000000006</v>
      </c>
      <c r="Z237" s="6">
        <f t="shared" si="1135"/>
        <v>88.492857142857147</v>
      </c>
      <c r="AA237" s="6">
        <f t="shared" ref="AA237" si="1350">AVERAGE(N231:N237)</f>
        <v>14.149792857142858</v>
      </c>
      <c r="AB237" s="6">
        <f t="shared" ref="AB237" si="1351">AVERAGE(R231:R237)</f>
        <v>23.450885714285711</v>
      </c>
      <c r="AC237" s="6">
        <f t="shared" ref="AC237" si="1352">100*(AB237/AB236-1)</f>
        <v>4.9184674128666117E-2</v>
      </c>
      <c r="AD237" s="42">
        <f>Tabla1[[#This Row],[Avg Agua)]]/Tabla1[[#This Row],[Avg Musculo]]</f>
        <v>2.0129928080693875</v>
      </c>
      <c r="AE237" t="s">
        <v>59</v>
      </c>
    </row>
    <row r="238" spans="1:31" x14ac:dyDescent="0.3">
      <c r="A238">
        <v>7</v>
      </c>
      <c r="B238">
        <v>14</v>
      </c>
      <c r="C238" t="s">
        <v>26</v>
      </c>
      <c r="D238" s="4">
        <v>45389</v>
      </c>
      <c r="E238" s="6">
        <v>89.4</v>
      </c>
      <c r="F238" s="7">
        <f t="shared" si="85"/>
        <v>25.294250792213674</v>
      </c>
      <c r="G238" s="9">
        <v>0.16500000000000001</v>
      </c>
      <c r="H238" s="6">
        <f t="shared" si="291"/>
        <v>74.649000000000001</v>
      </c>
      <c r="I238" s="6">
        <f t="shared" si="644"/>
        <v>23.119999999999994</v>
      </c>
      <c r="J238">
        <v>3.7</v>
      </c>
      <c r="K238" s="5">
        <v>7.4999999999999997E-2</v>
      </c>
      <c r="L238" s="17">
        <v>2160</v>
      </c>
      <c r="M238" s="5">
        <v>0.53500000000000003</v>
      </c>
      <c r="N238" s="6">
        <f t="shared" si="304"/>
        <v>14.751000000000001</v>
      </c>
      <c r="O238" s="21">
        <f t="shared" si="751"/>
        <v>47.829000000000008</v>
      </c>
      <c r="P238" s="8">
        <f t="shared" si="1130"/>
        <v>47.119807142857141</v>
      </c>
      <c r="Q238" s="8">
        <f t="shared" si="752"/>
        <v>66.280000000000015</v>
      </c>
      <c r="R238" s="6">
        <f t="shared" si="753"/>
        <v>23.119999999999994</v>
      </c>
      <c r="S238" s="6">
        <f t="shared" si="684"/>
        <v>6.7050000000000001</v>
      </c>
      <c r="T238" s="6">
        <f t="shared" ref="T238" si="1353">I238-I237</f>
        <v>4.49999999999946E-2</v>
      </c>
      <c r="U238" s="6">
        <f t="shared" ref="U238" si="1354">N238-N237</f>
        <v>-0.1537500000000005</v>
      </c>
      <c r="V238" s="6">
        <f t="shared" ref="V238" si="1355">E238-E237</f>
        <v>0.15000000000000568</v>
      </c>
      <c r="W238" s="9">
        <f>Tabla1[[#This Row],[Protein]]/Tabla1[[#This Row],[Peso (Kg)]]</f>
        <v>0.2586129753914988</v>
      </c>
      <c r="X238" s="9">
        <f t="shared" si="1134"/>
        <v>0.26705742914458441</v>
      </c>
      <c r="Y238" s="6">
        <f t="shared" si="842"/>
        <v>41.570999999999998</v>
      </c>
      <c r="Z238" s="6">
        <f t="shared" si="1135"/>
        <v>88.521428571428572</v>
      </c>
      <c r="AA238" s="6">
        <f t="shared" ref="AA238" si="1356">AVERAGE(N232:N238)</f>
        <v>14.065307142857145</v>
      </c>
      <c r="AB238" s="6">
        <f t="shared" ref="AB238" si="1357">AVERAGE(R232:R238)</f>
        <v>23.636314285714285</v>
      </c>
      <c r="AC238" s="6">
        <f t="shared" ref="AC238" si="1358">100*(AB238/AB237-1)</f>
        <v>0.79071031127670999</v>
      </c>
      <c r="AD238" s="42">
        <f>Tabla1[[#This Row],[Avg Agua)]]/Tabla1[[#This Row],[Avg Musculo]]</f>
        <v>1.9935344645225084</v>
      </c>
    </row>
    <row r="239" spans="1:31" x14ac:dyDescent="0.3">
      <c r="A239">
        <v>7</v>
      </c>
      <c r="B239">
        <v>15</v>
      </c>
      <c r="C239" t="s">
        <v>24</v>
      </c>
      <c r="D239" s="4">
        <v>45392</v>
      </c>
      <c r="E239" s="6">
        <v>89.05</v>
      </c>
      <c r="F239" s="7">
        <f t="shared" si="85"/>
        <v>25.19522408329561</v>
      </c>
      <c r="G239" s="9">
        <v>0.16900000000000001</v>
      </c>
      <c r="H239" s="6">
        <f t="shared" si="291"/>
        <v>74.000550000000004</v>
      </c>
      <c r="I239" s="6">
        <f t="shared" si="644"/>
        <v>22.5807</v>
      </c>
      <c r="J239">
        <v>3.6</v>
      </c>
      <c r="K239" s="5">
        <v>7.4999999999999997E-2</v>
      </c>
      <c r="L239" s="17">
        <v>2141</v>
      </c>
      <c r="M239" s="5">
        <v>0.53700000000000003</v>
      </c>
      <c r="N239" s="6">
        <f t="shared" si="304"/>
        <v>15.04945</v>
      </c>
      <c r="O239" s="21">
        <f t="shared" si="751"/>
        <v>47.819850000000002</v>
      </c>
      <c r="P239" s="8">
        <f t="shared" si="1130"/>
        <v>47.208764285714288</v>
      </c>
      <c r="Q239" s="8">
        <f t="shared" si="752"/>
        <v>66.469300000000004</v>
      </c>
      <c r="R239" s="6">
        <f t="shared" si="753"/>
        <v>22.5807</v>
      </c>
      <c r="S239" s="6">
        <f t="shared" si="684"/>
        <v>6.67875</v>
      </c>
      <c r="T239" s="6">
        <f t="shared" ref="T239" si="1359">I239-I238</f>
        <v>-0.53929999999999367</v>
      </c>
      <c r="U239" s="6">
        <f t="shared" ref="U239" si="1360">N239-N238</f>
        <v>0.29844999999999899</v>
      </c>
      <c r="V239" s="6">
        <f t="shared" ref="V239" si="1361">E239-E238</f>
        <v>-0.35000000000000853</v>
      </c>
      <c r="W239" s="9">
        <f>Tabla1[[#This Row],[Protein]]/Tabla1[[#This Row],[Peso (Kg)]]</f>
        <v>0.25357327344188657</v>
      </c>
      <c r="X239" s="9">
        <f t="shared" si="1134"/>
        <v>0.26482279715826362</v>
      </c>
      <c r="Y239" s="6">
        <f t="shared" si="842"/>
        <v>41.230150000000002</v>
      </c>
      <c r="Z239" s="6">
        <f t="shared" si="1135"/>
        <v>88.592857142857142</v>
      </c>
      <c r="AA239" s="6">
        <f t="shared" ref="AA239" si="1362">AVERAGE(N233:N239)</f>
        <v>14.241828571428572</v>
      </c>
      <c r="AB239" s="6">
        <f t="shared" ref="AB239" si="1363">AVERAGE(R233:R239)</f>
        <v>23.456549999999996</v>
      </c>
      <c r="AC239" s="6">
        <f t="shared" ref="AC239" si="1364">100*(AB239/AB238-1)</f>
        <v>-0.76054279673771763</v>
      </c>
      <c r="AD239" s="42">
        <f>Tabla1[[#This Row],[Avg Agua)]]/Tabla1[[#This Row],[Avg Musculo]]</f>
        <v>2.012604764371329</v>
      </c>
      <c r="AE239" t="s">
        <v>60</v>
      </c>
    </row>
    <row r="240" spans="1:31" x14ac:dyDescent="0.3">
      <c r="A240">
        <v>7</v>
      </c>
      <c r="B240">
        <v>15</v>
      </c>
      <c r="C240" t="s">
        <v>22</v>
      </c>
      <c r="D240" s="4">
        <v>45393</v>
      </c>
      <c r="E240" s="6">
        <v>89.15</v>
      </c>
      <c r="F240" s="7">
        <f t="shared" si="85"/>
        <v>25.223517428700774</v>
      </c>
      <c r="G240" s="9">
        <v>0.16800000000000001</v>
      </c>
      <c r="H240" s="6">
        <f t="shared" si="291"/>
        <v>74.172800000000009</v>
      </c>
      <c r="I240" s="6">
        <f t="shared" si="644"/>
        <v>22.955850000000016</v>
      </c>
      <c r="J240">
        <v>3.7</v>
      </c>
      <c r="K240" s="5">
        <v>7.4999999999999997E-2</v>
      </c>
      <c r="L240" s="17">
        <v>2146</v>
      </c>
      <c r="M240" s="5">
        <v>0.53299999999999992</v>
      </c>
      <c r="N240" s="6">
        <f t="shared" si="304"/>
        <v>14.977200000000002</v>
      </c>
      <c r="O240" s="21">
        <f t="shared" si="751"/>
        <v>47.516949999999994</v>
      </c>
      <c r="P240" s="8">
        <f t="shared" si="1130"/>
        <v>47.362957142857134</v>
      </c>
      <c r="Q240" s="8">
        <f t="shared" si="752"/>
        <v>66.194149999999993</v>
      </c>
      <c r="R240" s="6">
        <f t="shared" si="753"/>
        <v>22.955850000000016</v>
      </c>
      <c r="S240" s="6">
        <f t="shared" si="684"/>
        <v>6.6862500000000002</v>
      </c>
      <c r="T240" s="6">
        <f t="shared" ref="T240" si="1365">I240-I239</f>
        <v>0.37515000000001564</v>
      </c>
      <c r="U240" s="6">
        <f t="shared" ref="U240" si="1366">N240-N239</f>
        <v>-7.2249999999998593E-2</v>
      </c>
      <c r="V240" s="6">
        <f t="shared" ref="V240" si="1367">E240-E239</f>
        <v>0.10000000000000853</v>
      </c>
      <c r="W240" s="9">
        <f>Tabla1[[#This Row],[Protein]]/Tabla1[[#This Row],[Peso (Kg)]]</f>
        <v>0.25749691531127328</v>
      </c>
      <c r="X240" s="9">
        <f t="shared" si="1134"/>
        <v>0.26247512185837973</v>
      </c>
      <c r="Y240" s="6">
        <f t="shared" si="842"/>
        <v>41.633050000000019</v>
      </c>
      <c r="Z240" s="6">
        <f t="shared" si="1135"/>
        <v>88.764285714285705</v>
      </c>
      <c r="AA240" s="6">
        <f t="shared" ref="AA240" si="1368">AVERAGE(N234:N240)</f>
        <v>14.4214</v>
      </c>
      <c r="AB240" s="6">
        <f t="shared" ref="AB240" si="1369">AVERAGE(R234:R240)</f>
        <v>23.294214285714286</v>
      </c>
      <c r="AC240" s="6">
        <f t="shared" ref="AC240:AC242" si="1370">100*(AB240/AB239-1)</f>
        <v>-0.69206986656481506</v>
      </c>
      <c r="AD240" s="42">
        <f>Tabla1[[#This Row],[Avg Agua)]]/Tabla1[[#This Row],[Avg Musculo]]</f>
        <v>2.0332498259837664</v>
      </c>
      <c r="AE240" t="s">
        <v>61</v>
      </c>
    </row>
    <row r="241" spans="1:31" x14ac:dyDescent="0.3">
      <c r="A241">
        <v>7</v>
      </c>
      <c r="B241">
        <v>15</v>
      </c>
      <c r="C241" t="s">
        <v>20</v>
      </c>
      <c r="D241" s="4">
        <v>45394</v>
      </c>
      <c r="E241" s="6">
        <v>88.6</v>
      </c>
      <c r="F241" s="7">
        <f t="shared" si="85"/>
        <v>25.067904028972386</v>
      </c>
      <c r="G241" s="9">
        <v>0.16400000000000001</v>
      </c>
      <c r="H241" s="6">
        <f t="shared" si="291"/>
        <v>74.069599999999994</v>
      </c>
      <c r="I241" s="6">
        <f t="shared" si="644"/>
        <v>23.322999999999997</v>
      </c>
      <c r="J241">
        <v>3.7</v>
      </c>
      <c r="K241" s="5">
        <v>7.0000000000000007E-2</v>
      </c>
      <c r="L241" s="17">
        <v>2142</v>
      </c>
      <c r="M241" s="5">
        <v>0.53100000000000003</v>
      </c>
      <c r="N241" s="6">
        <f t="shared" si="304"/>
        <v>14.5304</v>
      </c>
      <c r="O241" s="21">
        <f t="shared" si="751"/>
        <v>47.046599999999998</v>
      </c>
      <c r="P241" s="8">
        <f t="shared" si="1130"/>
        <v>47.43618571428572</v>
      </c>
      <c r="Q241" s="8">
        <f t="shared" si="752"/>
        <v>65.277000000000001</v>
      </c>
      <c r="R241" s="6">
        <f t="shared" si="753"/>
        <v>23.322999999999997</v>
      </c>
      <c r="S241" s="6">
        <f t="shared" si="684"/>
        <v>6.202</v>
      </c>
      <c r="T241" s="6">
        <f t="shared" ref="T241" si="1371">I241-I240</f>
        <v>0.36714999999998099</v>
      </c>
      <c r="U241" s="6">
        <f t="shared" ref="U241" si="1372">N241-N240</f>
        <v>-0.44680000000000142</v>
      </c>
      <c r="V241" s="6">
        <f t="shared" ref="V241" si="1373">E241-E240</f>
        <v>-0.55000000000001137</v>
      </c>
      <c r="W241" s="9">
        <f>Tabla1[[#This Row],[Protein]]/Tabla1[[#This Row],[Peso (Kg)]]</f>
        <v>0.26323927765237021</v>
      </c>
      <c r="X241" s="9">
        <f t="shared" si="1134"/>
        <v>0.26067233724705224</v>
      </c>
      <c r="Y241" s="6">
        <f t="shared" si="842"/>
        <v>41.553399999999996</v>
      </c>
      <c r="Z241" s="6">
        <f t="shared" si="1135"/>
        <v>88.878571428571448</v>
      </c>
      <c r="AA241" s="6">
        <f t="shared" ref="AA241" si="1374">AVERAGE(N235:N241)</f>
        <v>14.590657142857143</v>
      </c>
      <c r="AB241" s="6">
        <f t="shared" ref="AB241" si="1375">AVERAGE(R235:R241)</f>
        <v>23.166014285714287</v>
      </c>
      <c r="AC241" s="6">
        <f t="shared" si="1370"/>
        <v>-0.55035125215028291</v>
      </c>
      <c r="AD241" s="42">
        <f>Tabla1[[#This Row],[Avg Agua)]]/Tabla1[[#This Row],[Avg Musculo]]</f>
        <v>2.0476628016040741</v>
      </c>
    </row>
    <row r="242" spans="1:31" x14ac:dyDescent="0.3">
      <c r="A242">
        <v>7</v>
      </c>
      <c r="B242">
        <v>15</v>
      </c>
      <c r="C242" t="s">
        <v>25</v>
      </c>
      <c r="D242" s="4">
        <v>45395</v>
      </c>
      <c r="E242" s="6">
        <v>89</v>
      </c>
      <c r="F242" s="7">
        <f t="shared" si="85"/>
        <v>25.18107741059303</v>
      </c>
      <c r="G242" s="9">
        <v>0.16600000000000001</v>
      </c>
      <c r="H242" s="6">
        <f t="shared" si="291"/>
        <v>74.225999999999999</v>
      </c>
      <c r="I242" s="6">
        <f t="shared" si="644"/>
        <v>23.355999999999998</v>
      </c>
      <c r="J242">
        <v>3.7</v>
      </c>
      <c r="K242" s="5">
        <v>7.4999999999999997E-2</v>
      </c>
      <c r="L242" s="17">
        <v>2146</v>
      </c>
      <c r="M242" s="5">
        <v>0.53</v>
      </c>
      <c r="N242" s="6">
        <f t="shared" si="304"/>
        <v>14.774000000000001</v>
      </c>
      <c r="O242" s="21">
        <f t="shared" si="751"/>
        <v>47.17</v>
      </c>
      <c r="P242" s="8">
        <f t="shared" si="1130"/>
        <v>47.490557142857149</v>
      </c>
      <c r="Q242" s="8">
        <f t="shared" si="752"/>
        <v>65.644000000000005</v>
      </c>
      <c r="R242" s="6">
        <f t="shared" si="753"/>
        <v>23.355999999999998</v>
      </c>
      <c r="S242" s="6">
        <f t="shared" si="684"/>
        <v>6.6749999999999998</v>
      </c>
      <c r="T242" s="6">
        <f t="shared" ref="T242" si="1376">I242-I241</f>
        <v>3.3000000000001251E-2</v>
      </c>
      <c r="U242" s="6">
        <f t="shared" ref="U242" si="1377">N242-N241</f>
        <v>0.2436000000000007</v>
      </c>
      <c r="V242" s="6">
        <f t="shared" ref="V242" si="1378">E242-E241</f>
        <v>0.40000000000000568</v>
      </c>
      <c r="W242" s="9">
        <f>Tabla1[[#This Row],[Protein]]/Tabla1[[#This Row],[Peso (Kg)]]</f>
        <v>0.2624269662921348</v>
      </c>
      <c r="X242" s="9">
        <f t="shared" si="1134"/>
        <v>0.25931466923014856</v>
      </c>
      <c r="Y242" s="6">
        <f t="shared" si="842"/>
        <v>41.83</v>
      </c>
      <c r="Z242" s="6">
        <f t="shared" si="1135"/>
        <v>89.028571428571439</v>
      </c>
      <c r="AA242" s="6">
        <f t="shared" ref="AA242" si="1379">AVERAGE(N236:N242)</f>
        <v>14.766328571428573</v>
      </c>
      <c r="AB242" s="6">
        <f t="shared" ref="AB242" si="1380">AVERAGE(R236:R242)</f>
        <v>23.08597142857143</v>
      </c>
      <c r="AC242" s="6">
        <f t="shared" si="1370"/>
        <v>-0.34551846578207979</v>
      </c>
      <c r="AD242" s="42">
        <f>Tabla1[[#This Row],[Avg Agua)]]/Tabla1[[#This Row],[Avg Musculo]]</f>
        <v>2.0571175568588966</v>
      </c>
    </row>
    <row r="243" spans="1:31" x14ac:dyDescent="0.3">
      <c r="A243">
        <v>7</v>
      </c>
      <c r="B243">
        <v>15</v>
      </c>
      <c r="C243" t="s">
        <v>26</v>
      </c>
      <c r="D243" s="4">
        <v>45396</v>
      </c>
      <c r="E243" s="6">
        <v>89.15</v>
      </c>
      <c r="F243" s="7">
        <f t="shared" si="85"/>
        <v>25.223517428700774</v>
      </c>
      <c r="G243" s="9">
        <v>0.16400000000000001</v>
      </c>
      <c r="H243" s="6">
        <f t="shared" si="291"/>
        <v>74.52940000000001</v>
      </c>
      <c r="I243" s="6">
        <f t="shared" si="644"/>
        <v>23.045000000000005</v>
      </c>
      <c r="J243">
        <v>3.7</v>
      </c>
      <c r="K243" s="5">
        <v>7.4999999999999997E-2</v>
      </c>
      <c r="L243" s="17">
        <v>2156</v>
      </c>
      <c r="M243" s="5">
        <v>0.53600000000000003</v>
      </c>
      <c r="N243" s="6">
        <f t="shared" si="304"/>
        <v>14.620600000000001</v>
      </c>
      <c r="O243" s="21">
        <f t="shared" si="751"/>
        <v>47.784400000000005</v>
      </c>
      <c r="P243" s="8">
        <f t="shared" si="1130"/>
        <v>47.533864285714287</v>
      </c>
      <c r="Q243" s="8">
        <f t="shared" si="752"/>
        <v>66.105000000000004</v>
      </c>
      <c r="R243" s="6">
        <f t="shared" si="753"/>
        <v>23.045000000000005</v>
      </c>
      <c r="S243" s="6">
        <f t="shared" si="684"/>
        <v>6.6862500000000002</v>
      </c>
      <c r="T243" s="6">
        <f t="shared" ref="T243" si="1381">I243-I242</f>
        <v>-0.31099999999999284</v>
      </c>
      <c r="U243" s="6">
        <f t="shared" ref="U243" si="1382">N243-N242</f>
        <v>-0.15339999999999954</v>
      </c>
      <c r="V243" s="6">
        <f t="shared" ref="V243" si="1383">E243-E242</f>
        <v>0.15000000000000568</v>
      </c>
      <c r="W243" s="9">
        <f>Tabla1[[#This Row],[Protein]]/Tabla1[[#This Row],[Peso (Kg)]]</f>
        <v>0.25849691531127317</v>
      </c>
      <c r="X243" s="9">
        <f t="shared" si="1134"/>
        <v>0.25891282010962618</v>
      </c>
      <c r="Y243" s="6">
        <f t="shared" si="842"/>
        <v>41.365600000000008</v>
      </c>
      <c r="Z243" s="6">
        <f t="shared" si="1135"/>
        <v>89.085714285714289</v>
      </c>
      <c r="AA243" s="6">
        <f t="shared" ref="AA243" si="1384">AVERAGE(N237:N243)</f>
        <v>14.801057142857145</v>
      </c>
      <c r="AB243" s="6">
        <f t="shared" ref="AB243" si="1385">AVERAGE(R237:R243)</f>
        <v>23.065078571428575</v>
      </c>
      <c r="AC243" s="6">
        <f t="shared" ref="AC243" si="1386">100*(AB243/AB242-1)</f>
        <v>-9.0500229576639946E-2</v>
      </c>
      <c r="AD243" s="42">
        <f>Tabla1[[#This Row],[Avg Agua)]]/Tabla1[[#This Row],[Avg Musculo]]</f>
        <v>2.0608585458969975</v>
      </c>
    </row>
    <row r="244" spans="1:31" x14ac:dyDescent="0.3">
      <c r="A244">
        <v>8</v>
      </c>
      <c r="B244">
        <v>16</v>
      </c>
      <c r="C244" t="s">
        <v>21</v>
      </c>
      <c r="D244" s="4">
        <v>45397</v>
      </c>
      <c r="E244" s="6">
        <v>88.6</v>
      </c>
      <c r="F244" s="7">
        <f t="shared" si="85"/>
        <v>25.067904028972386</v>
      </c>
      <c r="G244" s="9">
        <v>0.16200000000000001</v>
      </c>
      <c r="H244" s="6">
        <f t="shared" si="291"/>
        <v>74.246799999999993</v>
      </c>
      <c r="I244" s="6">
        <f t="shared" si="644"/>
        <v>23.411599999999996</v>
      </c>
      <c r="J244">
        <v>3.7</v>
      </c>
      <c r="K244" s="5">
        <v>7.0000000000000007E-2</v>
      </c>
      <c r="L244" s="17">
        <v>2145</v>
      </c>
      <c r="M244" s="5">
        <v>0.53200000000000003</v>
      </c>
      <c r="N244" s="6">
        <f t="shared" si="304"/>
        <v>14.353199999999999</v>
      </c>
      <c r="O244" s="21">
        <f t="shared" si="751"/>
        <v>47.135199999999998</v>
      </c>
      <c r="P244" s="8">
        <f t="shared" si="1130"/>
        <v>47.471714285714292</v>
      </c>
      <c r="Q244" s="8">
        <f t="shared" si="752"/>
        <v>65.188400000000001</v>
      </c>
      <c r="R244" s="6">
        <f t="shared" si="753"/>
        <v>23.411599999999996</v>
      </c>
      <c r="S244" s="6">
        <f t="shared" si="684"/>
        <v>6.202</v>
      </c>
      <c r="T244" s="6">
        <f t="shared" ref="T244" si="1387">I244-I243</f>
        <v>0.36659999999999116</v>
      </c>
      <c r="U244" s="6">
        <f t="shared" ref="U244" si="1388">N244-N243</f>
        <v>-0.26740000000000208</v>
      </c>
      <c r="V244" s="6">
        <f t="shared" ref="V244" si="1389">E244-E243</f>
        <v>-0.55000000000001137</v>
      </c>
      <c r="W244" s="9">
        <f>Tabla1[[#This Row],[Protein]]/Tabla1[[#This Row],[Peso (Kg)]]</f>
        <v>0.26423927765237015</v>
      </c>
      <c r="X244" s="9">
        <f t="shared" si="1134"/>
        <v>0.25972651443611527</v>
      </c>
      <c r="Y244" s="6">
        <f t="shared" si="842"/>
        <v>41.464799999999997</v>
      </c>
      <c r="Z244" s="6">
        <f t="shared" si="1135"/>
        <v>88.992857142857147</v>
      </c>
      <c r="AA244" s="6">
        <f t="shared" ref="AA244" si="1390">AVERAGE(N238:N244)</f>
        <v>14.722264285714287</v>
      </c>
      <c r="AB244" s="6">
        <f t="shared" ref="AB244" si="1391">AVERAGE(R238:R244)</f>
        <v>23.113164285714284</v>
      </c>
      <c r="AC244" s="6">
        <f t="shared" ref="AC244" si="1392">100*(AB244/AB243-1)</f>
        <v>0.20847843260882737</v>
      </c>
      <c r="AD244" s="42">
        <f>Tabla1[[#This Row],[Avg Agua)]]/Tabla1[[#This Row],[Avg Musculo]]</f>
        <v>2.0538820950212977</v>
      </c>
    </row>
    <row r="245" spans="1:31" x14ac:dyDescent="0.3">
      <c r="A245">
        <v>8</v>
      </c>
      <c r="B245">
        <v>16</v>
      </c>
      <c r="C245" t="s">
        <v>23</v>
      </c>
      <c r="D245" s="4">
        <v>45398</v>
      </c>
      <c r="E245" s="6">
        <v>88.2</v>
      </c>
      <c r="F245" s="7">
        <f t="shared" si="85"/>
        <v>24.954730647351745</v>
      </c>
      <c r="G245" s="9">
        <v>0.157</v>
      </c>
      <c r="H245" s="6">
        <f t="shared" si="291"/>
        <v>74.352599999999995</v>
      </c>
      <c r="I245" s="6">
        <f t="shared" si="644"/>
        <v>23.906599999999994</v>
      </c>
      <c r="J245">
        <v>3.7</v>
      </c>
      <c r="K245" s="5">
        <v>7.0000000000000007E-2</v>
      </c>
      <c r="L245" s="17">
        <v>2149</v>
      </c>
      <c r="M245" s="5">
        <v>0.53</v>
      </c>
      <c r="N245" s="6">
        <f t="shared" si="304"/>
        <v>13.8474</v>
      </c>
      <c r="O245" s="21">
        <f t="shared" si="751"/>
        <v>46.746000000000002</v>
      </c>
      <c r="P245" s="8">
        <f t="shared" si="1130"/>
        <v>47.317</v>
      </c>
      <c r="Q245" s="8">
        <f t="shared" si="752"/>
        <v>64.293400000000005</v>
      </c>
      <c r="R245" s="6">
        <f t="shared" si="753"/>
        <v>23.906599999999994</v>
      </c>
      <c r="S245" s="6">
        <f t="shared" si="684"/>
        <v>6.1740000000000004</v>
      </c>
      <c r="T245" s="6">
        <f t="shared" ref="T245" si="1393">I245-I244</f>
        <v>0.49499999999999744</v>
      </c>
      <c r="U245" s="6">
        <f t="shared" ref="U245" si="1394">N245-N244</f>
        <v>-0.50579999999999892</v>
      </c>
      <c r="V245" s="6">
        <f t="shared" ref="V245" si="1395">E245-E244</f>
        <v>-0.39999999999999147</v>
      </c>
      <c r="W245" s="9">
        <f>Tabla1[[#This Row],[Protein]]/Tabla1[[#This Row],[Peso (Kg)]]</f>
        <v>0.27104988662131513</v>
      </c>
      <c r="X245" s="9">
        <f t="shared" si="1134"/>
        <v>0.2615032160403748</v>
      </c>
      <c r="Y245" s="6">
        <f t="shared" si="842"/>
        <v>41.453999999999994</v>
      </c>
      <c r="Z245" s="6">
        <f t="shared" si="1135"/>
        <v>88.821428571428569</v>
      </c>
      <c r="AA245" s="6">
        <f t="shared" ref="AA245" si="1396">AVERAGE(N239:N245)</f>
        <v>14.593178571428572</v>
      </c>
      <c r="AB245" s="6">
        <f t="shared" ref="AB245" si="1397">AVERAGE(R239:R245)</f>
        <v>23.225535714285716</v>
      </c>
      <c r="AC245" s="6">
        <f t="shared" ref="AC245" si="1398">100*(AB245/AB244-1)</f>
        <v>0.48617933564762961</v>
      </c>
      <c r="AD245" s="42">
        <f>Tabla1[[#This Row],[Avg Agua)]]/Tabla1[[#This Row],[Avg Musculo]]</f>
        <v>2.0372834703182301</v>
      </c>
    </row>
    <row r="246" spans="1:31" x14ac:dyDescent="0.3">
      <c r="A246">
        <v>8</v>
      </c>
      <c r="B246">
        <v>16</v>
      </c>
      <c r="C246" t="s">
        <v>24</v>
      </c>
      <c r="D246" s="4">
        <v>45399</v>
      </c>
      <c r="E246" s="6">
        <v>88.45</v>
      </c>
      <c r="F246" s="7">
        <f t="shared" si="85"/>
        <v>25.025464010864646</v>
      </c>
      <c r="G246" s="9">
        <v>0.16</v>
      </c>
      <c r="H246" s="6">
        <f t="shared" si="291"/>
        <v>74.298000000000002</v>
      </c>
      <c r="I246" s="6">
        <f t="shared" si="644"/>
        <v>23.277249999999999</v>
      </c>
      <c r="J246">
        <v>3.7</v>
      </c>
      <c r="K246" s="5">
        <v>7.0000000000000007E-2</v>
      </c>
      <c r="L246" s="17">
        <v>2146</v>
      </c>
      <c r="M246" s="5">
        <v>0.53500000000000003</v>
      </c>
      <c r="N246" s="6">
        <f t="shared" si="304"/>
        <v>14.152000000000001</v>
      </c>
      <c r="O246" s="21">
        <f t="shared" si="751"/>
        <v>47.320750000000004</v>
      </c>
      <c r="P246" s="8">
        <f t="shared" si="1130"/>
        <v>47.245699999999992</v>
      </c>
      <c r="Q246" s="8">
        <f t="shared" si="752"/>
        <v>65.172750000000008</v>
      </c>
      <c r="R246" s="6">
        <f t="shared" si="753"/>
        <v>23.277249999999999</v>
      </c>
      <c r="S246" s="6">
        <f t="shared" si="684"/>
        <v>6.1915000000000004</v>
      </c>
      <c r="T246" s="6">
        <f t="shared" ref="T246" si="1399">I246-I245</f>
        <v>-0.62934999999999519</v>
      </c>
      <c r="U246" s="6">
        <f t="shared" ref="U246" si="1400">N246-N245</f>
        <v>0.30460000000000065</v>
      </c>
      <c r="V246" s="6">
        <f t="shared" ref="V246" si="1401">E246-E245</f>
        <v>0.25</v>
      </c>
      <c r="W246" s="9">
        <f>Tabla1[[#This Row],[Protein]]/Tabla1[[#This Row],[Peso (Kg)]]</f>
        <v>0.26316845675522893</v>
      </c>
      <c r="X246" s="9">
        <f t="shared" si="1134"/>
        <v>0.26287395651370937</v>
      </c>
      <c r="Y246" s="6">
        <f t="shared" si="842"/>
        <v>41.129249999999999</v>
      </c>
      <c r="Z246" s="6">
        <f t="shared" si="1135"/>
        <v>88.735714285714295</v>
      </c>
      <c r="AA246" s="6">
        <f t="shared" ref="AA246" si="1402">AVERAGE(N240:N246)</f>
        <v>14.464971428571429</v>
      </c>
      <c r="AB246" s="6">
        <f t="shared" ref="AB246" si="1403">AVERAGE(R240:R246)</f>
        <v>23.325042857142858</v>
      </c>
      <c r="AC246" s="6">
        <f t="shared" ref="AC246" si="1404">100*(AB246/AB245-1)</f>
        <v>0.42843852594511844</v>
      </c>
      <c r="AD246" s="42">
        <f>Tabla1[[#This Row],[Avg Agua)]]/Tabla1[[#This Row],[Avg Musculo]]</f>
        <v>2.025535399414363</v>
      </c>
    </row>
    <row r="247" spans="1:31" x14ac:dyDescent="0.3">
      <c r="A247">
        <v>8</v>
      </c>
      <c r="B247">
        <v>16</v>
      </c>
      <c r="C247" t="s">
        <v>22</v>
      </c>
      <c r="D247" s="4">
        <v>45400</v>
      </c>
      <c r="E247" s="6">
        <v>88.95</v>
      </c>
      <c r="F247" s="7">
        <f t="shared" si="85"/>
        <v>25.16693073789045</v>
      </c>
      <c r="G247" s="9">
        <v>0.16800000000000001</v>
      </c>
      <c r="H247" s="6">
        <f t="shared" si="291"/>
        <v>74.006399999999999</v>
      </c>
      <c r="I247" s="6">
        <f t="shared" si="644"/>
        <v>22.451300000000007</v>
      </c>
      <c r="J247">
        <v>3.7</v>
      </c>
      <c r="K247" s="5">
        <v>7.4999999999999997E-2</v>
      </c>
      <c r="L247" s="17">
        <v>2140</v>
      </c>
      <c r="M247" s="5">
        <v>0.53799999999999992</v>
      </c>
      <c r="N247" s="6">
        <f t="shared" si="304"/>
        <v>14.943600000000002</v>
      </c>
      <c r="O247" s="21">
        <f t="shared" si="751"/>
        <v>47.855099999999993</v>
      </c>
      <c r="P247" s="8">
        <f t="shared" si="1130"/>
        <v>47.29400714285714</v>
      </c>
      <c r="Q247" s="8">
        <f t="shared" si="752"/>
        <v>66.498699999999999</v>
      </c>
      <c r="R247" s="6">
        <f t="shared" si="753"/>
        <v>22.451300000000007</v>
      </c>
      <c r="S247" s="6">
        <f t="shared" si="684"/>
        <v>6.6712499999999997</v>
      </c>
      <c r="T247" s="6">
        <f t="shared" ref="T247" si="1405">I247-I246</f>
        <v>-0.82594999999999175</v>
      </c>
      <c r="U247" s="6">
        <f t="shared" ref="U247" si="1406">N247-N246</f>
        <v>0.79160000000000075</v>
      </c>
      <c r="V247" s="6">
        <f t="shared" ref="V247" si="1407">E247-E246</f>
        <v>0.5</v>
      </c>
      <c r="W247" s="9">
        <f>Tabla1[[#This Row],[Protein]]/Tabla1[[#This Row],[Peso (Kg)]]</f>
        <v>0.25240359752670044</v>
      </c>
      <c r="X247" s="9">
        <f t="shared" si="1134"/>
        <v>0.26214633968734186</v>
      </c>
      <c r="Y247" s="6">
        <f t="shared" si="842"/>
        <v>41.09490000000001</v>
      </c>
      <c r="Z247" s="6">
        <f t="shared" si="1135"/>
        <v>88.70714285714287</v>
      </c>
      <c r="AA247" s="6">
        <f t="shared" ref="AA247" si="1408">AVERAGE(N241:N247)</f>
        <v>14.46017142857143</v>
      </c>
      <c r="AB247" s="6">
        <f t="shared" ref="AB247" si="1409">AVERAGE(R241:R247)</f>
        <v>23.252964285714285</v>
      </c>
      <c r="AC247" s="6">
        <f t="shared" ref="AC247" si="1410">100*(AB247/AB246-1)</f>
        <v>-0.3090179592381781</v>
      </c>
      <c r="AD247" s="42">
        <f>Tabla1[[#This Row],[Avg Agua)]]/Tabla1[[#This Row],[Avg Musculo]]</f>
        <v>2.0338915314944486</v>
      </c>
    </row>
    <row r="248" spans="1:31" x14ac:dyDescent="0.3">
      <c r="A248">
        <v>8</v>
      </c>
      <c r="B248">
        <v>16</v>
      </c>
      <c r="C248" t="s">
        <v>20</v>
      </c>
      <c r="D248" s="4">
        <v>45401</v>
      </c>
      <c r="E248" s="6">
        <v>89.2</v>
      </c>
      <c r="F248" s="7">
        <f t="shared" si="85"/>
        <v>25.237664101403354</v>
      </c>
      <c r="G248" s="9">
        <v>0.16900000000000001</v>
      </c>
      <c r="H248" s="6">
        <f t="shared" si="291"/>
        <v>74.125200000000007</v>
      </c>
      <c r="I248" s="6">
        <f t="shared" si="644"/>
        <v>21.989600000000014</v>
      </c>
      <c r="J248">
        <v>3.7</v>
      </c>
      <c r="K248" s="5">
        <v>7.4999999999999997E-2</v>
      </c>
      <c r="L248" s="17">
        <v>2144</v>
      </c>
      <c r="M248" s="5">
        <v>0.54299999999999993</v>
      </c>
      <c r="N248" s="6">
        <f t="shared" si="304"/>
        <v>15.074800000000002</v>
      </c>
      <c r="O248" s="21">
        <f t="shared" si="751"/>
        <v>48.435599999999994</v>
      </c>
      <c r="P248" s="8">
        <f t="shared" si="1130"/>
        <v>47.492435714285712</v>
      </c>
      <c r="Q248" s="8">
        <f t="shared" si="752"/>
        <v>67.210399999999993</v>
      </c>
      <c r="R248" s="6">
        <f t="shared" si="753"/>
        <v>21.989600000000014</v>
      </c>
      <c r="S248" s="6">
        <f t="shared" si="684"/>
        <v>6.69</v>
      </c>
      <c r="T248" s="6">
        <f t="shared" ref="T248" si="1411">I248-I247</f>
        <v>-0.46169999999999334</v>
      </c>
      <c r="U248" s="6">
        <f t="shared" ref="U248" si="1412">N248-N247</f>
        <v>0.13119999999999976</v>
      </c>
      <c r="V248" s="6">
        <f t="shared" ref="V248" si="1413">E248-E247</f>
        <v>0.25</v>
      </c>
      <c r="W248" s="9">
        <f>Tabla1[[#This Row],[Protein]]/Tabla1[[#This Row],[Peso (Kg)]]</f>
        <v>0.24652017937219745</v>
      </c>
      <c r="X248" s="9">
        <f t="shared" si="1134"/>
        <v>0.25975789707588859</v>
      </c>
      <c r="Y248" s="6">
        <f t="shared" si="842"/>
        <v>40.764400000000016</v>
      </c>
      <c r="Z248" s="6">
        <f t="shared" si="1135"/>
        <v>88.792857142857159</v>
      </c>
      <c r="AA248" s="6">
        <f t="shared" ref="AA248" si="1414">AVERAGE(N242:N248)</f>
        <v>14.537942857142857</v>
      </c>
      <c r="AB248" s="6">
        <f t="shared" ref="AB248" si="1415">AVERAGE(R242:R248)</f>
        <v>23.062478571428578</v>
      </c>
      <c r="AC248" s="6">
        <f t="shared" ref="AC248:AC249" si="1416">100*(AB248/AB247-1)</f>
        <v>-0.81918895133182845</v>
      </c>
      <c r="AD248" s="42">
        <f>Tabla1[[#This Row],[Avg Agua)]]/Tabla1[[#This Row],[Avg Musculo]]</f>
        <v>2.0592945188954097</v>
      </c>
    </row>
    <row r="249" spans="1:31" x14ac:dyDescent="0.3">
      <c r="A249">
        <v>8</v>
      </c>
      <c r="B249">
        <v>16</v>
      </c>
      <c r="C249" t="s">
        <v>25</v>
      </c>
      <c r="D249" s="4">
        <v>45402</v>
      </c>
      <c r="E249" s="6">
        <v>88</v>
      </c>
      <c r="F249" s="7">
        <f t="shared" si="85"/>
        <v>24.898143956541425</v>
      </c>
      <c r="G249" s="9">
        <v>0.159</v>
      </c>
      <c r="H249" s="6">
        <f t="shared" si="291"/>
        <v>74.007999999999996</v>
      </c>
      <c r="I249" s="6">
        <f t="shared" si="644"/>
        <v>23.327999999999989</v>
      </c>
      <c r="J249">
        <v>3.6</v>
      </c>
      <c r="K249" s="5">
        <v>7.0000000000000007E-2</v>
      </c>
      <c r="L249" s="17">
        <v>2138</v>
      </c>
      <c r="M249" s="5">
        <v>0.53500000000000003</v>
      </c>
      <c r="N249" s="6">
        <f t="shared" si="304"/>
        <v>13.992000000000001</v>
      </c>
      <c r="O249" s="21">
        <f t="shared" si="751"/>
        <v>47.080000000000005</v>
      </c>
      <c r="P249" s="8">
        <f t="shared" si="1130"/>
        <v>47.479578571428576</v>
      </c>
      <c r="Q249" s="8">
        <f t="shared" si="752"/>
        <v>64.672000000000011</v>
      </c>
      <c r="R249" s="6">
        <f t="shared" si="753"/>
        <v>23.327999999999989</v>
      </c>
      <c r="S249" s="6">
        <f t="shared" si="684"/>
        <v>6.16</v>
      </c>
      <c r="T249" s="6">
        <f t="shared" ref="T249" si="1417">I249-I248</f>
        <v>1.3383999999999752</v>
      </c>
      <c r="U249" s="6">
        <f t="shared" ref="U249" si="1418">N249-N248</f>
        <v>-1.0828000000000007</v>
      </c>
      <c r="V249" s="6">
        <f t="shared" ref="V249" si="1419">E249-E248</f>
        <v>-1.2000000000000028</v>
      </c>
      <c r="W249" s="9">
        <f>Tabla1[[#This Row],[Protein]]/Tabla1[[#This Row],[Peso (Kg)]]</f>
        <v>0.26509090909090899</v>
      </c>
      <c r="X249" s="9">
        <f t="shared" si="1134"/>
        <v>0.26013846033285637</v>
      </c>
      <c r="Y249" s="6">
        <f t="shared" si="842"/>
        <v>40.919999999999995</v>
      </c>
      <c r="Z249" s="6">
        <f t="shared" si="1135"/>
        <v>88.649999999999991</v>
      </c>
      <c r="AA249" s="6">
        <f t="shared" ref="AA249" si="1420">AVERAGE(N243:N249)</f>
        <v>14.426228571428572</v>
      </c>
      <c r="AB249" s="6">
        <f t="shared" ref="AB249" si="1421">AVERAGE(R243:R249)</f>
        <v>23.058478571428573</v>
      </c>
      <c r="AC249" s="6">
        <f t="shared" si="1416"/>
        <v>-1.7344189557144674E-2</v>
      </c>
      <c r="AD249" s="42">
        <f>Tabla1[[#This Row],[Avg Agua)]]/Tabla1[[#This Row],[Avg Musculo]]</f>
        <v>2.0590941602825366</v>
      </c>
    </row>
    <row r="250" spans="1:31" x14ac:dyDescent="0.3">
      <c r="A250">
        <v>8</v>
      </c>
      <c r="B250">
        <v>17</v>
      </c>
      <c r="C250" t="s">
        <v>21</v>
      </c>
      <c r="D250" s="4">
        <v>45404</v>
      </c>
      <c r="E250" s="6">
        <v>89.55</v>
      </c>
      <c r="F250" s="7">
        <f t="shared" si="85"/>
        <v>25.336690810321414</v>
      </c>
      <c r="G250" s="9">
        <v>0.16800000000000001</v>
      </c>
      <c r="H250" s="6">
        <f t="shared" si="291"/>
        <v>74.505600000000001</v>
      </c>
      <c r="I250" s="6">
        <f t="shared" si="644"/>
        <v>22.538149999999998</v>
      </c>
      <c r="J250">
        <v>3.7</v>
      </c>
      <c r="K250" s="5">
        <v>7.4999999999999997E-2</v>
      </c>
      <c r="L250" s="17">
        <v>2155</v>
      </c>
      <c r="M250" s="5">
        <v>0.53900000000000003</v>
      </c>
      <c r="N250" s="6">
        <f t="shared" si="304"/>
        <v>15.044400000000001</v>
      </c>
      <c r="O250" s="21">
        <f t="shared" si="751"/>
        <v>48.267450000000004</v>
      </c>
      <c r="P250" s="8">
        <f t="shared" si="1130"/>
        <v>47.548585714285714</v>
      </c>
      <c r="Q250" s="8">
        <f t="shared" si="752"/>
        <v>67.011849999999995</v>
      </c>
      <c r="R250" s="6">
        <f t="shared" si="753"/>
        <v>22.538149999999998</v>
      </c>
      <c r="S250" s="6">
        <f t="shared" si="684"/>
        <v>6.7162499999999996</v>
      </c>
      <c r="T250" s="6">
        <f t="shared" ref="T250" si="1422">I250-I249</f>
        <v>-0.78984999999999062</v>
      </c>
      <c r="U250" s="6">
        <f t="shared" ref="U250" si="1423">N250-N249</f>
        <v>1.0524000000000004</v>
      </c>
      <c r="V250" s="6">
        <f t="shared" ref="V250" si="1424">E250-E249</f>
        <v>1.5499999999999972</v>
      </c>
      <c r="W250" s="9">
        <f>Tabla1[[#This Row],[Protein]]/Tabla1[[#This Row],[Peso (Kg)]]</f>
        <v>0.25168230039084311</v>
      </c>
      <c r="X250" s="9">
        <f t="shared" si="1134"/>
        <v>0.25916494391565198</v>
      </c>
      <c r="Y250" s="6">
        <f t="shared" si="842"/>
        <v>41.282550000000001</v>
      </c>
      <c r="Z250" s="6">
        <f t="shared" si="1135"/>
        <v>88.707142857142841</v>
      </c>
      <c r="AA250" s="6">
        <f t="shared" ref="AA250" si="1425">AVERAGE(N244:N250)</f>
        <v>14.48677142857143</v>
      </c>
      <c r="AB250" s="6">
        <f t="shared" ref="AB250" si="1426">AVERAGE(R244:R250)</f>
        <v>22.986071428571428</v>
      </c>
      <c r="AC250" s="6">
        <f t="shared" ref="AC250:AC251" si="1427">100*(AB250/AB249-1)</f>
        <v>-0.31401526615404407</v>
      </c>
      <c r="AD250" s="42">
        <f>Tabla1[[#This Row],[Avg Agua)]]/Tabla1[[#This Row],[Avg Musculo]]</f>
        <v>2.068582526685415</v>
      </c>
      <c r="AE250" t="s">
        <v>62</v>
      </c>
    </row>
    <row r="251" spans="1:31" x14ac:dyDescent="0.3">
      <c r="A251">
        <v>8</v>
      </c>
      <c r="B251">
        <v>17</v>
      </c>
      <c r="C251" t="s">
        <v>23</v>
      </c>
      <c r="D251" s="4">
        <v>45405</v>
      </c>
      <c r="E251" s="6">
        <v>89.25</v>
      </c>
      <c r="F251" s="7">
        <f t="shared" si="85"/>
        <v>25.25181077410593</v>
      </c>
      <c r="G251" s="9">
        <v>0.16800000000000001</v>
      </c>
      <c r="H251" s="6">
        <f t="shared" si="291"/>
        <v>74.256</v>
      </c>
      <c r="I251" s="6">
        <f t="shared" si="644"/>
        <v>23.253499999999999</v>
      </c>
      <c r="J251">
        <v>3.7</v>
      </c>
      <c r="K251" s="5">
        <v>7.4999999999999997E-2</v>
      </c>
      <c r="L251" s="17">
        <v>2148</v>
      </c>
      <c r="M251" s="5">
        <v>0.53</v>
      </c>
      <c r="N251" s="6">
        <f t="shared" si="304"/>
        <v>14.994000000000002</v>
      </c>
      <c r="O251" s="21">
        <f t="shared" si="751"/>
        <v>47.302500000000002</v>
      </c>
      <c r="P251" s="8">
        <f t="shared" si="1130"/>
        <v>47.572485714285719</v>
      </c>
      <c r="Q251" s="8">
        <f t="shared" si="752"/>
        <v>65.996499999999997</v>
      </c>
      <c r="R251" s="6">
        <f t="shared" si="753"/>
        <v>23.253499999999999</v>
      </c>
      <c r="S251" s="6">
        <f t="shared" si="684"/>
        <v>6.6937499999999996</v>
      </c>
      <c r="T251" s="6">
        <f t="shared" ref="T251" si="1428">I251-I250</f>
        <v>0.71535000000000082</v>
      </c>
      <c r="U251" s="6">
        <f t="shared" ref="U251" si="1429">N251-N250</f>
        <v>-5.0399999999999778E-2</v>
      </c>
      <c r="V251" s="6">
        <f t="shared" ref="V251" si="1430">E251-E250</f>
        <v>-0.29999999999999716</v>
      </c>
      <c r="W251" s="9">
        <f>Tabla1[[#This Row],[Protein]]/Tabla1[[#This Row],[Peso (Kg)]]</f>
        <v>0.26054341736694675</v>
      </c>
      <c r="X251" s="9">
        <f t="shared" si="1134"/>
        <v>0.25863696387487722</v>
      </c>
      <c r="Y251" s="6">
        <f t="shared" si="842"/>
        <v>41.947500000000005</v>
      </c>
      <c r="Z251" s="6">
        <f t="shared" si="1135"/>
        <v>88.8</v>
      </c>
      <c r="AA251" s="6">
        <f t="shared" ref="AA251" si="1431">AVERAGE(N245:N251)</f>
        <v>14.578314285714287</v>
      </c>
      <c r="AB251" s="6">
        <f t="shared" ref="AB251" si="1432">AVERAGE(R245:R251)</f>
        <v>22.963485714285714</v>
      </c>
      <c r="AC251" s="6">
        <f t="shared" si="1427"/>
        <v>-9.8258261990957774E-2</v>
      </c>
      <c r="AD251" s="42">
        <f>Tabla1[[#This Row],[Avg Agua)]]/Tabla1[[#This Row],[Avg Musculo]]</f>
        <v>2.0716578617979851</v>
      </c>
    </row>
    <row r="252" spans="1:31" x14ac:dyDescent="0.3">
      <c r="A252">
        <v>8</v>
      </c>
      <c r="B252">
        <v>17</v>
      </c>
      <c r="C252" t="s">
        <v>24</v>
      </c>
      <c r="D252" s="4">
        <v>45406</v>
      </c>
      <c r="E252" s="6">
        <v>88.5</v>
      </c>
      <c r="F252" s="7">
        <f t="shared" si="85"/>
        <v>25.039610683567226</v>
      </c>
      <c r="G252" s="9">
        <v>0.158</v>
      </c>
      <c r="H252" s="6">
        <f t="shared" si="291"/>
        <v>74.516999999999996</v>
      </c>
      <c r="I252" s="6">
        <f t="shared" si="644"/>
        <v>23.823499999999992</v>
      </c>
      <c r="J252">
        <v>3.7</v>
      </c>
      <c r="K252" s="5">
        <v>7.0000000000000007E-2</v>
      </c>
      <c r="L252" s="17">
        <v>2152</v>
      </c>
      <c r="M252" s="5">
        <v>0.53100000000000003</v>
      </c>
      <c r="N252" s="6">
        <f t="shared" si="304"/>
        <v>13.983000000000001</v>
      </c>
      <c r="O252" s="21">
        <f t="shared" si="751"/>
        <v>46.993500000000004</v>
      </c>
      <c r="P252" s="8">
        <f t="shared" si="1130"/>
        <v>47.607842857142849</v>
      </c>
      <c r="Q252" s="8">
        <f t="shared" si="752"/>
        <v>64.676500000000004</v>
      </c>
      <c r="R252" s="6">
        <f t="shared" si="753"/>
        <v>23.823499999999992</v>
      </c>
      <c r="S252" s="6">
        <f t="shared" si="684"/>
        <v>6.1950000000000003</v>
      </c>
      <c r="T252" s="6">
        <f t="shared" ref="T252" si="1433">I252-I251</f>
        <v>0.56999999999999318</v>
      </c>
      <c r="U252" s="6">
        <f t="shared" ref="U252" si="1434">N252-N251</f>
        <v>-1.011000000000001</v>
      </c>
      <c r="V252" s="6">
        <f t="shared" ref="V252" si="1435">E252-E251</f>
        <v>-0.75</v>
      </c>
      <c r="W252" s="9">
        <f>Tabla1[[#This Row],[Protein]]/Tabla1[[#This Row],[Peso (Kg)]]</f>
        <v>0.26919209039548014</v>
      </c>
      <c r="X252" s="9">
        <f t="shared" si="1134"/>
        <v>0.25837156441404369</v>
      </c>
      <c r="Y252" s="6">
        <f t="shared" si="842"/>
        <v>41.506499999999996</v>
      </c>
      <c r="Z252" s="6">
        <f t="shared" si="1135"/>
        <v>88.842857142857156</v>
      </c>
      <c r="AA252" s="6">
        <f t="shared" ref="AA252" si="1436">AVERAGE(N246:N252)</f>
        <v>14.597685714285715</v>
      </c>
      <c r="AB252" s="6">
        <f t="shared" ref="AB252" si="1437">AVERAGE(R246:R252)</f>
        <v>22.951614285714289</v>
      </c>
      <c r="AC252" s="6">
        <f t="shared" ref="AC252" si="1438">100*(AB252/AB251-1)</f>
        <v>-5.1696979801452159E-2</v>
      </c>
      <c r="AD252" s="42">
        <f>Tabla1[[#This Row],[Avg Agua)]]/Tabla1[[#This Row],[Avg Musculo]]</f>
        <v>2.0742699081857294</v>
      </c>
    </row>
    <row r="253" spans="1:31" x14ac:dyDescent="0.3">
      <c r="A253">
        <v>8</v>
      </c>
      <c r="B253">
        <v>17</v>
      </c>
      <c r="C253" t="s">
        <v>22</v>
      </c>
      <c r="D253" s="4">
        <v>45407</v>
      </c>
      <c r="E253" s="6">
        <v>87.85</v>
      </c>
      <c r="F253" s="7">
        <f t="shared" si="85"/>
        <v>24.855703938433681</v>
      </c>
      <c r="G253" s="9">
        <v>0.155</v>
      </c>
      <c r="H253" s="6">
        <f t="shared" si="291"/>
        <v>74.233249999999998</v>
      </c>
      <c r="I253" s="6">
        <f t="shared" si="644"/>
        <v>24.236299999999996</v>
      </c>
      <c r="J253">
        <v>3.7</v>
      </c>
      <c r="K253" s="5">
        <v>7.0000000000000007E-2</v>
      </c>
      <c r="L253" s="17">
        <v>2142</v>
      </c>
      <c r="M253" s="5">
        <v>0.52700000000000002</v>
      </c>
      <c r="N253" s="6">
        <f t="shared" si="304"/>
        <v>13.61675</v>
      </c>
      <c r="O253" s="21">
        <f t="shared" si="751"/>
        <v>46.296950000000002</v>
      </c>
      <c r="P253" s="8">
        <f t="shared" si="1130"/>
        <v>47.461585714285711</v>
      </c>
      <c r="Q253" s="8">
        <f t="shared" si="752"/>
        <v>63.613699999999994</v>
      </c>
      <c r="R253" s="6">
        <f t="shared" si="753"/>
        <v>24.236299999999996</v>
      </c>
      <c r="S253" s="6">
        <f t="shared" si="684"/>
        <v>6.1494999999999997</v>
      </c>
      <c r="T253" s="6">
        <f t="shared" ref="T253" si="1439">I253-I252</f>
        <v>0.41280000000000427</v>
      </c>
      <c r="U253" s="6">
        <f t="shared" ref="U253" si="1440">N253-N252</f>
        <v>-0.36625000000000085</v>
      </c>
      <c r="V253" s="6">
        <f t="shared" ref="V253" si="1441">E253-E252</f>
        <v>-0.65000000000000568</v>
      </c>
      <c r="W253" s="9">
        <f>Tabla1[[#This Row],[Protein]]/Tabla1[[#This Row],[Peso (Kg)]]</f>
        <v>0.27588275469550366</v>
      </c>
      <c r="X253" s="9">
        <f t="shared" si="1134"/>
        <v>0.26018789269122578</v>
      </c>
      <c r="Y253" s="6">
        <f t="shared" si="842"/>
        <v>41.553049999999999</v>
      </c>
      <c r="Z253" s="6">
        <f t="shared" si="1135"/>
        <v>88.757142857142867</v>
      </c>
      <c r="AA253" s="6">
        <f t="shared" ref="AA253" si="1442">AVERAGE(N247:N253)</f>
        <v>14.521221428571431</v>
      </c>
      <c r="AB253" s="6">
        <f t="shared" ref="AB253" si="1443">AVERAGE(R247:R253)</f>
        <v>23.088621428571429</v>
      </c>
      <c r="AC253" s="6">
        <f t="shared" ref="AC253" si="1444">100*(AB253/AB252-1)</f>
        <v>0.59693902638655594</v>
      </c>
      <c r="AD253" s="42">
        <f>Tabla1[[#This Row],[Avg Agua)]]/Tabla1[[#This Row],[Avg Musculo]]</f>
        <v>2.0556266584003806</v>
      </c>
    </row>
    <row r="254" spans="1:31" x14ac:dyDescent="0.3">
      <c r="A254">
        <v>8</v>
      </c>
      <c r="B254">
        <v>17</v>
      </c>
      <c r="C254" t="s">
        <v>20</v>
      </c>
      <c r="D254" s="4">
        <v>45408</v>
      </c>
      <c r="E254" s="6">
        <v>87.85</v>
      </c>
      <c r="F254" s="7">
        <f t="shared" si="85"/>
        <v>24.855703938433681</v>
      </c>
      <c r="G254" s="9">
        <v>0.158</v>
      </c>
      <c r="H254" s="6">
        <f t="shared" si="291"/>
        <v>73.969699999999989</v>
      </c>
      <c r="I254" s="6">
        <f t="shared" si="644"/>
        <v>23.721349999999987</v>
      </c>
      <c r="J254">
        <v>3.6</v>
      </c>
      <c r="K254" s="5">
        <v>7.0000000000000007E-2</v>
      </c>
      <c r="L254" s="17">
        <v>2135</v>
      </c>
      <c r="M254" s="5">
        <v>0.53100000000000003</v>
      </c>
      <c r="N254" s="6">
        <f t="shared" si="304"/>
        <v>13.8803</v>
      </c>
      <c r="O254" s="21">
        <f t="shared" si="751"/>
        <v>46.648350000000001</v>
      </c>
      <c r="P254" s="8">
        <f t="shared" si="1130"/>
        <v>47.289192857142858</v>
      </c>
      <c r="Q254" s="8">
        <f t="shared" si="752"/>
        <v>64.128650000000007</v>
      </c>
      <c r="R254" s="6">
        <f t="shared" si="753"/>
        <v>23.721349999999987</v>
      </c>
      <c r="S254" s="6">
        <f t="shared" si="684"/>
        <v>6.1494999999999997</v>
      </c>
      <c r="T254" s="6">
        <f t="shared" ref="T254" si="1445">I254-I253</f>
        <v>-0.51495000000000957</v>
      </c>
      <c r="U254" s="6">
        <f t="shared" ref="U254" si="1446">N254-N253</f>
        <v>0.2635500000000004</v>
      </c>
      <c r="V254" s="6">
        <f t="shared" ref="V254" si="1447">E254-E253</f>
        <v>0</v>
      </c>
      <c r="W254" s="9">
        <f>Tabla1[[#This Row],[Protein]]/Tabla1[[#This Row],[Peso (Kg)]]</f>
        <v>0.27002105862265213</v>
      </c>
      <c r="X254" s="9">
        <f t="shared" si="1134"/>
        <v>0.26270467284779031</v>
      </c>
      <c r="Y254" s="6">
        <f t="shared" si="842"/>
        <v>41.201649999999987</v>
      </c>
      <c r="Z254" s="6">
        <f t="shared" si="1135"/>
        <v>88.600000000000009</v>
      </c>
      <c r="AA254" s="6">
        <f t="shared" ref="AA254" si="1448">AVERAGE(N248:N254)</f>
        <v>14.369321428571428</v>
      </c>
      <c r="AB254" s="6">
        <f t="shared" ref="AB254" si="1449">AVERAGE(R248:R254)</f>
        <v>23.270057142857144</v>
      </c>
      <c r="AC254" s="6">
        <f t="shared" ref="AC254" si="1450">100*(AB254/AB253-1)</f>
        <v>0.78582307240393501</v>
      </c>
      <c r="AD254" s="42">
        <f>Tabla1[[#This Row],[Avg Agua)]]/Tabla1[[#This Row],[Avg Musculo]]</f>
        <v>2.0321906631698368</v>
      </c>
    </row>
    <row r="255" spans="1:31" x14ac:dyDescent="0.3">
      <c r="A255">
        <v>8</v>
      </c>
      <c r="B255">
        <v>17</v>
      </c>
      <c r="C255" t="s">
        <v>25</v>
      </c>
      <c r="D255" s="4">
        <v>45409</v>
      </c>
      <c r="E255" s="6">
        <v>87.9</v>
      </c>
      <c r="F255" s="7">
        <f t="shared" si="85"/>
        <v>24.869850611136265</v>
      </c>
      <c r="G255" s="9">
        <v>0.16</v>
      </c>
      <c r="H255" s="6">
        <f t="shared" si="291"/>
        <v>73.835999999999999</v>
      </c>
      <c r="I255" s="6">
        <f t="shared" si="644"/>
        <v>23.912699999999994</v>
      </c>
      <c r="J255">
        <v>3.6</v>
      </c>
      <c r="K255" s="5">
        <v>7.0000000000000007E-2</v>
      </c>
      <c r="L255" s="17">
        <v>2132</v>
      </c>
      <c r="M255" s="5">
        <v>0.52700000000000002</v>
      </c>
      <c r="N255" s="6">
        <f t="shared" si="304"/>
        <v>14.064000000000002</v>
      </c>
      <c r="O255" s="21">
        <f t="shared" si="751"/>
        <v>46.323300000000003</v>
      </c>
      <c r="P255" s="8">
        <f t="shared" si="1130"/>
        <v>46.987435714285724</v>
      </c>
      <c r="Q255" s="8">
        <f t="shared" si="752"/>
        <v>63.987300000000012</v>
      </c>
      <c r="R255" s="6">
        <f t="shared" si="753"/>
        <v>23.912699999999994</v>
      </c>
      <c r="S255" s="6">
        <f t="shared" si="684"/>
        <v>6.1530000000000014</v>
      </c>
      <c r="T255" s="6">
        <f t="shared" ref="T255" si="1451">I255-I254</f>
        <v>0.19135000000000701</v>
      </c>
      <c r="U255" s="6">
        <f t="shared" ref="U255" si="1452">N255-N254</f>
        <v>0.18370000000000175</v>
      </c>
      <c r="V255" s="6">
        <f t="shared" ref="V255" si="1453">E255-E254</f>
        <v>5.0000000000011369E-2</v>
      </c>
      <c r="W255" s="9">
        <f>Tabla1[[#This Row],[Protein]]/Tabla1[[#This Row],[Peso (Kg)]]</f>
        <v>0.27204436860068248</v>
      </c>
      <c r="X255" s="9">
        <f t="shared" si="1134"/>
        <v>0.2663509855947167</v>
      </c>
      <c r="Y255" s="6">
        <f t="shared" si="842"/>
        <v>41.576699999999995</v>
      </c>
      <c r="Z255" s="6">
        <f t="shared" si="1135"/>
        <v>88.414285714285711</v>
      </c>
      <c r="AA255" s="6">
        <f t="shared" ref="AA255" si="1454">AVERAGE(N249:N255)</f>
        <v>14.224921428571431</v>
      </c>
      <c r="AB255" s="6">
        <f t="shared" ref="AB255" si="1455">AVERAGE(R249:R255)</f>
        <v>23.544785714285712</v>
      </c>
      <c r="AC255" s="6">
        <f t="shared" ref="AC255" si="1456">100*(AB255/AB254-1)</f>
        <v>1.1806097842475438</v>
      </c>
      <c r="AD255" s="42">
        <f>Tabla1[[#This Row],[Avg Agua)]]/Tabla1[[#This Row],[Avg Musculo]]</f>
        <v>1.9956620665176099</v>
      </c>
    </row>
    <row r="256" spans="1:31" x14ac:dyDescent="0.3">
      <c r="A256">
        <v>8</v>
      </c>
      <c r="B256">
        <v>17</v>
      </c>
      <c r="C256" t="s">
        <v>26</v>
      </c>
      <c r="D256" s="4">
        <v>45410</v>
      </c>
      <c r="E256" s="6">
        <v>88</v>
      </c>
      <c r="F256" s="7">
        <f t="shared" si="85"/>
        <v>24.898143956541425</v>
      </c>
      <c r="G256" s="9">
        <v>0.16</v>
      </c>
      <c r="H256" s="6">
        <f t="shared" si="291"/>
        <v>73.92</v>
      </c>
      <c r="I256" s="6">
        <f t="shared" si="644"/>
        <v>23.151999999999994</v>
      </c>
      <c r="J256">
        <v>3.6</v>
      </c>
      <c r="K256" s="5">
        <v>7.0000000000000007E-2</v>
      </c>
      <c r="L256" s="17">
        <v>2135</v>
      </c>
      <c r="M256" s="5">
        <v>0.53600000000000003</v>
      </c>
      <c r="N256" s="6">
        <f t="shared" si="304"/>
        <v>14.08</v>
      </c>
      <c r="O256" s="21">
        <f t="shared" si="751"/>
        <v>47.168000000000006</v>
      </c>
      <c r="P256" s="8">
        <f t="shared" si="1130"/>
        <v>47.00000714285715</v>
      </c>
      <c r="Q256" s="8">
        <f t="shared" si="752"/>
        <v>64.848000000000013</v>
      </c>
      <c r="R256" s="6">
        <f t="shared" si="753"/>
        <v>23.151999999999994</v>
      </c>
      <c r="S256" s="6">
        <f t="shared" si="684"/>
        <v>6.16</v>
      </c>
      <c r="T256" s="6">
        <f t="shared" ref="T256" si="1457">I256-I255</f>
        <v>-0.76069999999999993</v>
      </c>
      <c r="U256" s="6">
        <f t="shared" ref="U256" si="1458">N256-N255</f>
        <v>1.5999999999998238E-2</v>
      </c>
      <c r="V256" s="6">
        <f t="shared" ref="V256" si="1459">E256-E255</f>
        <v>9.9999999999994316E-2</v>
      </c>
      <c r="W256" s="9">
        <f>Tabla1[[#This Row],[Protein]]/Tabla1[[#This Row],[Peso (Kg)]]</f>
        <v>0.26309090909090904</v>
      </c>
      <c r="X256" s="9">
        <f t="shared" si="1134"/>
        <v>0.26606527130900243</v>
      </c>
      <c r="Y256" s="6">
        <f t="shared" si="842"/>
        <v>40.831999999999994</v>
      </c>
      <c r="Z256" s="6">
        <f t="shared" si="1135"/>
        <v>88.414285714285711</v>
      </c>
      <c r="AA256" s="6">
        <f t="shared" ref="AA256" si="1460">AVERAGE(N250:N256)</f>
        <v>14.237492857142858</v>
      </c>
      <c r="AB256" s="6">
        <f t="shared" ref="AB256" si="1461">AVERAGE(R250:R256)</f>
        <v>23.519642857142852</v>
      </c>
      <c r="AC256" s="6">
        <f t="shared" ref="AC256" si="1462">100*(AB256/AB255-1)</f>
        <v>-0.10678736875318062</v>
      </c>
      <c r="AD256" s="42">
        <f>Tabla1[[#This Row],[Avg Agua)]]/Tabla1[[#This Row],[Avg Musculo]]</f>
        <v>1.9983299673525177</v>
      </c>
    </row>
    <row r="257" spans="1:31" x14ac:dyDescent="0.3">
      <c r="A257">
        <v>8</v>
      </c>
      <c r="B257">
        <v>18</v>
      </c>
      <c r="C257" t="s">
        <v>21</v>
      </c>
      <c r="D257" s="4">
        <v>45411</v>
      </c>
      <c r="E257" s="6">
        <v>88.6</v>
      </c>
      <c r="F257" s="7">
        <f t="shared" si="85"/>
        <v>25.067904028972386</v>
      </c>
      <c r="G257" s="9">
        <v>0.161</v>
      </c>
      <c r="H257" s="6">
        <f t="shared" si="291"/>
        <v>74.335399999999993</v>
      </c>
      <c r="I257" s="6">
        <f t="shared" si="644"/>
        <v>23.057199999999991</v>
      </c>
      <c r="J257">
        <v>3.7</v>
      </c>
      <c r="K257" s="5">
        <v>7.4999999999999997E-2</v>
      </c>
      <c r="L257" s="17">
        <v>2148</v>
      </c>
      <c r="M257" s="5">
        <v>0.53700000000000003</v>
      </c>
      <c r="N257" s="6">
        <f t="shared" si="304"/>
        <v>14.2646</v>
      </c>
      <c r="O257" s="21">
        <f t="shared" si="751"/>
        <v>47.578200000000002</v>
      </c>
      <c r="P257" s="8">
        <f t="shared" si="1130"/>
        <v>46.90154285714285</v>
      </c>
      <c r="Q257" s="8">
        <f t="shared" si="752"/>
        <v>65.5428</v>
      </c>
      <c r="R257" s="6">
        <f t="shared" si="753"/>
        <v>23.057199999999991</v>
      </c>
      <c r="S257" s="6">
        <f t="shared" ref="S257" si="1463">K257*E257</f>
        <v>6.6449999999999996</v>
      </c>
      <c r="T257" s="6">
        <f t="shared" ref="T257" si="1464">I257-I256</f>
        <v>-9.4800000000002882E-2</v>
      </c>
      <c r="U257" s="6">
        <f t="shared" ref="U257" si="1465">N257-N256</f>
        <v>0.18459999999999965</v>
      </c>
      <c r="V257" s="6">
        <f t="shared" ref="V257" si="1466">E257-E256</f>
        <v>0.59999999999999432</v>
      </c>
      <c r="W257" s="9">
        <f>Tabla1[[#This Row],[Protein]]/Tabla1[[#This Row],[Peso (Kg)]]</f>
        <v>0.26023927765237009</v>
      </c>
      <c r="X257" s="9">
        <f t="shared" si="1134"/>
        <v>0.26728769663207774</v>
      </c>
      <c r="Y257" s="6">
        <f t="shared" si="842"/>
        <v>41.021799999999992</v>
      </c>
      <c r="Z257" s="6">
        <f t="shared" si="1135"/>
        <v>88.278571428571439</v>
      </c>
      <c r="AA257" s="6">
        <f t="shared" ref="AA257" si="1467">AVERAGE(N251:N257)</f>
        <v>14.126092857142856</v>
      </c>
      <c r="AB257" s="6">
        <f t="shared" ref="AB257" si="1468">AVERAGE(R251:R257)</f>
        <v>23.593792857142851</v>
      </c>
      <c r="AC257" s="6">
        <f t="shared" ref="AC257" si="1469">100*(AB257/AB256-1)</f>
        <v>0.31526839268087858</v>
      </c>
      <c r="AD257" s="42">
        <f>Tabla1[[#This Row],[Avg Agua)]]/Tabla1[[#This Row],[Avg Musculo]]</f>
        <v>1.9878763512558237</v>
      </c>
    </row>
    <row r="258" spans="1:31" x14ac:dyDescent="0.3">
      <c r="A258">
        <v>8</v>
      </c>
      <c r="B258">
        <v>18</v>
      </c>
      <c r="C258" t="s">
        <v>23</v>
      </c>
      <c r="D258" s="4">
        <v>45412</v>
      </c>
      <c r="E258" s="6">
        <v>88.65</v>
      </c>
      <c r="F258" s="7">
        <f t="shared" si="85"/>
        <v>25.082050701674969</v>
      </c>
      <c r="G258" s="9">
        <v>0.16400000000000001</v>
      </c>
      <c r="H258" s="6">
        <f t="shared" si="291"/>
        <v>74.111400000000003</v>
      </c>
      <c r="I258" s="6">
        <f t="shared" si="644"/>
        <v>22.806349999999998</v>
      </c>
      <c r="J258">
        <v>3.7</v>
      </c>
      <c r="K258" s="5">
        <v>7.4999999999999997E-2</v>
      </c>
      <c r="L258" s="17">
        <v>2142</v>
      </c>
      <c r="M258" s="5">
        <v>0.53700000000000003</v>
      </c>
      <c r="N258" s="6">
        <f t="shared" si="304"/>
        <v>14.538600000000002</v>
      </c>
      <c r="O258" s="21">
        <f t="shared" si="751"/>
        <v>47.605050000000006</v>
      </c>
      <c r="P258" s="8">
        <f t="shared" si="1130"/>
        <v>46.944764285714292</v>
      </c>
      <c r="Q258" s="8">
        <f t="shared" ref="Q258:Q292" si="1470">E258-R258</f>
        <v>65.843650000000011</v>
      </c>
      <c r="R258" s="6">
        <f t="shared" ref="R258:R292" si="1471">I258</f>
        <v>22.806349999999998</v>
      </c>
      <c r="S258" s="6">
        <f t="shared" ref="S258:S292" si="1472">K258*E258</f>
        <v>6.6487500000000006</v>
      </c>
      <c r="T258" s="6">
        <f t="shared" ref="T258" si="1473">I258-I257</f>
        <v>-0.25084999999999269</v>
      </c>
      <c r="U258" s="6">
        <f t="shared" ref="U258" si="1474">N258-N257</f>
        <v>0.27400000000000269</v>
      </c>
      <c r="V258" s="6">
        <f t="shared" ref="V258" si="1475">E258-E257</f>
        <v>5.0000000000011369E-2</v>
      </c>
      <c r="W258" s="9">
        <f>Tabla1[[#This Row],[Protein]]/Tabla1[[#This Row],[Peso (Kg)]]</f>
        <v>0.25726283135927802</v>
      </c>
      <c r="X258" s="9">
        <f t="shared" si="1134"/>
        <v>0.26681904148812507</v>
      </c>
      <c r="Y258" s="6">
        <f t="shared" ref="Y258:Y292" si="1476">R258+N258+J258</f>
        <v>41.04495</v>
      </c>
      <c r="Z258" s="6">
        <f t="shared" si="1135"/>
        <v>88.19285714285715</v>
      </c>
      <c r="AA258" s="6">
        <f t="shared" ref="AA258" si="1477">AVERAGE(N252:N258)</f>
        <v>14.061035714285714</v>
      </c>
      <c r="AB258" s="6">
        <f t="shared" ref="AB258" si="1478">AVERAGE(R252:R258)</f>
        <v>23.52991428571428</v>
      </c>
      <c r="AC258" s="6">
        <f t="shared" ref="AC258" si="1479">100*(AB258/AB257-1)</f>
        <v>-0.27074312220738417</v>
      </c>
      <c r="AD258" s="42">
        <f>Tabla1[[#This Row],[Avg Agua)]]/Tabla1[[#This Row],[Avg Musculo]]</f>
        <v>1.9951098722962994</v>
      </c>
    </row>
    <row r="259" spans="1:31" x14ac:dyDescent="0.3">
      <c r="A259">
        <v>8</v>
      </c>
      <c r="B259">
        <v>18</v>
      </c>
      <c r="C259" t="s">
        <v>24</v>
      </c>
      <c r="D259" s="4">
        <v>45413</v>
      </c>
      <c r="E259" s="6">
        <v>87.9</v>
      </c>
      <c r="F259" s="7">
        <f t="shared" si="85"/>
        <v>24.869850611136265</v>
      </c>
      <c r="G259" s="9">
        <v>0.157</v>
      </c>
      <c r="H259" s="6">
        <f t="shared" si="291"/>
        <v>74.099699999999999</v>
      </c>
      <c r="I259" s="6">
        <f t="shared" si="644"/>
        <v>23.549000000000003</v>
      </c>
      <c r="J259">
        <v>3.7</v>
      </c>
      <c r="K259" s="5">
        <v>7.0000000000000007E-2</v>
      </c>
      <c r="L259" s="17">
        <v>2137</v>
      </c>
      <c r="M259" s="5">
        <v>0.53299999999999992</v>
      </c>
      <c r="N259" s="6">
        <f t="shared" si="304"/>
        <v>13.800300000000002</v>
      </c>
      <c r="O259" s="21">
        <f t="shared" si="751"/>
        <v>46.850699999999996</v>
      </c>
      <c r="P259" s="8">
        <f t="shared" si="1130"/>
        <v>46.924364285714297</v>
      </c>
      <c r="Q259" s="8">
        <f t="shared" si="1470"/>
        <v>64.350999999999999</v>
      </c>
      <c r="R259" s="6">
        <f t="shared" si="1471"/>
        <v>23.549000000000003</v>
      </c>
      <c r="S259" s="6">
        <f t="shared" si="1472"/>
        <v>6.1530000000000014</v>
      </c>
      <c r="T259" s="6">
        <f t="shared" ref="T259" si="1480">I259-I258</f>
        <v>0.7426500000000047</v>
      </c>
      <c r="U259" s="6">
        <f t="shared" ref="U259" si="1481">N259-N258</f>
        <v>-0.73830000000000062</v>
      </c>
      <c r="V259" s="6">
        <f t="shared" ref="V259" si="1482">E259-E258</f>
        <v>-0.75</v>
      </c>
      <c r="W259" s="9">
        <f>Tabla1[[#This Row],[Protein]]/Tabla1[[#This Row],[Peso (Kg)]]</f>
        <v>0.26790671217292378</v>
      </c>
      <c r="X259" s="9">
        <f t="shared" si="1134"/>
        <v>0.26663541602775986</v>
      </c>
      <c r="Y259" s="6">
        <f t="shared" si="1476"/>
        <v>41.049300000000009</v>
      </c>
      <c r="Z259" s="6">
        <f t="shared" si="1135"/>
        <v>88.107142857142861</v>
      </c>
      <c r="AA259" s="6">
        <f t="shared" ref="AA259" si="1483">AVERAGE(N253:N259)</f>
        <v>14.034935714285714</v>
      </c>
      <c r="AB259" s="6">
        <f t="shared" ref="AB259" si="1484">AVERAGE(R253:R259)</f>
        <v>23.490699999999997</v>
      </c>
      <c r="AC259" s="6">
        <f t="shared" ref="AC259" si="1485">100*(AB259/AB258-1)</f>
        <v>-0.16665715496504419</v>
      </c>
      <c r="AD259" s="42">
        <f>Tabla1[[#This Row],[Avg Agua)]]/Tabla1[[#This Row],[Avg Musculo]]</f>
        <v>1.9975719874552187</v>
      </c>
    </row>
    <row r="260" spans="1:31" x14ac:dyDescent="0.3">
      <c r="A260">
        <v>8</v>
      </c>
      <c r="B260">
        <v>18</v>
      </c>
      <c r="C260" t="s">
        <v>22</v>
      </c>
      <c r="D260" s="4">
        <v>45414</v>
      </c>
      <c r="E260" s="6">
        <v>87.65</v>
      </c>
      <c r="F260" s="7">
        <f t="shared" si="85"/>
        <v>24.799117247623361</v>
      </c>
      <c r="G260" s="9">
        <v>0.155</v>
      </c>
      <c r="H260" s="6">
        <f t="shared" si="291"/>
        <v>74.064250000000001</v>
      </c>
      <c r="I260" s="6">
        <f t="shared" si="644"/>
        <v>23.746800000000007</v>
      </c>
      <c r="J260">
        <v>3.6</v>
      </c>
      <c r="K260" s="5">
        <v>7.0000000000000007E-2</v>
      </c>
      <c r="L260" s="17">
        <v>2135</v>
      </c>
      <c r="M260" s="5">
        <v>0.53299999999999992</v>
      </c>
      <c r="N260" s="6">
        <f t="shared" si="304"/>
        <v>13.585750000000001</v>
      </c>
      <c r="O260" s="21">
        <f t="shared" si="751"/>
        <v>46.717449999999992</v>
      </c>
      <c r="P260" s="8">
        <f t="shared" si="1130"/>
        <v>46.984435714285716</v>
      </c>
      <c r="Q260" s="8">
        <f t="shared" si="1470"/>
        <v>63.903199999999998</v>
      </c>
      <c r="R260" s="6">
        <f t="shared" si="1471"/>
        <v>23.746800000000007</v>
      </c>
      <c r="S260" s="6">
        <f t="shared" si="1472"/>
        <v>6.1355000000000013</v>
      </c>
      <c r="T260" s="6">
        <f t="shared" ref="T260" si="1486">I260-I259</f>
        <v>0.19780000000000442</v>
      </c>
      <c r="U260" s="6">
        <f t="shared" ref="U260" si="1487">N260-N259</f>
        <v>-0.21455000000000091</v>
      </c>
      <c r="V260" s="6">
        <f t="shared" ref="V260" si="1488">E260-E259</f>
        <v>-0.25</v>
      </c>
      <c r="W260" s="9">
        <f>Tabla1[[#This Row],[Protein]]/Tabla1[[#This Row],[Peso (Kg)]]</f>
        <v>0.27092755276668573</v>
      </c>
      <c r="X260" s="9">
        <f t="shared" si="1134"/>
        <v>0.26592753003792874</v>
      </c>
      <c r="Y260" s="6">
        <f t="shared" si="1476"/>
        <v>40.932550000000013</v>
      </c>
      <c r="Z260" s="6">
        <f t="shared" si="1135"/>
        <v>88.078571428571422</v>
      </c>
      <c r="AA260" s="6">
        <f t="shared" ref="AA260" si="1489">AVERAGE(N254:N260)</f>
        <v>14.030507142857147</v>
      </c>
      <c r="AB260" s="6">
        <f t="shared" ref="AB260" si="1490">AVERAGE(R254:R260)</f>
        <v>23.420771428571424</v>
      </c>
      <c r="AC260" s="6">
        <f t="shared" ref="AC260" si="1491">100*(AB260/AB259-1)</f>
        <v>-0.29768619678669506</v>
      </c>
      <c r="AD260" s="42">
        <f>Tabla1[[#This Row],[Avg Agua)]]/Tabla1[[#This Row],[Avg Musculo]]</f>
        <v>2.0061011165912559</v>
      </c>
    </row>
    <row r="261" spans="1:31" x14ac:dyDescent="0.3">
      <c r="A261">
        <v>8</v>
      </c>
      <c r="B261">
        <v>18</v>
      </c>
      <c r="C261" t="s">
        <v>20</v>
      </c>
      <c r="D261" s="4">
        <v>45415</v>
      </c>
      <c r="E261" s="6">
        <v>87.8</v>
      </c>
      <c r="F261" s="7">
        <f t="shared" si="85"/>
        <v>24.841557265731101</v>
      </c>
      <c r="G261" s="9">
        <v>0.16</v>
      </c>
      <c r="H261" s="6">
        <f t="shared" si="291"/>
        <v>73.751999999999995</v>
      </c>
      <c r="I261" s="6">
        <f t="shared" si="644"/>
        <v>23.003399999999992</v>
      </c>
      <c r="J261">
        <v>3.6</v>
      </c>
      <c r="K261" s="5">
        <v>7.0000000000000007E-2</v>
      </c>
      <c r="L261" s="17">
        <v>2128</v>
      </c>
      <c r="M261" s="5">
        <v>0.53700000000000003</v>
      </c>
      <c r="N261" s="6">
        <f t="shared" si="304"/>
        <v>14.048</v>
      </c>
      <c r="O261" s="21">
        <f t="shared" si="751"/>
        <v>47.148600000000002</v>
      </c>
      <c r="P261" s="8">
        <f t="shared" si="1130"/>
        <v>47.055900000000001</v>
      </c>
      <c r="Q261" s="8">
        <f t="shared" si="1470"/>
        <v>64.796600000000012</v>
      </c>
      <c r="R261" s="6">
        <f t="shared" si="1471"/>
        <v>23.003399999999992</v>
      </c>
      <c r="S261" s="6">
        <f t="shared" si="1472"/>
        <v>6.1460000000000008</v>
      </c>
      <c r="T261" s="6">
        <f t="shared" ref="T261" si="1492">I261-I260</f>
        <v>-0.74340000000001538</v>
      </c>
      <c r="U261" s="6">
        <f t="shared" ref="U261" si="1493">N261-N260</f>
        <v>0.46224999999999916</v>
      </c>
      <c r="V261" s="6">
        <f t="shared" ref="V261" si="1494">E261-E260</f>
        <v>0.14999999999999147</v>
      </c>
      <c r="W261" s="9">
        <f>Tabla1[[#This Row],[Protein]]/Tabla1[[#This Row],[Peso (Kg)]]</f>
        <v>0.2619977220956719</v>
      </c>
      <c r="X261" s="9">
        <f t="shared" si="1134"/>
        <v>0.264781339105503</v>
      </c>
      <c r="Y261" s="6">
        <f t="shared" si="1476"/>
        <v>40.651399999999995</v>
      </c>
      <c r="Z261" s="6">
        <f t="shared" si="1135"/>
        <v>88.071428571428555</v>
      </c>
      <c r="AA261" s="6">
        <f t="shared" ref="AA261" si="1495">AVERAGE(N255:N261)</f>
        <v>14.054464285714287</v>
      </c>
      <c r="AB261" s="6">
        <f t="shared" ref="AB261" si="1496">AVERAGE(R255:R261)</f>
        <v>23.31820714285714</v>
      </c>
      <c r="AC261" s="6">
        <f t="shared" ref="AC261" si="1497">100*(AB261/AB260-1)</f>
        <v>-0.43792018562276436</v>
      </c>
      <c r="AD261" s="42">
        <f>Tabla1[[#This Row],[Avg Agua)]]/Tabla1[[#This Row],[Avg Musculo]]</f>
        <v>2.017989621230988</v>
      </c>
    </row>
    <row r="262" spans="1:31" x14ac:dyDescent="0.3">
      <c r="A262">
        <v>8</v>
      </c>
      <c r="B262">
        <v>18</v>
      </c>
      <c r="C262" t="s">
        <v>25</v>
      </c>
      <c r="D262" s="4">
        <v>45416</v>
      </c>
      <c r="E262" s="6">
        <v>88.6</v>
      </c>
      <c r="F262" s="7">
        <f t="shared" si="85"/>
        <v>25.067904028972386</v>
      </c>
      <c r="G262" s="9">
        <v>0.16400000000000001</v>
      </c>
      <c r="H262" s="6">
        <f t="shared" si="291"/>
        <v>74.069599999999994</v>
      </c>
      <c r="I262" s="6">
        <f t="shared" si="644"/>
        <v>23.157199999999996</v>
      </c>
      <c r="J262">
        <v>3.6</v>
      </c>
      <c r="K262" s="5">
        <v>7.4999999999999997E-2</v>
      </c>
      <c r="L262" s="17">
        <v>2138</v>
      </c>
      <c r="M262" s="5">
        <v>0.53400000000000003</v>
      </c>
      <c r="N262" s="6">
        <f t="shared" si="304"/>
        <v>14.5304</v>
      </c>
      <c r="O262" s="21">
        <f t="shared" si="751"/>
        <v>47.312399999999997</v>
      </c>
      <c r="P262" s="8">
        <f t="shared" si="1130"/>
        <v>47.197200000000002</v>
      </c>
      <c r="Q262" s="8">
        <f t="shared" si="1470"/>
        <v>65.442800000000005</v>
      </c>
      <c r="R262" s="6">
        <f t="shared" si="1471"/>
        <v>23.157199999999996</v>
      </c>
      <c r="S262" s="6">
        <f t="shared" si="1472"/>
        <v>6.6449999999999996</v>
      </c>
      <c r="T262" s="6">
        <f t="shared" ref="T262" si="1498">I262-I261</f>
        <v>0.15380000000000393</v>
      </c>
      <c r="U262" s="6">
        <f t="shared" ref="U262" si="1499">N262-N261</f>
        <v>0.48240000000000016</v>
      </c>
      <c r="V262" s="6">
        <f t="shared" ref="V262" si="1500">E262-E261</f>
        <v>0.79999999999999716</v>
      </c>
      <c r="W262" s="9">
        <f>Tabla1[[#This Row],[Protein]]/Tabla1[[#This Row],[Peso (Kg)]]</f>
        <v>0.26136794582392775</v>
      </c>
      <c r="X262" s="9">
        <f t="shared" si="1134"/>
        <v>0.26325613585168089</v>
      </c>
      <c r="Y262" s="6">
        <f t="shared" si="1476"/>
        <v>41.287599999999998</v>
      </c>
      <c r="Z262" s="6">
        <f t="shared" si="1135"/>
        <v>88.171428571428564</v>
      </c>
      <c r="AA262" s="6">
        <f t="shared" ref="AA262" si="1501">AVERAGE(N256:N262)</f>
        <v>14.121092857142857</v>
      </c>
      <c r="AB262" s="6">
        <f t="shared" ref="AB262" si="1502">AVERAGE(R256:R262)</f>
        <v>23.210278571428567</v>
      </c>
      <c r="AC262" s="6">
        <f t="shared" ref="AC262" si="1503">100*(AB262/AB261-1)</f>
        <v>-0.46285107069921061</v>
      </c>
      <c r="AD262" s="42">
        <f>Tabla1[[#This Row],[Avg Agua)]]/Tabla1[[#This Row],[Avg Musculo]]</f>
        <v>2.0334611605264792</v>
      </c>
      <c r="AE262" t="s">
        <v>63</v>
      </c>
    </row>
    <row r="263" spans="1:31" x14ac:dyDescent="0.3">
      <c r="A263">
        <v>8</v>
      </c>
      <c r="B263">
        <v>18</v>
      </c>
      <c r="C263" t="s">
        <v>26</v>
      </c>
      <c r="D263" s="4">
        <v>45417</v>
      </c>
      <c r="E263" s="6">
        <v>88.3</v>
      </c>
      <c r="F263" s="7">
        <f t="shared" si="85"/>
        <v>24.983023992756905</v>
      </c>
      <c r="G263" s="9">
        <v>0.16</v>
      </c>
      <c r="H263" s="6">
        <f t="shared" si="291"/>
        <v>74.171999999999997</v>
      </c>
      <c r="I263" s="6">
        <f t="shared" si="644"/>
        <v>23.408100000000008</v>
      </c>
      <c r="J263">
        <v>3.7</v>
      </c>
      <c r="K263" s="5">
        <v>7.0000000000000007E-2</v>
      </c>
      <c r="L263" s="17">
        <v>2141</v>
      </c>
      <c r="M263" s="5">
        <v>0.53299999999999992</v>
      </c>
      <c r="N263" s="6">
        <f t="shared" si="304"/>
        <v>14.128</v>
      </c>
      <c r="O263" s="21">
        <f t="shared" si="751"/>
        <v>47.06389999999999</v>
      </c>
      <c r="P263" s="8">
        <f t="shared" si="1130"/>
        <v>47.18232857142857</v>
      </c>
      <c r="Q263" s="8">
        <f t="shared" si="1470"/>
        <v>64.891899999999993</v>
      </c>
      <c r="R263" s="6">
        <f t="shared" si="1471"/>
        <v>23.408100000000008</v>
      </c>
      <c r="S263" s="6">
        <f t="shared" si="1472"/>
        <v>6.181</v>
      </c>
      <c r="T263" s="6">
        <f t="shared" ref="T263" si="1504">I263-I262</f>
        <v>0.25090000000001211</v>
      </c>
      <c r="U263" s="6">
        <f t="shared" ref="U263" si="1505">N263-N262</f>
        <v>-0.40240000000000009</v>
      </c>
      <c r="V263" s="6">
        <f t="shared" ref="V263" si="1506">E263-E262</f>
        <v>-0.29999999999999716</v>
      </c>
      <c r="W263" s="9">
        <f>Tabla1[[#This Row],[Protein]]/Tabla1[[#This Row],[Peso (Kg)]]</f>
        <v>0.26509739524348819</v>
      </c>
      <c r="X263" s="9">
        <f t="shared" si="1134"/>
        <v>0.26354277673062076</v>
      </c>
      <c r="Y263" s="6">
        <f t="shared" si="1476"/>
        <v>41.236100000000008</v>
      </c>
      <c r="Z263" s="6">
        <f t="shared" si="1135"/>
        <v>88.214285714285694</v>
      </c>
      <c r="AA263" s="6">
        <f t="shared" ref="AA263" si="1507">AVERAGE(N257:N263)</f>
        <v>14.12795</v>
      </c>
      <c r="AB263" s="6">
        <f t="shared" ref="AB263" si="1508">AVERAGE(R257:R263)</f>
        <v>23.246864285714285</v>
      </c>
      <c r="AC263" s="6">
        <f t="shared" ref="AC263" si="1509">100*(AB263/AB262-1)</f>
        <v>0.15762720888130577</v>
      </c>
      <c r="AD263" s="42">
        <f>Tabla1[[#This Row],[Avg Agua)]]/Tabla1[[#This Row],[Avg Musculo]]</f>
        <v>2.0296211992953888</v>
      </c>
    </row>
    <row r="264" spans="1:31" x14ac:dyDescent="0.3">
      <c r="A264">
        <v>8</v>
      </c>
      <c r="B264">
        <v>19</v>
      </c>
      <c r="C264" t="s">
        <v>21</v>
      </c>
      <c r="D264" s="4">
        <v>45418</v>
      </c>
      <c r="E264" s="6">
        <v>88.8</v>
      </c>
      <c r="F264" s="7">
        <f t="shared" si="85"/>
        <v>25.12449071978271</v>
      </c>
      <c r="G264" s="9">
        <v>0.16300000000000001</v>
      </c>
      <c r="H264" s="6">
        <f t="shared" si="291"/>
        <v>74.325599999999994</v>
      </c>
      <c r="I264" s="6">
        <f t="shared" si="644"/>
        <v>23.028799999999993</v>
      </c>
      <c r="J264">
        <v>3.7</v>
      </c>
      <c r="K264" s="5">
        <v>7.4999999999999997E-2</v>
      </c>
      <c r="L264" s="17">
        <v>2148</v>
      </c>
      <c r="M264" s="5">
        <v>0.53600000000000003</v>
      </c>
      <c r="N264" s="6">
        <f t="shared" si="304"/>
        <v>14.474399999999999</v>
      </c>
      <c r="O264" s="21">
        <f t="shared" si="751"/>
        <v>47.596800000000002</v>
      </c>
      <c r="P264" s="8">
        <f t="shared" si="1130"/>
        <v>47.184985714285709</v>
      </c>
      <c r="Q264" s="8">
        <f t="shared" si="1470"/>
        <v>65.771200000000007</v>
      </c>
      <c r="R264" s="6">
        <f t="shared" si="1471"/>
        <v>23.028799999999993</v>
      </c>
      <c r="S264" s="6">
        <f t="shared" si="1472"/>
        <v>6.6599999999999993</v>
      </c>
      <c r="T264" s="6">
        <f t="shared" ref="T264" si="1510">I264-I263</f>
        <v>-0.37930000000001485</v>
      </c>
      <c r="U264" s="6">
        <f t="shared" ref="U264" si="1511">N264-N263</f>
        <v>0.34639999999999915</v>
      </c>
      <c r="V264" s="6">
        <f t="shared" ref="V264" si="1512">E264-E263</f>
        <v>0.5</v>
      </c>
      <c r="W264" s="9">
        <f>Tabla1[[#This Row],[Protein]]/Tabla1[[#This Row],[Peso (Kg)]]</f>
        <v>0.25933333333333325</v>
      </c>
      <c r="X264" s="9">
        <f t="shared" si="1134"/>
        <v>0.26341335611361549</v>
      </c>
      <c r="Y264" s="6">
        <f t="shared" si="1476"/>
        <v>41.203199999999995</v>
      </c>
      <c r="Z264" s="6">
        <f t="shared" si="1135"/>
        <v>88.242857142857133</v>
      </c>
      <c r="AA264" s="6">
        <f t="shared" ref="AA264" si="1513">AVERAGE(N258:N264)</f>
        <v>14.157921428571429</v>
      </c>
      <c r="AB264" s="6">
        <f t="shared" ref="AB264" si="1514">AVERAGE(R258:R264)</f>
        <v>23.242807142857142</v>
      </c>
      <c r="AC264" s="6">
        <f t="shared" ref="AC264" si="1515">100*(AB264/AB263-1)</f>
        <v>-1.7452430604314451E-2</v>
      </c>
      <c r="AD264" s="42">
        <f>Tabla1[[#This Row],[Avg Agua)]]/Tabla1[[#This Row],[Avg Musculo]]</f>
        <v>2.0300898004390295</v>
      </c>
    </row>
    <row r="265" spans="1:31" x14ac:dyDescent="0.3">
      <c r="A265">
        <v>8</v>
      </c>
      <c r="B265">
        <v>19</v>
      </c>
      <c r="C265" t="s">
        <v>23</v>
      </c>
      <c r="D265" s="4">
        <v>45419</v>
      </c>
      <c r="E265" s="6">
        <v>88.25</v>
      </c>
      <c r="F265" s="7">
        <f t="shared" si="85"/>
        <v>24.968877320054325</v>
      </c>
      <c r="G265" s="9">
        <v>0.16200000000000001</v>
      </c>
      <c r="H265" s="6">
        <f t="shared" si="291"/>
        <v>73.953500000000005</v>
      </c>
      <c r="I265" s="6">
        <f t="shared" si="644"/>
        <v>23.669249999999998</v>
      </c>
      <c r="J265">
        <v>3.6</v>
      </c>
      <c r="K265" s="5">
        <v>7.4999999999999997E-2</v>
      </c>
      <c r="L265" s="17">
        <v>2137</v>
      </c>
      <c r="M265" s="5">
        <v>0.52900000000000003</v>
      </c>
      <c r="N265" s="6">
        <f t="shared" si="304"/>
        <v>14.2965</v>
      </c>
      <c r="O265" s="21">
        <f t="shared" si="751"/>
        <v>46.684250000000006</v>
      </c>
      <c r="P265" s="8">
        <f t="shared" ref="P265:P328" si="1516">AVERAGE(O259:O265)</f>
        <v>47.053442857142855</v>
      </c>
      <c r="Q265" s="8">
        <f t="shared" si="1470"/>
        <v>64.580749999999995</v>
      </c>
      <c r="R265" s="6">
        <f t="shared" si="1471"/>
        <v>23.669249999999998</v>
      </c>
      <c r="S265" s="6">
        <f t="shared" si="1472"/>
        <v>6.6187499999999995</v>
      </c>
      <c r="T265" s="6">
        <f t="shared" ref="T265" si="1517">I265-I264</f>
        <v>0.64045000000000485</v>
      </c>
      <c r="U265" s="6">
        <f t="shared" ref="U265" si="1518">N265-N264</f>
        <v>-0.17789999999999928</v>
      </c>
      <c r="V265" s="6">
        <f t="shared" ref="V265" si="1519">E265-E264</f>
        <v>-0.54999999999999716</v>
      </c>
      <c r="W265" s="9">
        <f>Tabla1[[#This Row],[Protein]]/Tabla1[[#This Row],[Peso (Kg)]]</f>
        <v>0.2682067988668555</v>
      </c>
      <c r="X265" s="9">
        <f t="shared" ref="X265:X328" si="1520">AVERAGE(W259:W265)</f>
        <v>0.26497678004326941</v>
      </c>
      <c r="Y265" s="6">
        <f t="shared" si="1476"/>
        <v>41.565750000000001</v>
      </c>
      <c r="Z265" s="6">
        <f t="shared" ref="Z265:Z328" si="1521">AVERAGE(E259:E265)</f>
        <v>88.185714285714297</v>
      </c>
      <c r="AA265" s="6">
        <f t="shared" ref="AA265" si="1522">AVERAGE(N259:N265)</f>
        <v>14.123335714285716</v>
      </c>
      <c r="AB265" s="6">
        <f t="shared" ref="AB265" si="1523">AVERAGE(R259:R265)</f>
        <v>23.366078571428574</v>
      </c>
      <c r="AC265" s="6">
        <f t="shared" ref="AC265" si="1524">100*(AB265/AB264-1)</f>
        <v>0.53036377152626546</v>
      </c>
      <c r="AD265" s="42">
        <f>Tabla1[[#This Row],[Avg Agua)]]/Tabla1[[#This Row],[Avg Musculo]]</f>
        <v>2.0137500913259174</v>
      </c>
    </row>
    <row r="266" spans="1:31" x14ac:dyDescent="0.3">
      <c r="A266">
        <v>8</v>
      </c>
      <c r="B266">
        <v>19</v>
      </c>
      <c r="C266" t="s">
        <v>24</v>
      </c>
      <c r="D266" s="4">
        <v>45420</v>
      </c>
      <c r="E266" s="6">
        <v>88.65</v>
      </c>
      <c r="F266" s="7">
        <f t="shared" si="85"/>
        <v>25.082050701674969</v>
      </c>
      <c r="G266" s="9">
        <v>0.16300000000000001</v>
      </c>
      <c r="H266" s="6">
        <f t="shared" si="291"/>
        <v>74.200050000000005</v>
      </c>
      <c r="I266" s="6">
        <f t="shared" si="644"/>
        <v>23.4269</v>
      </c>
      <c r="J266">
        <v>3.7</v>
      </c>
      <c r="K266" s="5">
        <v>7.4999999999999997E-2</v>
      </c>
      <c r="L266" s="17">
        <v>2143</v>
      </c>
      <c r="M266" s="5">
        <v>0.53100000000000003</v>
      </c>
      <c r="N266" s="6">
        <f t="shared" si="304"/>
        <v>14.449950000000001</v>
      </c>
      <c r="O266" s="21">
        <f t="shared" si="751"/>
        <v>47.073150000000005</v>
      </c>
      <c r="P266" s="8">
        <f t="shared" si="1516"/>
        <v>47.085221428571423</v>
      </c>
      <c r="Q266" s="8">
        <f t="shared" si="1470"/>
        <v>65.223100000000002</v>
      </c>
      <c r="R266" s="6">
        <f t="shared" si="1471"/>
        <v>23.4269</v>
      </c>
      <c r="S266" s="6">
        <f t="shared" si="1472"/>
        <v>6.6487500000000006</v>
      </c>
      <c r="T266" s="6">
        <f t="shared" ref="T266" si="1525">I266-I265</f>
        <v>-0.24234999999999829</v>
      </c>
      <c r="U266" s="6">
        <f t="shared" ref="U266" si="1526">N266-N265</f>
        <v>0.1534500000000012</v>
      </c>
      <c r="V266" s="6">
        <f t="shared" ref="V266" si="1527">E266-E265</f>
        <v>0.40000000000000568</v>
      </c>
      <c r="W266" s="9">
        <f>Tabla1[[#This Row],[Protein]]/Tabla1[[#This Row],[Peso (Kg)]]</f>
        <v>0.26426283135927803</v>
      </c>
      <c r="X266" s="9">
        <f t="shared" si="1520"/>
        <v>0.26445622564132004</v>
      </c>
      <c r="Y266" s="6">
        <f t="shared" si="1476"/>
        <v>41.576850000000007</v>
      </c>
      <c r="Z266" s="6">
        <f t="shared" si="1521"/>
        <v>88.29285714285713</v>
      </c>
      <c r="AA266" s="6">
        <f t="shared" ref="AA266" si="1528">AVERAGE(N260:N266)</f>
        <v>14.216142857142856</v>
      </c>
      <c r="AB266" s="6">
        <f t="shared" ref="AB266" si="1529">AVERAGE(R260:R266)</f>
        <v>23.348635714285709</v>
      </c>
      <c r="AC266" s="6">
        <f t="shared" ref="AC266" si="1530">100*(AB266/AB265-1)</f>
        <v>-7.4650340190984821E-2</v>
      </c>
      <c r="AD266" s="42">
        <f>Tabla1[[#This Row],[Avg Agua)]]/Tabla1[[#This Row],[Avg Musculo]]</f>
        <v>2.0166155318343777</v>
      </c>
    </row>
    <row r="267" spans="1:31" x14ac:dyDescent="0.3">
      <c r="A267">
        <v>8</v>
      </c>
      <c r="B267">
        <v>19</v>
      </c>
      <c r="C267" t="s">
        <v>22</v>
      </c>
      <c r="D267" s="4">
        <v>45421</v>
      </c>
      <c r="E267" s="6">
        <v>88.75</v>
      </c>
      <c r="F267" s="7">
        <f t="shared" si="85"/>
        <v>25.11034404708013</v>
      </c>
      <c r="G267" s="9">
        <v>0.158</v>
      </c>
      <c r="H267" s="6">
        <f t="shared" si="291"/>
        <v>74.727499999999992</v>
      </c>
      <c r="I267" s="6">
        <f t="shared" si="644"/>
        <v>23.812499999999989</v>
      </c>
      <c r="J267">
        <v>3.7</v>
      </c>
      <c r="K267" s="5">
        <v>7.0000000000000007E-2</v>
      </c>
      <c r="L267" s="17">
        <v>2159</v>
      </c>
      <c r="M267" s="5">
        <v>0.53200000000000003</v>
      </c>
      <c r="N267" s="6">
        <f t="shared" si="304"/>
        <v>14.022500000000001</v>
      </c>
      <c r="O267" s="21">
        <f t="shared" si="751"/>
        <v>47.215000000000003</v>
      </c>
      <c r="P267" s="8">
        <f t="shared" si="1516"/>
        <v>47.156300000000002</v>
      </c>
      <c r="Q267" s="8">
        <f t="shared" si="1470"/>
        <v>64.937500000000014</v>
      </c>
      <c r="R267" s="6">
        <f t="shared" si="1471"/>
        <v>23.812499999999989</v>
      </c>
      <c r="S267" s="6">
        <f t="shared" si="1472"/>
        <v>6.2125000000000004</v>
      </c>
      <c r="T267" s="6">
        <f t="shared" ref="T267" si="1531">I267-I266</f>
        <v>0.38559999999998951</v>
      </c>
      <c r="U267" s="6">
        <f t="shared" ref="U267" si="1532">N267-N266</f>
        <v>-0.42745000000000033</v>
      </c>
      <c r="V267" s="6">
        <f t="shared" ref="V267" si="1533">E267-E266</f>
        <v>9.9999999999994316E-2</v>
      </c>
      <c r="W267" s="9">
        <f>Tabla1[[#This Row],[Protein]]/Tabla1[[#This Row],[Peso (Kg)]]</f>
        <v>0.26830985915492944</v>
      </c>
      <c r="X267" s="9">
        <f t="shared" si="1520"/>
        <v>0.26408226941106916</v>
      </c>
      <c r="Y267" s="6">
        <f t="shared" si="1476"/>
        <v>41.534999999999997</v>
      </c>
      <c r="Z267" s="6">
        <f t="shared" si="1521"/>
        <v>88.45</v>
      </c>
      <c r="AA267" s="6">
        <f t="shared" ref="AA267" si="1534">AVERAGE(N261:N267)</f>
        <v>14.278535714285713</v>
      </c>
      <c r="AB267" s="6">
        <f t="shared" ref="AB267" si="1535">AVERAGE(R261:R267)</f>
        <v>23.358021428571423</v>
      </c>
      <c r="AC267" s="6">
        <f t="shared" ref="AC267" si="1536">100*(AB267/AB266-1)</f>
        <v>4.0198127207791146E-2</v>
      </c>
      <c r="AD267" s="42">
        <f>Tabla1[[#This Row],[Avg Agua)]]/Tabla1[[#This Row],[Avg Musculo]]</f>
        <v>2.0188482206938398</v>
      </c>
    </row>
    <row r="268" spans="1:31" x14ac:dyDescent="0.3">
      <c r="A268">
        <v>8</v>
      </c>
      <c r="B268">
        <v>19</v>
      </c>
      <c r="C268" t="s">
        <v>20</v>
      </c>
      <c r="D268" s="4">
        <v>45422</v>
      </c>
      <c r="E268" s="6">
        <v>88.35</v>
      </c>
      <c r="F268" s="7">
        <f t="shared" si="85"/>
        <v>24.997170665459485</v>
      </c>
      <c r="G268" s="9">
        <v>0.154</v>
      </c>
      <c r="H268" s="6">
        <f t="shared" si="291"/>
        <v>74.744100000000003</v>
      </c>
      <c r="I268" s="6">
        <f t="shared" si="644"/>
        <v>24.130250000000007</v>
      </c>
      <c r="J268">
        <v>3.7</v>
      </c>
      <c r="K268" s="5">
        <v>7.0000000000000007E-2</v>
      </c>
      <c r="L268" s="17">
        <v>2156</v>
      </c>
      <c r="M268" s="5">
        <v>0.53100000000000003</v>
      </c>
      <c r="N268" s="6">
        <f t="shared" si="304"/>
        <v>13.605899999999998</v>
      </c>
      <c r="O268" s="21">
        <f t="shared" si="751"/>
        <v>46.913849999999996</v>
      </c>
      <c r="P268" s="8">
        <f t="shared" si="1516"/>
        <v>47.122764285714297</v>
      </c>
      <c r="Q268" s="8">
        <f t="shared" si="1470"/>
        <v>64.219749999999991</v>
      </c>
      <c r="R268" s="6">
        <f t="shared" si="1471"/>
        <v>24.130250000000007</v>
      </c>
      <c r="S268" s="6">
        <f t="shared" si="1472"/>
        <v>6.1844999999999999</v>
      </c>
      <c r="T268" s="6">
        <f t="shared" ref="T268" si="1537">I268-I267</f>
        <v>0.31775000000001796</v>
      </c>
      <c r="U268" s="6">
        <f t="shared" ref="U268" si="1538">N268-N267</f>
        <v>-0.41660000000000252</v>
      </c>
      <c r="V268" s="6">
        <f t="shared" ref="V268" si="1539">E268-E267</f>
        <v>-0.40000000000000568</v>
      </c>
      <c r="W268" s="9">
        <f>Tabla1[[#This Row],[Protein]]/Tabla1[[#This Row],[Peso (Kg)]]</f>
        <v>0.2731211092246747</v>
      </c>
      <c r="X268" s="9">
        <f t="shared" si="1520"/>
        <v>0.26567132471521243</v>
      </c>
      <c r="Y268" s="6">
        <f t="shared" si="1476"/>
        <v>41.436150000000012</v>
      </c>
      <c r="Z268" s="6">
        <f t="shared" si="1521"/>
        <v>88.528571428571439</v>
      </c>
      <c r="AA268" s="6">
        <f t="shared" ref="AA268" si="1540">AVERAGE(N262:N268)</f>
        <v>14.215378571428573</v>
      </c>
      <c r="AB268" s="6">
        <f t="shared" ref="AB268" si="1541">AVERAGE(R262:R268)</f>
        <v>23.519000000000002</v>
      </c>
      <c r="AC268" s="6">
        <f t="shared" ref="AC268" si="1542">100*(AB268/AB267-1)</f>
        <v>0.68917896972073844</v>
      </c>
      <c r="AD268" s="42">
        <f>Tabla1[[#This Row],[Avg Agua)]]/Tabla1[[#This Row],[Avg Musculo]]</f>
        <v>2.0036040769469063</v>
      </c>
    </row>
    <row r="269" spans="1:31" x14ac:dyDescent="0.3">
      <c r="A269">
        <v>8</v>
      </c>
      <c r="B269">
        <v>19</v>
      </c>
      <c r="C269" t="s">
        <v>25</v>
      </c>
      <c r="D269" s="4">
        <v>45423</v>
      </c>
      <c r="E269" s="6">
        <v>88.4</v>
      </c>
      <c r="F269" s="7">
        <f t="shared" si="85"/>
        <v>25.011317338162069</v>
      </c>
      <c r="G269" s="9">
        <v>0.161</v>
      </c>
      <c r="H269" s="6">
        <f t="shared" si="291"/>
        <v>74.167600000000007</v>
      </c>
      <c r="I269" s="6">
        <f t="shared" si="644"/>
        <v>24.057600000000004</v>
      </c>
      <c r="J269">
        <v>3.7</v>
      </c>
      <c r="K269" s="5">
        <v>7.4999999999999997E-2</v>
      </c>
      <c r="L269" s="17">
        <v>2143</v>
      </c>
      <c r="M269" s="5">
        <v>0.52500000000000002</v>
      </c>
      <c r="N269" s="6">
        <f t="shared" si="304"/>
        <v>14.232400000000002</v>
      </c>
      <c r="O269" s="21">
        <f t="shared" si="751"/>
        <v>46.410000000000004</v>
      </c>
      <c r="P269" s="8">
        <f t="shared" si="1516"/>
        <v>46.993850000000002</v>
      </c>
      <c r="Q269" s="8">
        <f t="shared" si="1470"/>
        <v>64.342399999999998</v>
      </c>
      <c r="R269" s="6">
        <f t="shared" si="1471"/>
        <v>24.057600000000004</v>
      </c>
      <c r="S269" s="6">
        <f t="shared" si="1472"/>
        <v>6.63</v>
      </c>
      <c r="T269" s="6">
        <f t="shared" ref="T269" si="1543">I269-I268</f>
        <v>-7.265000000000299E-2</v>
      </c>
      <c r="U269" s="6">
        <f t="shared" ref="U269" si="1544">N269-N268</f>
        <v>0.62650000000000361</v>
      </c>
      <c r="V269" s="6">
        <f t="shared" ref="V269" si="1545">E269-E268</f>
        <v>5.0000000000011369E-2</v>
      </c>
      <c r="W269" s="9">
        <f>Tabla1[[#This Row],[Protein]]/Tabla1[[#This Row],[Peso (Kg)]]</f>
        <v>0.27214479638009054</v>
      </c>
      <c r="X269" s="9">
        <f t="shared" si="1520"/>
        <v>0.26721087479466427</v>
      </c>
      <c r="Y269" s="6">
        <f t="shared" si="1476"/>
        <v>41.990000000000009</v>
      </c>
      <c r="Z269" s="6">
        <f t="shared" si="1521"/>
        <v>88.5</v>
      </c>
      <c r="AA269" s="6">
        <f t="shared" ref="AA269" si="1546">AVERAGE(N263:N269)</f>
        <v>14.172807142857142</v>
      </c>
      <c r="AB269" s="6">
        <f t="shared" ref="AB269" si="1547">AVERAGE(R263:R269)</f>
        <v>23.647628571428573</v>
      </c>
      <c r="AC269" s="6">
        <f t="shared" ref="AC269" si="1548">100*(AB269/AB268-1)</f>
        <v>0.54691343776764878</v>
      </c>
      <c r="AD269" s="42">
        <f>Tabla1[[#This Row],[Avg Agua)]]/Tabla1[[#This Row],[Avg Musculo]]</f>
        <v>1.98725423388875</v>
      </c>
    </row>
    <row r="270" spans="1:31" x14ac:dyDescent="0.3">
      <c r="A270">
        <v>8</v>
      </c>
      <c r="B270">
        <v>19</v>
      </c>
      <c r="C270" t="s">
        <v>26</v>
      </c>
      <c r="D270" s="4">
        <v>45424</v>
      </c>
      <c r="E270" s="6">
        <v>87.5</v>
      </c>
      <c r="F270" s="7">
        <f t="shared" si="85"/>
        <v>24.756677229515621</v>
      </c>
      <c r="G270" s="9">
        <v>0.156</v>
      </c>
      <c r="H270" s="6">
        <f t="shared" si="291"/>
        <v>73.849999999999994</v>
      </c>
      <c r="I270" s="6">
        <f t="shared" si="644"/>
        <v>23.524999999999991</v>
      </c>
      <c r="J270">
        <v>3.6</v>
      </c>
      <c r="K270" s="5">
        <v>7.0000000000000007E-2</v>
      </c>
      <c r="L270" s="17">
        <v>2129</v>
      </c>
      <c r="M270" s="5">
        <v>0.53400000000000003</v>
      </c>
      <c r="N270" s="6">
        <f t="shared" si="304"/>
        <v>13.65</v>
      </c>
      <c r="O270" s="21">
        <f t="shared" si="751"/>
        <v>46.725000000000001</v>
      </c>
      <c r="P270" s="8">
        <f t="shared" si="1516"/>
        <v>46.945435714285722</v>
      </c>
      <c r="Q270" s="8">
        <f t="shared" si="1470"/>
        <v>63.975000000000009</v>
      </c>
      <c r="R270" s="6">
        <f t="shared" si="1471"/>
        <v>23.524999999999991</v>
      </c>
      <c r="S270" s="6">
        <f t="shared" si="1472"/>
        <v>6.1250000000000009</v>
      </c>
      <c r="T270" s="6">
        <f t="shared" ref="T270" si="1549">I270-I269</f>
        <v>-0.53260000000001284</v>
      </c>
      <c r="U270" s="6">
        <f t="shared" ref="U270" si="1550">N270-N269</f>
        <v>-0.58240000000000158</v>
      </c>
      <c r="V270" s="6">
        <f t="shared" ref="V270" si="1551">E270-E269</f>
        <v>-0.90000000000000568</v>
      </c>
      <c r="W270" s="9">
        <f>Tabla1[[#This Row],[Protein]]/Tabla1[[#This Row],[Peso (Kg)]]</f>
        <v>0.26885714285714274</v>
      </c>
      <c r="X270" s="9">
        <f t="shared" si="1520"/>
        <v>0.26774798159661489</v>
      </c>
      <c r="Y270" s="6">
        <f t="shared" si="1476"/>
        <v>40.774999999999991</v>
      </c>
      <c r="Z270" s="6">
        <f t="shared" si="1521"/>
        <v>88.385714285714286</v>
      </c>
      <c r="AA270" s="6">
        <f t="shared" ref="AA270" si="1552">AVERAGE(N264:N270)</f>
        <v>14.104521428571429</v>
      </c>
      <c r="AB270" s="6">
        <f t="shared" ref="AB270" si="1553">AVERAGE(R264:R270)</f>
        <v>23.664328571428566</v>
      </c>
      <c r="AC270" s="6">
        <f t="shared" ref="AC270" si="1554">100*(AB270/AB269-1)</f>
        <v>7.0620189037340353E-2</v>
      </c>
      <c r="AD270" s="42">
        <f>Tabla1[[#This Row],[Avg Agua)]]/Tabla1[[#This Row],[Avg Musculo]]</f>
        <v>1.9838059454163386</v>
      </c>
    </row>
    <row r="271" spans="1:31" x14ac:dyDescent="0.3">
      <c r="A271">
        <v>8</v>
      </c>
      <c r="B271">
        <v>20</v>
      </c>
      <c r="C271" t="s">
        <v>21</v>
      </c>
      <c r="D271" s="4">
        <v>45425</v>
      </c>
      <c r="E271" s="6">
        <v>87.85</v>
      </c>
      <c r="F271" s="7">
        <f t="shared" si="85"/>
        <v>24.855703938433681</v>
      </c>
      <c r="G271" s="9">
        <v>0.156</v>
      </c>
      <c r="H271" s="6">
        <f t="shared" si="291"/>
        <v>74.145399999999995</v>
      </c>
      <c r="I271" s="6">
        <f t="shared" si="644"/>
        <v>23.445649999999997</v>
      </c>
      <c r="J271">
        <v>3.7</v>
      </c>
      <c r="K271" s="5">
        <v>7.0000000000000007E-2</v>
      </c>
      <c r="L271" s="17">
        <v>2140</v>
      </c>
      <c r="M271" s="5">
        <v>0.53500000000000003</v>
      </c>
      <c r="N271" s="6">
        <f t="shared" si="304"/>
        <v>13.704599999999999</v>
      </c>
      <c r="O271" s="21">
        <f t="shared" si="751"/>
        <v>46.999749999999999</v>
      </c>
      <c r="P271" s="8">
        <f t="shared" si="1516"/>
        <v>46.860142857142861</v>
      </c>
      <c r="Q271" s="8">
        <f t="shared" si="1470"/>
        <v>64.404349999999994</v>
      </c>
      <c r="R271" s="6">
        <f t="shared" si="1471"/>
        <v>23.445649999999997</v>
      </c>
      <c r="S271" s="6">
        <f t="shared" si="1472"/>
        <v>6.1494999999999997</v>
      </c>
      <c r="T271" s="6">
        <f t="shared" ref="T271" si="1555">I271-I270</f>
        <v>-7.9349999999994481E-2</v>
      </c>
      <c r="U271" s="6">
        <f t="shared" ref="U271" si="1556">N271-N270</f>
        <v>5.4599999999998872E-2</v>
      </c>
      <c r="V271" s="6">
        <f t="shared" ref="V271" si="1557">E271-E270</f>
        <v>0.34999999999999432</v>
      </c>
      <c r="W271" s="9">
        <f>Tabla1[[#This Row],[Protein]]/Tabla1[[#This Row],[Peso (Kg)]]</f>
        <v>0.26688275469550371</v>
      </c>
      <c r="X271" s="9">
        <f t="shared" si="1520"/>
        <v>0.26882647036263924</v>
      </c>
      <c r="Y271" s="6">
        <f t="shared" si="1476"/>
        <v>40.850250000000003</v>
      </c>
      <c r="Z271" s="6">
        <f t="shared" si="1521"/>
        <v>88.25</v>
      </c>
      <c r="AA271" s="6">
        <f t="shared" ref="AA271" si="1558">AVERAGE(N265:N271)</f>
        <v>13.994550000000002</v>
      </c>
      <c r="AB271" s="6">
        <f t="shared" ref="AB271" si="1559">AVERAGE(R265:R271)</f>
        <v>23.723878571428568</v>
      </c>
      <c r="AC271" s="6">
        <f t="shared" ref="AC271" si="1560">100*(AB271/AB270-1)</f>
        <v>0.25164457897148829</v>
      </c>
      <c r="AD271" s="42">
        <f>Tabla1[[#This Row],[Avg Agua)]]/Tabla1[[#This Row],[Avg Musculo]]</f>
        <v>1.975231103803492</v>
      </c>
    </row>
    <row r="272" spans="1:31" x14ac:dyDescent="0.3">
      <c r="A272">
        <v>8</v>
      </c>
      <c r="B272">
        <v>20</v>
      </c>
      <c r="C272" t="s">
        <v>23</v>
      </c>
      <c r="D272" s="4">
        <v>45426</v>
      </c>
      <c r="E272" s="6">
        <v>88.65</v>
      </c>
      <c r="F272" s="7">
        <f t="shared" si="85"/>
        <v>25.082050701674969</v>
      </c>
      <c r="G272" s="9">
        <v>0.16</v>
      </c>
      <c r="H272" s="6">
        <f t="shared" si="291"/>
        <v>74.466000000000008</v>
      </c>
      <c r="I272" s="6">
        <f t="shared" si="644"/>
        <v>23.160950000000003</v>
      </c>
      <c r="J272">
        <v>3.7</v>
      </c>
      <c r="K272" s="5">
        <v>7.4999999999999997E-2</v>
      </c>
      <c r="L272" s="17">
        <v>2150</v>
      </c>
      <c r="M272" s="5">
        <v>0.53700000000000003</v>
      </c>
      <c r="N272" s="6">
        <f t="shared" si="304"/>
        <v>14.184000000000001</v>
      </c>
      <c r="O272" s="21">
        <f t="shared" si="751"/>
        <v>47.605050000000006</v>
      </c>
      <c r="P272" s="8">
        <f t="shared" si="1516"/>
        <v>46.991685714285715</v>
      </c>
      <c r="Q272" s="8">
        <f t="shared" si="1470"/>
        <v>65.489050000000006</v>
      </c>
      <c r="R272" s="6">
        <f t="shared" si="1471"/>
        <v>23.160950000000003</v>
      </c>
      <c r="S272" s="6">
        <f t="shared" si="1472"/>
        <v>6.6487500000000006</v>
      </c>
      <c r="T272" s="6">
        <f t="shared" ref="T272" si="1561">I272-I271</f>
        <v>-0.28469999999999374</v>
      </c>
      <c r="U272" s="6">
        <f t="shared" ref="U272" si="1562">N272-N271</f>
        <v>0.47940000000000182</v>
      </c>
      <c r="V272" s="6">
        <f t="shared" ref="V272" si="1563">E272-E271</f>
        <v>0.80000000000001137</v>
      </c>
      <c r="W272" s="9">
        <f>Tabla1[[#This Row],[Protein]]/Tabla1[[#This Row],[Peso (Kg)]]</f>
        <v>0.26126283135927808</v>
      </c>
      <c r="X272" s="9">
        <f t="shared" si="1520"/>
        <v>0.26783447500441387</v>
      </c>
      <c r="Y272" s="6">
        <f t="shared" si="1476"/>
        <v>41.044950000000007</v>
      </c>
      <c r="Z272" s="6">
        <f t="shared" si="1521"/>
        <v>88.30714285714285</v>
      </c>
      <c r="AA272" s="6">
        <f t="shared" ref="AA272" si="1564">AVERAGE(N266:N272)</f>
        <v>13.978478571428571</v>
      </c>
      <c r="AB272" s="6">
        <f t="shared" ref="AB272" si="1565">AVERAGE(R266:R272)</f>
        <v>23.651264285714287</v>
      </c>
      <c r="AC272" s="6">
        <f t="shared" ref="AC272" si="1566">100*(AB272/AB271-1)</f>
        <v>-0.30608100397939708</v>
      </c>
      <c r="AD272" s="42">
        <f>Tabla1[[#This Row],[Avg Agua)]]/Tabla1[[#This Row],[Avg Musculo]]</f>
        <v>1.9868572413978474</v>
      </c>
    </row>
    <row r="273" spans="1:31" x14ac:dyDescent="0.3">
      <c r="A273">
        <v>8</v>
      </c>
      <c r="B273">
        <v>20</v>
      </c>
      <c r="C273" t="s">
        <v>24</v>
      </c>
      <c r="D273" s="4">
        <v>45427</v>
      </c>
      <c r="E273" s="6">
        <v>88.05</v>
      </c>
      <c r="F273" s="7">
        <f t="shared" si="85"/>
        <v>24.912290629244001</v>
      </c>
      <c r="G273" s="9">
        <v>0.16</v>
      </c>
      <c r="H273" s="6">
        <f t="shared" si="291"/>
        <v>73.962000000000003</v>
      </c>
      <c r="I273" s="6">
        <f t="shared" si="644"/>
        <v>23.519399999999997</v>
      </c>
      <c r="J273">
        <v>3.6</v>
      </c>
      <c r="K273" s="5">
        <v>7.0000000000000007E-2</v>
      </c>
      <c r="L273" s="17">
        <v>2136</v>
      </c>
      <c r="M273" s="5">
        <v>0.53200000000000003</v>
      </c>
      <c r="N273" s="6">
        <f t="shared" si="304"/>
        <v>14.087999999999999</v>
      </c>
      <c r="O273" s="21">
        <f t="shared" si="751"/>
        <v>46.842600000000004</v>
      </c>
      <c r="P273" s="8">
        <f t="shared" si="1516"/>
        <v>46.958750000000002</v>
      </c>
      <c r="Q273" s="8">
        <f t="shared" si="1470"/>
        <v>64.530599999999993</v>
      </c>
      <c r="R273" s="6">
        <f t="shared" si="1471"/>
        <v>23.519399999999997</v>
      </c>
      <c r="S273" s="6">
        <f t="shared" si="1472"/>
        <v>6.1635</v>
      </c>
      <c r="T273" s="6">
        <f t="shared" ref="T273" si="1567">I273-I272</f>
        <v>0.35844999999999416</v>
      </c>
      <c r="U273" s="6">
        <f t="shared" ref="U273" si="1568">N273-N272</f>
        <v>-9.6000000000001862E-2</v>
      </c>
      <c r="V273" s="6">
        <f t="shared" ref="V273" si="1569">E273-E272</f>
        <v>-0.60000000000000853</v>
      </c>
      <c r="W273" s="9">
        <f>Tabla1[[#This Row],[Protein]]/Tabla1[[#This Row],[Peso (Kg)]]</f>
        <v>0.26711413969335601</v>
      </c>
      <c r="X273" s="9">
        <f t="shared" si="1520"/>
        <v>0.26824180476642501</v>
      </c>
      <c r="Y273" s="6">
        <f t="shared" si="1476"/>
        <v>41.2074</v>
      </c>
      <c r="Z273" s="6">
        <f t="shared" si="1521"/>
        <v>88.221428571428561</v>
      </c>
      <c r="AA273" s="6">
        <f t="shared" ref="AA273" si="1570">AVERAGE(N267:N273)</f>
        <v>13.926771428571426</v>
      </c>
      <c r="AB273" s="6">
        <f t="shared" ref="AB273" si="1571">AVERAGE(R267:R273)</f>
        <v>23.664478571428567</v>
      </c>
      <c r="AC273" s="6">
        <f t="shared" ref="AC273" si="1572">100*(AB273/AB272-1)</f>
        <v>5.5871371418669824E-2</v>
      </c>
      <c r="AD273" s="42">
        <f>Tabla1[[#This Row],[Avg Agua)]]/Tabla1[[#This Row],[Avg Musculo]]</f>
        <v>1.9843559983060812</v>
      </c>
    </row>
    <row r="274" spans="1:31" x14ac:dyDescent="0.3">
      <c r="A274">
        <v>8</v>
      </c>
      <c r="B274">
        <v>20</v>
      </c>
      <c r="C274" t="s">
        <v>22</v>
      </c>
      <c r="D274" s="4">
        <v>45428</v>
      </c>
      <c r="E274" s="6">
        <v>88.6</v>
      </c>
      <c r="F274" s="7">
        <f t="shared" si="85"/>
        <v>25.067904028972386</v>
      </c>
      <c r="G274" s="9">
        <v>0.16400000000000001</v>
      </c>
      <c r="H274" s="6">
        <f t="shared" si="291"/>
        <v>74.069599999999994</v>
      </c>
      <c r="I274" s="6">
        <f t="shared" si="644"/>
        <v>22.89139999999999</v>
      </c>
      <c r="J274">
        <v>3.6</v>
      </c>
      <c r="K274" s="5">
        <v>7.4999999999999997E-2</v>
      </c>
      <c r="L274" s="17">
        <v>2139</v>
      </c>
      <c r="M274" s="5">
        <v>0.53700000000000003</v>
      </c>
      <c r="N274" s="6">
        <f t="shared" si="304"/>
        <v>14.5304</v>
      </c>
      <c r="O274" s="21">
        <f t="shared" si="751"/>
        <v>47.578200000000002</v>
      </c>
      <c r="P274" s="8">
        <f t="shared" si="1516"/>
        <v>47.010635714285719</v>
      </c>
      <c r="Q274" s="8">
        <f t="shared" si="1470"/>
        <v>65.708600000000004</v>
      </c>
      <c r="R274" s="6">
        <f t="shared" si="1471"/>
        <v>22.89139999999999</v>
      </c>
      <c r="S274" s="6">
        <f t="shared" si="1472"/>
        <v>6.6449999999999996</v>
      </c>
      <c r="T274" s="6">
        <f t="shared" ref="T274" si="1573">I274-I273</f>
        <v>-0.62800000000000722</v>
      </c>
      <c r="U274" s="6">
        <f t="shared" ref="U274" si="1574">N274-N273</f>
        <v>0.44240000000000101</v>
      </c>
      <c r="V274" s="6">
        <f t="shared" ref="V274" si="1575">E274-E273</f>
        <v>0.54999999999999716</v>
      </c>
      <c r="W274" s="9">
        <f>Tabla1[[#This Row],[Protein]]/Tabla1[[#This Row],[Peso (Kg)]]</f>
        <v>0.25836794582392769</v>
      </c>
      <c r="X274" s="9">
        <f t="shared" si="1520"/>
        <v>0.26682153143342474</v>
      </c>
      <c r="Y274" s="6">
        <f t="shared" si="1476"/>
        <v>41.021799999999992</v>
      </c>
      <c r="Z274" s="6">
        <f t="shared" si="1521"/>
        <v>88.2</v>
      </c>
      <c r="AA274" s="6">
        <f t="shared" ref="AA274" si="1576">AVERAGE(N268:N274)</f>
        <v>13.999328571428572</v>
      </c>
      <c r="AB274" s="6">
        <f t="shared" ref="AB274" si="1577">AVERAGE(R268:R274)</f>
        <v>23.532892857142858</v>
      </c>
      <c r="AC274" s="6">
        <f t="shared" ref="AC274" si="1578">100*(AB274/AB273-1)</f>
        <v>-0.55604738506506157</v>
      </c>
      <c r="AD274" s="42">
        <f>Tabla1[[#This Row],[Avg Agua)]]/Tabla1[[#This Row],[Avg Musculo]]</f>
        <v>1.9976564717166398</v>
      </c>
    </row>
    <row r="275" spans="1:31" x14ac:dyDescent="0.3">
      <c r="A275">
        <v>8</v>
      </c>
      <c r="B275">
        <v>20</v>
      </c>
      <c r="C275" t="s">
        <v>20</v>
      </c>
      <c r="D275" s="4">
        <v>45429</v>
      </c>
      <c r="E275" s="6">
        <v>88.65</v>
      </c>
      <c r="F275" s="7">
        <f t="shared" si="85"/>
        <v>25.082050701674969</v>
      </c>
      <c r="G275" s="9">
        <v>0.16</v>
      </c>
      <c r="H275" s="6">
        <f t="shared" si="291"/>
        <v>74.466000000000008</v>
      </c>
      <c r="I275" s="6">
        <f t="shared" si="644"/>
        <v>23.160950000000003</v>
      </c>
      <c r="J275">
        <v>3.7</v>
      </c>
      <c r="K275" s="5">
        <v>7.4999999999999997E-2</v>
      </c>
      <c r="L275" s="17">
        <v>2150</v>
      </c>
      <c r="M275" s="5">
        <v>0.53700000000000003</v>
      </c>
      <c r="N275" s="6">
        <f t="shared" si="304"/>
        <v>14.184000000000001</v>
      </c>
      <c r="O275" s="21">
        <f t="shared" si="751"/>
        <v>47.605050000000006</v>
      </c>
      <c r="P275" s="8">
        <f t="shared" si="1516"/>
        <v>47.109378571428572</v>
      </c>
      <c r="Q275" s="8">
        <f t="shared" si="1470"/>
        <v>65.489050000000006</v>
      </c>
      <c r="R275" s="6">
        <f t="shared" si="1471"/>
        <v>23.160950000000003</v>
      </c>
      <c r="S275" s="6">
        <f t="shared" si="1472"/>
        <v>6.6487500000000006</v>
      </c>
      <c r="T275" s="6">
        <f t="shared" ref="T275" si="1579">I275-I274</f>
        <v>0.26955000000001306</v>
      </c>
      <c r="U275" s="6">
        <f t="shared" ref="U275" si="1580">N275-N274</f>
        <v>-0.34639999999999915</v>
      </c>
      <c r="V275" s="6">
        <f t="shared" ref="V275" si="1581">E275-E274</f>
        <v>5.0000000000011369E-2</v>
      </c>
      <c r="W275" s="9">
        <f>Tabla1[[#This Row],[Protein]]/Tabla1[[#This Row],[Peso (Kg)]]</f>
        <v>0.26126283135927808</v>
      </c>
      <c r="X275" s="9">
        <f t="shared" si="1520"/>
        <v>0.26512749173836808</v>
      </c>
      <c r="Y275" s="6">
        <f t="shared" si="1476"/>
        <v>41.044950000000007</v>
      </c>
      <c r="Z275" s="6">
        <f t="shared" si="1521"/>
        <v>88.242857142857133</v>
      </c>
      <c r="AA275" s="6">
        <f t="shared" ref="AA275" si="1582">AVERAGE(N269:N275)</f>
        <v>14.081914285714285</v>
      </c>
      <c r="AB275" s="6">
        <f t="shared" ref="AB275" si="1583">AVERAGE(R269:R275)</f>
        <v>23.394421428571427</v>
      </c>
      <c r="AC275" s="6">
        <f t="shared" ref="AC275" si="1584">100*(AB275/AB274-1)</f>
        <v>-0.58841651730633382</v>
      </c>
      <c r="AD275" s="42">
        <f>Tabla1[[#This Row],[Avg Agua)]]/Tabla1[[#This Row],[Avg Musculo]]</f>
        <v>2.0137013738623279</v>
      </c>
    </row>
    <row r="276" spans="1:31" x14ac:dyDescent="0.3">
      <c r="A276">
        <v>8</v>
      </c>
      <c r="B276">
        <v>20</v>
      </c>
      <c r="C276" t="s">
        <v>26</v>
      </c>
      <c r="D276" s="4">
        <v>45431</v>
      </c>
      <c r="E276" s="6">
        <v>88.7</v>
      </c>
      <c r="F276" s="7">
        <f t="shared" si="85"/>
        <v>25.096197374377549</v>
      </c>
      <c r="G276" s="9">
        <v>0.16200000000000001</v>
      </c>
      <c r="H276" s="6">
        <f t="shared" si="291"/>
        <v>74.330600000000004</v>
      </c>
      <c r="I276" s="6">
        <f t="shared" si="644"/>
        <v>23.530899999999999</v>
      </c>
      <c r="J276">
        <v>3.7</v>
      </c>
      <c r="K276" s="5">
        <v>7.4999999999999997E-2</v>
      </c>
      <c r="L276" s="17">
        <v>2148</v>
      </c>
      <c r="M276" s="5">
        <v>0.53100000000000003</v>
      </c>
      <c r="N276" s="6">
        <f t="shared" si="304"/>
        <v>14.369400000000001</v>
      </c>
      <c r="O276" s="21">
        <f t="shared" si="751"/>
        <v>47.099700000000006</v>
      </c>
      <c r="P276" s="8">
        <f t="shared" si="1516"/>
        <v>47.207907142857145</v>
      </c>
      <c r="Q276" s="8">
        <f t="shared" si="1470"/>
        <v>65.1691</v>
      </c>
      <c r="R276" s="6">
        <f t="shared" si="1471"/>
        <v>23.530899999999999</v>
      </c>
      <c r="S276" s="6">
        <f t="shared" si="1472"/>
        <v>6.6524999999999999</v>
      </c>
      <c r="T276" s="6">
        <f t="shared" ref="T276" si="1585">I276-I275</f>
        <v>0.36994999999999578</v>
      </c>
      <c r="U276" s="6">
        <f t="shared" ref="U276" si="1586">N276-N275</f>
        <v>0.18539999999999957</v>
      </c>
      <c r="V276" s="6">
        <f t="shared" ref="V276" si="1587">E276-E275</f>
        <v>4.9999999999997158E-2</v>
      </c>
      <c r="W276" s="9">
        <f>Tabla1[[#This Row],[Protein]]/Tabla1[[#This Row],[Peso (Kg)]]</f>
        <v>0.26528635851183763</v>
      </c>
      <c r="X276" s="9">
        <f t="shared" si="1520"/>
        <v>0.26414771490004624</v>
      </c>
      <c r="Y276" s="6">
        <f t="shared" si="1476"/>
        <v>41.600300000000004</v>
      </c>
      <c r="Z276" s="6">
        <f t="shared" si="1521"/>
        <v>88.285714285714292</v>
      </c>
      <c r="AA276" s="6">
        <f t="shared" ref="AA276" si="1588">AVERAGE(N270:N276)</f>
        <v>14.101485714285715</v>
      </c>
      <c r="AB276" s="6">
        <f t="shared" ref="AB276" si="1589">AVERAGE(R270:R276)</f>
        <v>23.319178571428569</v>
      </c>
      <c r="AC276" s="6">
        <f t="shared" ref="AC276" si="1590">100*(AB276/AB275-1)</f>
        <v>-0.32162734766744139</v>
      </c>
      <c r="AD276" s="42">
        <f>Tabla1[[#This Row],[Avg Agua)]]/Tabla1[[#This Row],[Avg Musculo]]</f>
        <v>2.0244241021721852</v>
      </c>
    </row>
    <row r="277" spans="1:31" x14ac:dyDescent="0.3">
      <c r="A277" t="s">
        <v>65</v>
      </c>
      <c r="B277">
        <v>21</v>
      </c>
      <c r="C277" t="s">
        <v>21</v>
      </c>
      <c r="D277" s="4">
        <v>45432</v>
      </c>
      <c r="E277" s="6">
        <v>88.3</v>
      </c>
      <c r="F277" s="7">
        <f t="shared" si="85"/>
        <v>24.983023992756905</v>
      </c>
      <c r="G277" s="9">
        <v>0.159</v>
      </c>
      <c r="H277" s="6">
        <f t="shared" si="291"/>
        <v>74.260300000000001</v>
      </c>
      <c r="I277" s="6">
        <f t="shared" si="644"/>
        <v>23.408100000000001</v>
      </c>
      <c r="J277">
        <v>3.7</v>
      </c>
      <c r="K277" s="5">
        <v>7.0000000000000007E-2</v>
      </c>
      <c r="L277" s="17">
        <v>2143</v>
      </c>
      <c r="M277" s="5">
        <v>0.53400000000000003</v>
      </c>
      <c r="N277" s="6">
        <f t="shared" si="304"/>
        <v>14.0397</v>
      </c>
      <c r="O277" s="21">
        <f t="shared" si="751"/>
        <v>47.152200000000001</v>
      </c>
      <c r="P277" s="8">
        <f t="shared" si="1516"/>
        <v>47.268935714285718</v>
      </c>
      <c r="Q277" s="8">
        <f t="shared" si="1470"/>
        <v>64.891899999999993</v>
      </c>
      <c r="R277" s="6">
        <f t="shared" si="1471"/>
        <v>23.408100000000001</v>
      </c>
      <c r="S277" s="6">
        <f t="shared" si="1472"/>
        <v>6.181</v>
      </c>
      <c r="T277" s="6">
        <f t="shared" ref="T277" si="1591">I277-I276</f>
        <v>-0.12279999999999802</v>
      </c>
      <c r="U277" s="6">
        <f t="shared" ref="U277" si="1592">N277-N276</f>
        <v>-0.32970000000000077</v>
      </c>
      <c r="V277" s="6">
        <f t="shared" ref="V277" si="1593">E277-E276</f>
        <v>-0.40000000000000568</v>
      </c>
      <c r="W277" s="9">
        <f>Tabla1[[#This Row],[Protein]]/Tabla1[[#This Row],[Peso (Kg)]]</f>
        <v>0.26509739524348813</v>
      </c>
      <c r="X277" s="9">
        <f t="shared" si="1520"/>
        <v>0.26361060809809561</v>
      </c>
      <c r="Y277" s="6">
        <f t="shared" si="1476"/>
        <v>41.147800000000004</v>
      </c>
      <c r="Z277" s="6">
        <f t="shared" si="1521"/>
        <v>88.399999999999991</v>
      </c>
      <c r="AA277" s="6">
        <f t="shared" ref="AA277" si="1594">AVERAGE(N271:N277)</f>
        <v>14.157157142857143</v>
      </c>
      <c r="AB277" s="6">
        <f t="shared" ref="AB277" si="1595">AVERAGE(R271:R277)</f>
        <v>23.302478571428569</v>
      </c>
      <c r="AC277" s="6">
        <f t="shared" ref="AC277" si="1596">100*(AB277/AB276-1)</f>
        <v>-7.16148724915322E-2</v>
      </c>
      <c r="AD277" s="42">
        <f>Tabla1[[#This Row],[Avg Agua)]]/Tabla1[[#This Row],[Avg Musculo]]</f>
        <v>2.0284939033156193</v>
      </c>
      <c r="AE277" t="s">
        <v>64</v>
      </c>
    </row>
    <row r="278" spans="1:31" x14ac:dyDescent="0.3">
      <c r="A278" t="s">
        <v>65</v>
      </c>
      <c r="B278">
        <v>21</v>
      </c>
      <c r="C278" t="s">
        <v>23</v>
      </c>
      <c r="D278" s="4">
        <v>45433</v>
      </c>
      <c r="E278" s="6">
        <v>88</v>
      </c>
      <c r="F278" s="7">
        <f t="shared" ref="F278:F292" si="1597">E278/(1.88^2)</f>
        <v>24.898143956541425</v>
      </c>
      <c r="G278" s="9">
        <v>0.156</v>
      </c>
      <c r="H278" s="6">
        <f t="shared" si="291"/>
        <v>74.272000000000006</v>
      </c>
      <c r="I278" s="6">
        <f t="shared" si="644"/>
        <v>23.756000000000004</v>
      </c>
      <c r="J278">
        <v>3.7</v>
      </c>
      <c r="K278" s="5">
        <v>7.0000000000000007E-2</v>
      </c>
      <c r="L278" s="17">
        <v>2143</v>
      </c>
      <c r="M278" s="5">
        <v>0.53200000000000003</v>
      </c>
      <c r="N278" s="6">
        <f t="shared" si="304"/>
        <v>13.728</v>
      </c>
      <c r="O278" s="21">
        <f t="shared" si="751"/>
        <v>46.816000000000003</v>
      </c>
      <c r="P278" s="8">
        <f t="shared" si="1516"/>
        <v>47.242685714285713</v>
      </c>
      <c r="Q278" s="8">
        <f t="shared" si="1470"/>
        <v>64.244</v>
      </c>
      <c r="R278" s="6">
        <f t="shared" si="1471"/>
        <v>23.756000000000004</v>
      </c>
      <c r="S278" s="6">
        <f t="shared" si="1472"/>
        <v>6.16</v>
      </c>
      <c r="T278" s="6">
        <f t="shared" ref="T278" si="1598">I278-I277</f>
        <v>0.34790000000000276</v>
      </c>
      <c r="U278" s="6">
        <f t="shared" ref="U278" si="1599">N278-N277</f>
        <v>-0.31170000000000009</v>
      </c>
      <c r="V278" s="6">
        <f t="shared" ref="V278" si="1600">E278-E277</f>
        <v>-0.29999999999999716</v>
      </c>
      <c r="W278" s="9">
        <f>Tabla1[[#This Row],[Protein]]/Tabla1[[#This Row],[Peso (Kg)]]</f>
        <v>0.2699545454545455</v>
      </c>
      <c r="X278" s="9">
        <f t="shared" si="1520"/>
        <v>0.2640494353493873</v>
      </c>
      <c r="Y278" s="6">
        <f t="shared" si="1476"/>
        <v>41.184000000000005</v>
      </c>
      <c r="Z278" s="6">
        <f t="shared" si="1521"/>
        <v>88.421428571428564</v>
      </c>
      <c r="AA278" s="6">
        <f t="shared" ref="AA278" si="1601">AVERAGE(N272:N278)</f>
        <v>14.160499999999999</v>
      </c>
      <c r="AB278" s="6">
        <f t="shared" ref="AB278" si="1602">AVERAGE(R272:R278)</f>
        <v>23.346814285714284</v>
      </c>
      <c r="AC278" s="6">
        <f t="shared" ref="AC278" si="1603">100*(AB278/AB277-1)</f>
        <v>0.19026179618539807</v>
      </c>
      <c r="AD278" s="42">
        <f>Tabla1[[#This Row],[Avg Agua)]]/Tabla1[[#This Row],[Avg Musculo]]</f>
        <v>2.0235174330912078</v>
      </c>
    </row>
    <row r="279" spans="1:31" x14ac:dyDescent="0.3">
      <c r="A279" t="s">
        <v>65</v>
      </c>
      <c r="B279">
        <v>21</v>
      </c>
      <c r="C279" t="s">
        <v>24</v>
      </c>
      <c r="D279" s="4">
        <v>45434</v>
      </c>
      <c r="E279" s="6">
        <v>87.8</v>
      </c>
      <c r="F279" s="7">
        <f t="shared" si="1597"/>
        <v>24.841557265731101</v>
      </c>
      <c r="G279" s="9">
        <v>0.158</v>
      </c>
      <c r="H279" s="6">
        <f t="shared" si="291"/>
        <v>73.927599999999998</v>
      </c>
      <c r="I279" s="6">
        <f t="shared" si="644"/>
        <v>23.354599999999998</v>
      </c>
      <c r="J279">
        <v>3.6</v>
      </c>
      <c r="K279" s="5">
        <v>7.0000000000000007E-2</v>
      </c>
      <c r="L279" s="17">
        <v>2134</v>
      </c>
      <c r="M279" s="5">
        <v>0.53500000000000003</v>
      </c>
      <c r="N279" s="6">
        <f t="shared" si="304"/>
        <v>13.872399999999999</v>
      </c>
      <c r="O279" s="21">
        <f t="shared" si="751"/>
        <v>46.972999999999999</v>
      </c>
      <c r="P279" s="8">
        <f t="shared" si="1516"/>
        <v>47.152392857142857</v>
      </c>
      <c r="Q279" s="8">
        <f t="shared" si="1470"/>
        <v>64.445400000000006</v>
      </c>
      <c r="R279" s="6">
        <f t="shared" si="1471"/>
        <v>23.354599999999998</v>
      </c>
      <c r="S279" s="6">
        <f t="shared" si="1472"/>
        <v>6.1460000000000008</v>
      </c>
      <c r="T279" s="6">
        <f t="shared" ref="T279" si="1604">I279-I278</f>
        <v>-0.40140000000000597</v>
      </c>
      <c r="U279" s="6">
        <f t="shared" ref="U279" si="1605">N279-N278</f>
        <v>0.1443999999999992</v>
      </c>
      <c r="V279" s="6">
        <f t="shared" ref="V279" si="1606">E279-E278</f>
        <v>-0.20000000000000284</v>
      </c>
      <c r="W279" s="9">
        <f>Tabla1[[#This Row],[Protein]]/Tabla1[[#This Row],[Peso (Kg)]]</f>
        <v>0.26599772209567196</v>
      </c>
      <c r="X279" s="9">
        <f t="shared" si="1520"/>
        <v>0.26472584831172929</v>
      </c>
      <c r="Y279" s="6">
        <f t="shared" si="1476"/>
        <v>40.826999999999998</v>
      </c>
      <c r="Z279" s="6">
        <f t="shared" si="1521"/>
        <v>88.299999999999983</v>
      </c>
      <c r="AA279" s="6">
        <f t="shared" ref="AA279" si="1607">AVERAGE(N273:N279)</f>
        <v>14.115985714285713</v>
      </c>
      <c r="AB279" s="6">
        <f t="shared" ref="AB279" si="1608">AVERAGE(R273:R279)</f>
        <v>23.374478571428572</v>
      </c>
      <c r="AC279" s="6">
        <f t="shared" ref="AC279" si="1609">100*(AB279/AB278-1)</f>
        <v>0.11849276469044767</v>
      </c>
      <c r="AD279" s="42">
        <f>Tabla1[[#This Row],[Avg Agua)]]/Tabla1[[#This Row],[Avg Musculo]]</f>
        <v>2.0172596669077723</v>
      </c>
    </row>
    <row r="280" spans="1:31" x14ac:dyDescent="0.3">
      <c r="A280" t="s">
        <v>65</v>
      </c>
      <c r="B280">
        <v>21</v>
      </c>
      <c r="C280" t="s">
        <v>25</v>
      </c>
      <c r="D280" s="4">
        <v>45437</v>
      </c>
      <c r="E280" s="6">
        <v>88</v>
      </c>
      <c r="F280" s="7">
        <f t="shared" si="1597"/>
        <v>24.898143956541425</v>
      </c>
      <c r="G280" s="9">
        <v>0.16400000000000001</v>
      </c>
      <c r="H280" s="6">
        <f t="shared" si="291"/>
        <v>73.567999999999998</v>
      </c>
      <c r="I280" s="6">
        <f t="shared" si="644"/>
        <v>23.227999999999998</v>
      </c>
      <c r="J280">
        <v>3.7</v>
      </c>
      <c r="K280" s="5">
        <v>7.4999999999999997E-2</v>
      </c>
      <c r="L280" s="17">
        <v>2132</v>
      </c>
      <c r="M280" s="5">
        <v>0.53</v>
      </c>
      <c r="N280" s="6">
        <f t="shared" si="304"/>
        <v>14.432</v>
      </c>
      <c r="O280" s="21">
        <f t="shared" si="751"/>
        <v>46.64</v>
      </c>
      <c r="P280" s="8">
        <f t="shared" si="1516"/>
        <v>47.123449999999998</v>
      </c>
      <c r="Q280" s="8">
        <f t="shared" si="1470"/>
        <v>64.772000000000006</v>
      </c>
      <c r="R280" s="6">
        <f t="shared" si="1471"/>
        <v>23.227999999999998</v>
      </c>
      <c r="S280" s="6">
        <f t="shared" si="1472"/>
        <v>6.6</v>
      </c>
      <c r="T280" s="6">
        <f t="shared" ref="T280" si="1610">I280-I279</f>
        <v>-0.12659999999999982</v>
      </c>
      <c r="U280" s="6">
        <f t="shared" ref="U280" si="1611">N280-N279</f>
        <v>0.55960000000000143</v>
      </c>
      <c r="V280" s="6">
        <f t="shared" ref="V280" si="1612">E280-E279</f>
        <v>0.20000000000000284</v>
      </c>
      <c r="W280" s="9">
        <f>Tabla1[[#This Row],[Protein]]/Tabla1[[#This Row],[Peso (Kg)]]</f>
        <v>0.26395454545454544</v>
      </c>
      <c r="X280" s="9">
        <f t="shared" si="1520"/>
        <v>0.2642744777061849</v>
      </c>
      <c r="Y280" s="6">
        <f t="shared" si="1476"/>
        <v>41.36</v>
      </c>
      <c r="Z280" s="6">
        <f t="shared" si="1521"/>
        <v>88.29285714285713</v>
      </c>
      <c r="AA280" s="6">
        <f t="shared" ref="AA280" si="1613">AVERAGE(N274:N280)</f>
        <v>14.165128571428571</v>
      </c>
      <c r="AB280" s="6">
        <f t="shared" ref="AB280" si="1614">AVERAGE(R274:R280)</f>
        <v>23.332850000000001</v>
      </c>
      <c r="AC280" s="6">
        <f t="shared" ref="AC280:AC282" si="1615">100*(AB280/AB279-1)</f>
        <v>-0.17809411791309682</v>
      </c>
      <c r="AD280" s="42">
        <f>Tabla1[[#This Row],[Avg Agua)]]/Tabla1[[#This Row],[Avg Musculo]]</f>
        <v>2.0196182635211728</v>
      </c>
      <c r="AE280" t="s">
        <v>44</v>
      </c>
    </row>
    <row r="281" spans="1:31" x14ac:dyDescent="0.3">
      <c r="A281" t="s">
        <v>65</v>
      </c>
      <c r="B281">
        <v>21</v>
      </c>
      <c r="C281" t="s">
        <v>26</v>
      </c>
      <c r="D281" s="4">
        <v>45438</v>
      </c>
      <c r="E281" s="6">
        <v>88.75</v>
      </c>
      <c r="F281" s="7">
        <f t="shared" si="1597"/>
        <v>25.11034404708013</v>
      </c>
      <c r="G281" s="9">
        <v>0.17399999999999999</v>
      </c>
      <c r="H281" s="6">
        <f t="shared" si="291"/>
        <v>73.307500000000005</v>
      </c>
      <c r="I281" s="6">
        <f t="shared" si="644"/>
        <v>22.137500000000003</v>
      </c>
      <c r="J281">
        <v>3.6</v>
      </c>
      <c r="K281" s="5">
        <v>7.4999999999999997E-2</v>
      </c>
      <c r="L281" s="17">
        <v>2121</v>
      </c>
      <c r="M281" s="5">
        <v>0.53600000000000003</v>
      </c>
      <c r="N281" s="6">
        <f t="shared" si="304"/>
        <v>15.442499999999999</v>
      </c>
      <c r="O281" s="21">
        <f t="shared" si="751"/>
        <v>47.57</v>
      </c>
      <c r="P281" s="8">
        <f t="shared" si="1516"/>
        <v>47.122278571428573</v>
      </c>
      <c r="Q281" s="8">
        <f t="shared" si="1470"/>
        <v>66.612499999999997</v>
      </c>
      <c r="R281" s="6">
        <f t="shared" si="1471"/>
        <v>22.137500000000003</v>
      </c>
      <c r="S281" s="6">
        <f t="shared" si="1472"/>
        <v>6.65625</v>
      </c>
      <c r="T281" s="6">
        <f t="shared" ref="T281" si="1616">I281-I280</f>
        <v>-1.0904999999999951</v>
      </c>
      <c r="U281" s="6">
        <f t="shared" ref="U281" si="1617">N281-N280</f>
        <v>1.0104999999999986</v>
      </c>
      <c r="V281" s="6">
        <f t="shared" ref="V281" si="1618">E281-E280</f>
        <v>0.75</v>
      </c>
      <c r="W281" s="9">
        <f>Tabla1[[#This Row],[Protein]]/Tabla1[[#This Row],[Peso (Kg)]]</f>
        <v>0.24943661971830988</v>
      </c>
      <c r="X281" s="9">
        <f t="shared" si="1520"/>
        <v>0.26299857397681092</v>
      </c>
      <c r="Y281" s="6">
        <f t="shared" si="1476"/>
        <v>41.18</v>
      </c>
      <c r="Z281" s="6">
        <f t="shared" si="1521"/>
        <v>88.314285714285717</v>
      </c>
      <c r="AA281" s="6">
        <f t="shared" ref="AA281" si="1619">AVERAGE(N275:N281)</f>
        <v>14.295428571428571</v>
      </c>
      <c r="AB281" s="6">
        <f t="shared" ref="AB281" si="1620">AVERAGE(R275:R281)</f>
        <v>23.225150000000003</v>
      </c>
      <c r="AC281" s="6">
        <f t="shared" si="1615"/>
        <v>-0.46158098989191876</v>
      </c>
      <c r="AD281" s="42">
        <f>Tabla1[[#This Row],[Avg Agua)]]/Tabla1[[#This Row],[Avg Musculo]]</f>
        <v>2.0289332284798407</v>
      </c>
    </row>
    <row r="282" spans="1:31" x14ac:dyDescent="0.3">
      <c r="A282" t="s">
        <v>65</v>
      </c>
      <c r="B282">
        <v>22</v>
      </c>
      <c r="C282" t="s">
        <v>21</v>
      </c>
      <c r="D282" s="4">
        <v>45439</v>
      </c>
      <c r="E282" s="6">
        <v>89.3</v>
      </c>
      <c r="F282" s="7">
        <f t="shared" si="1597"/>
        <v>25.26595744680851</v>
      </c>
      <c r="G282" s="9">
        <v>0.17100000000000001</v>
      </c>
      <c r="H282" s="6">
        <f t="shared" si="291"/>
        <v>74.029699999999991</v>
      </c>
      <c r="I282" s="6">
        <f t="shared" si="644"/>
        <v>22.564899999999987</v>
      </c>
      <c r="J282">
        <v>3.6</v>
      </c>
      <c r="K282" s="5">
        <v>7.4999999999999997E-2</v>
      </c>
      <c r="L282" s="17">
        <v>2143</v>
      </c>
      <c r="M282" s="5">
        <v>0.53600000000000003</v>
      </c>
      <c r="N282" s="6">
        <f t="shared" si="304"/>
        <v>15.270300000000001</v>
      </c>
      <c r="O282" s="21">
        <f t="shared" si="751"/>
        <v>47.864800000000002</v>
      </c>
      <c r="P282" s="8">
        <f t="shared" si="1516"/>
        <v>47.159385714285712</v>
      </c>
      <c r="Q282" s="8">
        <f t="shared" si="1470"/>
        <v>66.735100000000017</v>
      </c>
      <c r="R282" s="6">
        <f t="shared" si="1471"/>
        <v>22.564899999999987</v>
      </c>
      <c r="S282" s="6">
        <f t="shared" si="1472"/>
        <v>6.6974999999999998</v>
      </c>
      <c r="T282" s="6">
        <f t="shared" ref="T282" si="1621">I282-I281</f>
        <v>0.42739999999998446</v>
      </c>
      <c r="U282" s="6">
        <f t="shared" ref="U282" si="1622">N282-N281</f>
        <v>-0.17219999999999835</v>
      </c>
      <c r="V282" s="6">
        <f t="shared" ref="V282" si="1623">E282-E281</f>
        <v>0.54999999999999716</v>
      </c>
      <c r="W282" s="9">
        <f>Tabla1[[#This Row],[Protein]]/Tabla1[[#This Row],[Peso (Kg)]]</f>
        <v>0.25268645016797298</v>
      </c>
      <c r="X282" s="9">
        <f t="shared" si="1520"/>
        <v>0.26177337666376738</v>
      </c>
      <c r="Y282" s="6">
        <f t="shared" si="1476"/>
        <v>41.435199999999988</v>
      </c>
      <c r="Z282" s="6">
        <f t="shared" si="1521"/>
        <v>88.407142857142844</v>
      </c>
      <c r="AA282" s="6">
        <f t="shared" ref="AA282" si="1624">AVERAGE(N276:N282)</f>
        <v>14.450614285714286</v>
      </c>
      <c r="AB282" s="6">
        <f t="shared" ref="AB282" si="1625">AVERAGE(R276:R282)</f>
        <v>23.139999999999997</v>
      </c>
      <c r="AC282" s="6">
        <f t="shared" si="1615"/>
        <v>-0.36662841790044975</v>
      </c>
      <c r="AD282" s="42">
        <f>Tabla1[[#This Row],[Avg Agua)]]/Tabla1[[#This Row],[Avg Musculo]]</f>
        <v>2.0380028398567727</v>
      </c>
    </row>
    <row r="283" spans="1:31" x14ac:dyDescent="0.3">
      <c r="A283" t="s">
        <v>65</v>
      </c>
      <c r="B283">
        <v>22</v>
      </c>
      <c r="C283" t="s">
        <v>23</v>
      </c>
      <c r="D283" s="4">
        <v>45440</v>
      </c>
      <c r="E283" s="6">
        <v>88.35</v>
      </c>
      <c r="F283" s="7">
        <f t="shared" si="1597"/>
        <v>24.997170665459485</v>
      </c>
      <c r="G283" s="9">
        <v>0.158</v>
      </c>
      <c r="H283" s="6">
        <f t="shared" si="291"/>
        <v>74.390699999999995</v>
      </c>
      <c r="I283" s="6">
        <f t="shared" si="644"/>
        <v>23.600150000000003</v>
      </c>
      <c r="J283">
        <v>3.7</v>
      </c>
      <c r="K283" s="5">
        <v>7.0000000000000007E-2</v>
      </c>
      <c r="L283" s="17">
        <v>2148</v>
      </c>
      <c r="M283" s="5">
        <v>0.53299999999999992</v>
      </c>
      <c r="N283" s="6">
        <f t="shared" si="304"/>
        <v>13.959299999999999</v>
      </c>
      <c r="O283" s="21">
        <f t="shared" si="751"/>
        <v>47.090549999999993</v>
      </c>
      <c r="P283" s="8">
        <f t="shared" si="1516"/>
        <v>47.158078571428568</v>
      </c>
      <c r="Q283" s="8">
        <f t="shared" si="1470"/>
        <v>64.749849999999995</v>
      </c>
      <c r="R283" s="6">
        <f t="shared" si="1471"/>
        <v>23.600150000000003</v>
      </c>
      <c r="S283" s="6">
        <f t="shared" si="1472"/>
        <v>6.1844999999999999</v>
      </c>
      <c r="T283" s="6">
        <f t="shared" ref="T283" si="1626">I283-I282</f>
        <v>1.0352500000000155</v>
      </c>
      <c r="U283" s="6">
        <f t="shared" ref="U283" si="1627">N283-N282</f>
        <v>-1.3110000000000017</v>
      </c>
      <c r="V283" s="6">
        <f t="shared" ref="V283" si="1628">E283-E282</f>
        <v>-0.95000000000000284</v>
      </c>
      <c r="W283" s="9">
        <f>Tabla1[[#This Row],[Protein]]/Tabla1[[#This Row],[Peso (Kg)]]</f>
        <v>0.26712110922467464</v>
      </c>
      <c r="X283" s="9">
        <f t="shared" si="1520"/>
        <v>0.26203548390845832</v>
      </c>
      <c r="Y283" s="6">
        <f t="shared" si="1476"/>
        <v>41.259450000000001</v>
      </c>
      <c r="Z283" s="6">
        <f t="shared" si="1521"/>
        <v>88.357142857142861</v>
      </c>
      <c r="AA283" s="6">
        <f t="shared" ref="AA283" si="1629">AVERAGE(N277:N283)</f>
        <v>14.392028571428572</v>
      </c>
      <c r="AB283" s="6">
        <f t="shared" ref="AB283" si="1630">AVERAGE(R277:R283)</f>
        <v>23.149892857142856</v>
      </c>
      <c r="AC283" s="6">
        <f t="shared" ref="AC283" si="1631">100*(AB283/AB282-1)</f>
        <v>4.2752191628592229E-2</v>
      </c>
      <c r="AD283" s="42">
        <f>Tabla1[[#This Row],[Avg Agua)]]/Tabla1[[#This Row],[Avg Musculo]]</f>
        <v>2.0370754569984126</v>
      </c>
    </row>
    <row r="284" spans="1:31" x14ac:dyDescent="0.3">
      <c r="A284" t="s">
        <v>65</v>
      </c>
      <c r="B284">
        <v>22</v>
      </c>
      <c r="C284" t="s">
        <v>24</v>
      </c>
      <c r="D284" s="4">
        <v>45441</v>
      </c>
      <c r="E284" s="6">
        <v>87.7</v>
      </c>
      <c r="F284" s="7">
        <f t="shared" si="1597"/>
        <v>24.813263920325941</v>
      </c>
      <c r="G284" s="9">
        <v>0.154</v>
      </c>
      <c r="H284" s="6">
        <f t="shared" si="291"/>
        <v>74.194199999999995</v>
      </c>
      <c r="I284" s="6">
        <f t="shared" si="644"/>
        <v>24.100899999999992</v>
      </c>
      <c r="J284">
        <v>3.7</v>
      </c>
      <c r="K284" s="5">
        <v>7.0000000000000007E-2</v>
      </c>
      <c r="L284" s="17">
        <v>2140</v>
      </c>
      <c r="M284" s="5">
        <v>0.52900000000000003</v>
      </c>
      <c r="N284" s="6">
        <f t="shared" si="304"/>
        <v>13.505800000000001</v>
      </c>
      <c r="O284" s="21">
        <f t="shared" si="751"/>
        <v>46.393300000000004</v>
      </c>
      <c r="P284" s="8">
        <f t="shared" si="1516"/>
        <v>47.049664285714286</v>
      </c>
      <c r="Q284" s="8">
        <f t="shared" si="1470"/>
        <v>63.599100000000007</v>
      </c>
      <c r="R284" s="6">
        <f t="shared" si="1471"/>
        <v>24.100899999999992</v>
      </c>
      <c r="S284" s="6">
        <f t="shared" si="1472"/>
        <v>6.1390000000000011</v>
      </c>
      <c r="T284" s="6">
        <f t="shared" ref="T284" si="1632">I284-I283</f>
        <v>0.50074999999998937</v>
      </c>
      <c r="U284" s="6">
        <f t="shared" ref="U284" si="1633">N284-N283</f>
        <v>-0.45349999999999824</v>
      </c>
      <c r="V284" s="6">
        <f t="shared" ref="V284" si="1634">E284-E283</f>
        <v>-0.64999999999999147</v>
      </c>
      <c r="W284" s="9">
        <f>Tabla1[[#This Row],[Protein]]/Tabla1[[#This Row],[Peso (Kg)]]</f>
        <v>0.27481071835803866</v>
      </c>
      <c r="X284" s="9">
        <f t="shared" si="1520"/>
        <v>0.26342310149625126</v>
      </c>
      <c r="Y284" s="6">
        <f t="shared" si="1476"/>
        <v>41.306699999999992</v>
      </c>
      <c r="Z284" s="6">
        <f t="shared" si="1521"/>
        <v>88.271428571428586</v>
      </c>
      <c r="AA284" s="6">
        <f t="shared" ref="AA284" si="1635">AVERAGE(N278:N284)</f>
        <v>14.315757142857146</v>
      </c>
      <c r="AB284" s="6">
        <f t="shared" ref="AB284" si="1636">AVERAGE(R278:R284)</f>
        <v>23.248864285714287</v>
      </c>
      <c r="AC284" s="6">
        <f t="shared" ref="AC284" si="1637">100*(AB284/AB283-1)</f>
        <v>0.42752434830770625</v>
      </c>
      <c r="AD284" s="42">
        <f>Tabla1[[#This Row],[Avg Agua)]]/Tabla1[[#This Row],[Avg Musculo]]</f>
        <v>2.0237403301728101</v>
      </c>
    </row>
    <row r="285" spans="1:31" x14ac:dyDescent="0.3">
      <c r="A285" t="s">
        <v>65</v>
      </c>
      <c r="B285">
        <v>22</v>
      </c>
      <c r="C285" t="s">
        <v>22</v>
      </c>
      <c r="D285" s="4">
        <v>45442</v>
      </c>
      <c r="E285" s="6">
        <v>88.1</v>
      </c>
      <c r="F285" s="7">
        <f t="shared" si="1597"/>
        <v>24.926437301946581</v>
      </c>
      <c r="G285" s="9">
        <v>0.154</v>
      </c>
      <c r="H285" s="6">
        <f t="shared" si="291"/>
        <v>74.532600000000002</v>
      </c>
      <c r="I285" s="6">
        <f t="shared" si="644"/>
        <v>24.139600000000005</v>
      </c>
      <c r="J285">
        <v>3.7</v>
      </c>
      <c r="K285" s="5">
        <v>7.0000000000000007E-2</v>
      </c>
      <c r="L285" s="17">
        <v>2150</v>
      </c>
      <c r="M285" s="5">
        <v>0.53</v>
      </c>
      <c r="N285" s="6">
        <f t="shared" si="304"/>
        <v>13.567399999999999</v>
      </c>
      <c r="O285" s="21">
        <f t="shared" si="751"/>
        <v>46.692999999999998</v>
      </c>
      <c r="P285" s="8">
        <f t="shared" si="1516"/>
        <v>47.032092857142857</v>
      </c>
      <c r="Q285" s="8">
        <f t="shared" si="1470"/>
        <v>63.960399999999993</v>
      </c>
      <c r="R285" s="6">
        <f t="shared" si="1471"/>
        <v>24.139600000000005</v>
      </c>
      <c r="S285" s="6">
        <f t="shared" si="1472"/>
        <v>6.1669999999999998</v>
      </c>
      <c r="T285" s="6">
        <f t="shared" ref="T285" si="1638">I285-I284</f>
        <v>3.8700000000012835E-2</v>
      </c>
      <c r="U285" s="6">
        <f t="shared" ref="U285" si="1639">N285-N284</f>
        <v>6.1599999999998545E-2</v>
      </c>
      <c r="V285" s="6">
        <f t="shared" ref="V285" si="1640">E285-E284</f>
        <v>0.39999999999999147</v>
      </c>
      <c r="W285" s="9">
        <f>Tabla1[[#This Row],[Protein]]/Tabla1[[#This Row],[Peso (Kg)]]</f>
        <v>0.27400227014755968</v>
      </c>
      <c r="X285" s="9">
        <f t="shared" si="1520"/>
        <v>0.26400134788096763</v>
      </c>
      <c r="Y285" s="6">
        <f t="shared" si="1476"/>
        <v>41.407000000000011</v>
      </c>
      <c r="Z285" s="6">
        <f t="shared" si="1521"/>
        <v>88.285714285714306</v>
      </c>
      <c r="AA285" s="6">
        <f t="shared" ref="AA285" si="1641">AVERAGE(N279:N285)</f>
        <v>14.292814285714282</v>
      </c>
      <c r="AB285" s="6">
        <f t="shared" ref="AB285" si="1642">AVERAGE(R279:R285)</f>
        <v>23.303664285714284</v>
      </c>
      <c r="AC285" s="6">
        <f t="shared" ref="AC285" si="1643">100*(AB285/AB284-1)</f>
        <v>0.23571043869730079</v>
      </c>
      <c r="AD285" s="42">
        <f>Tabla1[[#This Row],[Avg Agua)]]/Tabla1[[#This Row],[Avg Musculo]]</f>
        <v>2.0182273603200969</v>
      </c>
    </row>
    <row r="286" spans="1:31" x14ac:dyDescent="0.3">
      <c r="A286" t="s">
        <v>65</v>
      </c>
      <c r="B286">
        <v>22</v>
      </c>
      <c r="C286" t="s">
        <v>20</v>
      </c>
      <c r="D286" s="4">
        <v>45443</v>
      </c>
      <c r="E286" s="6">
        <v>87.75</v>
      </c>
      <c r="F286" s="7">
        <f t="shared" si="1597"/>
        <v>24.827410593028521</v>
      </c>
      <c r="G286" s="9">
        <v>0.154</v>
      </c>
      <c r="H286" s="6">
        <f t="shared" si="291"/>
        <v>74.236500000000007</v>
      </c>
      <c r="I286" s="6">
        <f t="shared" si="644"/>
        <v>23.590250000000001</v>
      </c>
      <c r="J286">
        <v>3.7</v>
      </c>
      <c r="K286" s="5">
        <v>7.0000000000000007E-2</v>
      </c>
      <c r="L286" s="17">
        <v>2142</v>
      </c>
      <c r="M286" s="5">
        <v>0.53500000000000003</v>
      </c>
      <c r="N286" s="6">
        <f t="shared" si="304"/>
        <v>13.513500000000001</v>
      </c>
      <c r="O286" s="21">
        <f t="shared" si="751"/>
        <v>46.946250000000006</v>
      </c>
      <c r="P286" s="8">
        <f t="shared" si="1516"/>
        <v>47.028271428571429</v>
      </c>
      <c r="Q286" s="8">
        <f t="shared" si="1470"/>
        <v>64.159750000000003</v>
      </c>
      <c r="R286" s="6">
        <f t="shared" si="1471"/>
        <v>23.590250000000001</v>
      </c>
      <c r="S286" s="6">
        <f t="shared" si="1472"/>
        <v>6.142500000000001</v>
      </c>
      <c r="T286" s="6">
        <f t="shared" ref="T286" si="1644">I286-I285</f>
        <v>-0.549350000000004</v>
      </c>
      <c r="U286" s="6">
        <f t="shared" ref="U286" si="1645">N286-N285</f>
        <v>-5.3899999999998727E-2</v>
      </c>
      <c r="V286" s="6">
        <f t="shared" ref="V286" si="1646">E286-E285</f>
        <v>-0.34999999999999432</v>
      </c>
      <c r="W286" s="9">
        <f>Tabla1[[#This Row],[Protein]]/Tabla1[[#This Row],[Peso (Kg)]]</f>
        <v>0.26883475783475785</v>
      </c>
      <c r="X286" s="9">
        <f t="shared" si="1520"/>
        <v>0.26440663870083703</v>
      </c>
      <c r="Y286" s="6">
        <f t="shared" si="1476"/>
        <v>40.803750000000008</v>
      </c>
      <c r="Z286" s="6">
        <f t="shared" si="1521"/>
        <v>88.278571428571425</v>
      </c>
      <c r="AA286" s="6">
        <f t="shared" ref="AA286" si="1647">AVERAGE(N280:N286)</f>
        <v>14.241542857142857</v>
      </c>
      <c r="AB286" s="6">
        <f t="shared" ref="AB286" si="1648">AVERAGE(R280:R286)</f>
        <v>23.337328571428571</v>
      </c>
      <c r="AC286" s="6">
        <f t="shared" ref="AC286" si="1649">100*(AB286/AB285-1)</f>
        <v>0.14445919449210809</v>
      </c>
      <c r="AD286" s="42">
        <f>Tabla1[[#This Row],[Avg Agua)]]/Tabla1[[#This Row],[Avg Musculo]]</f>
        <v>2.0151523035137453</v>
      </c>
    </row>
    <row r="287" spans="1:31" x14ac:dyDescent="0.3">
      <c r="A287" t="s">
        <v>65</v>
      </c>
      <c r="B287">
        <v>22</v>
      </c>
      <c r="C287" t="s">
        <v>25</v>
      </c>
      <c r="D287" s="4">
        <v>45444</v>
      </c>
      <c r="E287" s="6">
        <v>87.55</v>
      </c>
      <c r="F287" s="7">
        <f t="shared" si="1597"/>
        <v>24.770823902218201</v>
      </c>
      <c r="G287" s="9">
        <v>0.159</v>
      </c>
      <c r="H287" s="6">
        <f t="shared" si="291"/>
        <v>73.629549999999995</v>
      </c>
      <c r="I287" s="6">
        <f t="shared" si="644"/>
        <v>23.715599999999995</v>
      </c>
      <c r="J287">
        <v>3.6</v>
      </c>
      <c r="K287" s="5">
        <v>7.0000000000000007E-2</v>
      </c>
      <c r="L287" s="17">
        <v>2123</v>
      </c>
      <c r="M287" s="5">
        <v>0.52900000000000003</v>
      </c>
      <c r="N287" s="6">
        <f t="shared" si="304"/>
        <v>13.920449999999999</v>
      </c>
      <c r="O287" s="21">
        <f t="shared" si="751"/>
        <v>46.313949999999998</v>
      </c>
      <c r="P287" s="8">
        <f t="shared" si="1516"/>
        <v>46.981692857142853</v>
      </c>
      <c r="Q287" s="8">
        <f t="shared" si="1470"/>
        <v>63.834400000000002</v>
      </c>
      <c r="R287" s="6">
        <f t="shared" si="1471"/>
        <v>23.715599999999995</v>
      </c>
      <c r="S287" s="6">
        <f t="shared" si="1472"/>
        <v>6.1285000000000007</v>
      </c>
      <c r="T287" s="6">
        <f t="shared" ref="T287" si="1650">I287-I286</f>
        <v>0.12534999999999386</v>
      </c>
      <c r="U287" s="6">
        <f t="shared" ref="U287" si="1651">N287-N286</f>
        <v>0.40694999999999837</v>
      </c>
      <c r="V287" s="6">
        <f t="shared" ref="V287" si="1652">E287-E286</f>
        <v>-0.20000000000000284</v>
      </c>
      <c r="W287" s="9">
        <f>Tabla1[[#This Row],[Protein]]/Tabla1[[#This Row],[Peso (Kg)]]</f>
        <v>0.27088063963449455</v>
      </c>
      <c r="X287" s="9">
        <f t="shared" si="1520"/>
        <v>0.26539608072654403</v>
      </c>
      <c r="Y287" s="6">
        <f t="shared" si="1476"/>
        <v>41.236049999999999</v>
      </c>
      <c r="Z287" s="6">
        <f t="shared" si="1521"/>
        <v>88.214285714285694</v>
      </c>
      <c r="AA287" s="6">
        <f t="shared" ref="AA287" si="1653">AVERAGE(N281:N287)</f>
        <v>14.168464285714288</v>
      </c>
      <c r="AB287" s="6">
        <f t="shared" ref="AB287" si="1654">AVERAGE(R281:R287)</f>
        <v>23.406985714285714</v>
      </c>
      <c r="AC287" s="6">
        <f t="shared" ref="AC287" si="1655">100*(AB287/AB286-1)</f>
        <v>0.29847950524388711</v>
      </c>
      <c r="AD287" s="42">
        <f>Tabla1[[#This Row],[Avg Agua)]]/Tabla1[[#This Row],[Avg Musculo]]</f>
        <v>2.0071654432834154</v>
      </c>
    </row>
    <row r="288" spans="1:31" x14ac:dyDescent="0.3">
      <c r="A288" t="s">
        <v>65</v>
      </c>
      <c r="B288">
        <v>22</v>
      </c>
      <c r="C288" t="s">
        <v>26</v>
      </c>
      <c r="D288" s="4">
        <v>45445</v>
      </c>
      <c r="E288" s="6">
        <v>87.9</v>
      </c>
      <c r="F288" s="7">
        <f t="shared" si="1597"/>
        <v>24.869850611136265</v>
      </c>
      <c r="G288" s="9">
        <v>0.16200000000000001</v>
      </c>
      <c r="H288" s="6">
        <f t="shared" si="291"/>
        <v>73.660200000000003</v>
      </c>
      <c r="I288" s="6">
        <f t="shared" si="644"/>
        <v>23.033699999999996</v>
      </c>
      <c r="J288">
        <v>3.6</v>
      </c>
      <c r="K288" s="5">
        <v>7.4999999999999997E-2</v>
      </c>
      <c r="L288" s="17">
        <v>2126</v>
      </c>
      <c r="M288" s="5">
        <v>0.53500000000000003</v>
      </c>
      <c r="N288" s="6">
        <f t="shared" si="304"/>
        <v>14.239800000000001</v>
      </c>
      <c r="O288" s="21">
        <f t="shared" si="751"/>
        <v>47.026500000000006</v>
      </c>
      <c r="P288" s="8">
        <f t="shared" si="1516"/>
        <v>46.904049999999998</v>
      </c>
      <c r="Q288" s="8">
        <f t="shared" si="1470"/>
        <v>64.86630000000001</v>
      </c>
      <c r="R288" s="6">
        <f t="shared" si="1471"/>
        <v>23.033699999999996</v>
      </c>
      <c r="S288" s="6">
        <f t="shared" si="1472"/>
        <v>6.5925000000000002</v>
      </c>
      <c r="T288" s="6">
        <f t="shared" ref="T288" si="1656">I288-I287</f>
        <v>-0.68189999999999884</v>
      </c>
      <c r="U288" s="6">
        <f t="shared" ref="U288" si="1657">N288-N287</f>
        <v>0.3193500000000018</v>
      </c>
      <c r="V288" s="6">
        <f t="shared" ref="V288" si="1658">E288-E287</f>
        <v>0.35000000000000853</v>
      </c>
      <c r="W288" s="9">
        <f>Tabla1[[#This Row],[Protein]]/Tabla1[[#This Row],[Peso (Kg)]]</f>
        <v>0.26204436860068253</v>
      </c>
      <c r="X288" s="9">
        <f t="shared" si="1520"/>
        <v>0.26719718770974016</v>
      </c>
      <c r="Y288" s="6">
        <f t="shared" si="1476"/>
        <v>40.8735</v>
      </c>
      <c r="Z288" s="6">
        <f t="shared" si="1521"/>
        <v>88.092857142857127</v>
      </c>
      <c r="AA288" s="6">
        <f t="shared" ref="AA288" si="1659">AVERAGE(N282:N288)</f>
        <v>13.996650000000001</v>
      </c>
      <c r="AB288" s="6">
        <f t="shared" ref="AB288" si="1660">AVERAGE(R282:R288)</f>
        <v>23.535014285714283</v>
      </c>
      <c r="AC288" s="6">
        <f t="shared" ref="AC288" si="1661">100*(AB288/AB287-1)</f>
        <v>0.54696735834049992</v>
      </c>
      <c r="AD288" s="42">
        <f>Tabla1[[#This Row],[Avg Agua)]]/Tabla1[[#This Row],[Avg Musculo]]</f>
        <v>1.9929475899434947</v>
      </c>
    </row>
    <row r="289" spans="1:31" x14ac:dyDescent="0.3">
      <c r="A289" t="s">
        <v>65</v>
      </c>
      <c r="B289">
        <v>23</v>
      </c>
      <c r="C289" t="s">
        <v>21</v>
      </c>
      <c r="D289" s="4">
        <v>45446</v>
      </c>
      <c r="E289" s="6">
        <v>88.1</v>
      </c>
      <c r="F289" s="7">
        <f t="shared" si="1597"/>
        <v>24.926437301946581</v>
      </c>
      <c r="G289" s="9">
        <v>0.16300000000000001</v>
      </c>
      <c r="H289" s="6">
        <f t="shared" si="291"/>
        <v>73.739699999999999</v>
      </c>
      <c r="I289" s="6">
        <f t="shared" si="644"/>
        <v>22.918099999999995</v>
      </c>
      <c r="J289">
        <v>3.6</v>
      </c>
      <c r="K289" s="5">
        <v>7.4999999999999997E-2</v>
      </c>
      <c r="L289" s="17">
        <v>2129</v>
      </c>
      <c r="M289" s="5">
        <v>0.53600000000000003</v>
      </c>
      <c r="N289" s="6">
        <f t="shared" si="304"/>
        <v>14.360299999999999</v>
      </c>
      <c r="O289" s="21">
        <f t="shared" si="751"/>
        <v>47.221600000000002</v>
      </c>
      <c r="P289" s="8">
        <f t="shared" si="1516"/>
        <v>46.812164285714296</v>
      </c>
      <c r="Q289" s="8">
        <f t="shared" si="1470"/>
        <v>65.181899999999999</v>
      </c>
      <c r="R289" s="6">
        <f t="shared" si="1471"/>
        <v>22.918099999999995</v>
      </c>
      <c r="S289" s="6">
        <f t="shared" si="1472"/>
        <v>6.607499999999999</v>
      </c>
      <c r="T289" s="6">
        <f t="shared" ref="T289" si="1662">I289-I288</f>
        <v>-0.11560000000000059</v>
      </c>
      <c r="U289" s="6">
        <f t="shared" ref="U289" si="1663">N289-N288</f>
        <v>0.12049999999999805</v>
      </c>
      <c r="V289" s="6">
        <f t="shared" ref="V289" si="1664">E289-E288</f>
        <v>0.19999999999998863</v>
      </c>
      <c r="W289" s="9">
        <f>Tabla1[[#This Row],[Protein]]/Tabla1[[#This Row],[Peso (Kg)]]</f>
        <v>0.26013734392735527</v>
      </c>
      <c r="X289" s="9">
        <f t="shared" si="1520"/>
        <v>0.2682616011039376</v>
      </c>
      <c r="Y289" s="6">
        <f t="shared" si="1476"/>
        <v>40.878399999999992</v>
      </c>
      <c r="Z289" s="6">
        <f t="shared" si="1521"/>
        <v>87.921428571428578</v>
      </c>
      <c r="AA289" s="6">
        <f t="shared" ref="AA289" si="1665">AVERAGE(N283:N289)</f>
        <v>13.866649999999998</v>
      </c>
      <c r="AB289" s="6">
        <f t="shared" ref="AB289" si="1666">AVERAGE(R283:R289)</f>
        <v>23.585471428571427</v>
      </c>
      <c r="AC289" s="6">
        <f t="shared" ref="AC289" si="1667">100*(AB289/AB288-1)</f>
        <v>0.21439180892179888</v>
      </c>
      <c r="AD289" s="42">
        <f>Tabla1[[#This Row],[Avg Agua)]]/Tabla1[[#This Row],[Avg Musculo]]</f>
        <v>1.9847881534818959</v>
      </c>
    </row>
    <row r="290" spans="1:31" x14ac:dyDescent="0.3">
      <c r="A290" t="s">
        <v>65</v>
      </c>
      <c r="B290">
        <v>23</v>
      </c>
      <c r="C290" t="s">
        <v>23</v>
      </c>
      <c r="D290" s="4">
        <v>45447</v>
      </c>
      <c r="E290" s="6">
        <v>88.45</v>
      </c>
      <c r="F290" s="7">
        <f t="shared" si="1597"/>
        <v>25.025464010864646</v>
      </c>
      <c r="G290" s="9">
        <v>0.16200000000000001</v>
      </c>
      <c r="H290" s="6">
        <f t="shared" si="291"/>
        <v>74.121099999999998</v>
      </c>
      <c r="I290" s="6">
        <f t="shared" si="644"/>
        <v>22.658099999999994</v>
      </c>
      <c r="J290">
        <v>3.7</v>
      </c>
      <c r="K290" s="5">
        <v>7.4999999999999997E-2</v>
      </c>
      <c r="L290" s="17">
        <v>2141</v>
      </c>
      <c r="M290" s="5">
        <v>0.54</v>
      </c>
      <c r="N290" s="6">
        <f t="shared" si="304"/>
        <v>14.328900000000001</v>
      </c>
      <c r="O290" s="21">
        <f t="shared" si="751"/>
        <v>47.763000000000005</v>
      </c>
      <c r="P290" s="8">
        <f t="shared" si="1516"/>
        <v>46.90822857142858</v>
      </c>
      <c r="Q290" s="8">
        <f t="shared" si="1470"/>
        <v>65.791900000000012</v>
      </c>
      <c r="R290" s="6">
        <f t="shared" si="1471"/>
        <v>22.658099999999994</v>
      </c>
      <c r="S290" s="6">
        <f t="shared" si="1472"/>
        <v>6.63375</v>
      </c>
      <c r="T290" s="6">
        <f t="shared" ref="T290" si="1668">I290-I289</f>
        <v>-0.26000000000000156</v>
      </c>
      <c r="U290" s="6">
        <f t="shared" ref="U290" si="1669">N290-N289</f>
        <v>-3.1399999999997874E-2</v>
      </c>
      <c r="V290" s="6">
        <f t="shared" ref="V290" si="1670">E290-E289</f>
        <v>0.35000000000000853</v>
      </c>
      <c r="W290" s="9">
        <f>Tabla1[[#This Row],[Protein]]/Tabla1[[#This Row],[Peso (Kg)]]</f>
        <v>0.25616845675522887</v>
      </c>
      <c r="X290" s="9">
        <f t="shared" si="1520"/>
        <v>0.26669693646544534</v>
      </c>
      <c r="Y290" s="6">
        <f t="shared" si="1476"/>
        <v>40.686999999999998</v>
      </c>
      <c r="Z290" s="6">
        <f t="shared" si="1521"/>
        <v>87.935714285714297</v>
      </c>
      <c r="AA290" s="6">
        <f t="shared" ref="AA290" si="1671">AVERAGE(N284:N290)</f>
        <v>13.919449999999999</v>
      </c>
      <c r="AB290" s="6">
        <f t="shared" ref="AB290" si="1672">AVERAGE(R284:R290)</f>
        <v>23.450892857142854</v>
      </c>
      <c r="AC290" s="6">
        <f t="shared" ref="AC290" si="1673">100*(AB290/AB289-1)</f>
        <v>-0.57059945499137177</v>
      </c>
      <c r="AD290" s="42">
        <f>Tabla1[[#This Row],[Avg Agua)]]/Tabla1[[#This Row],[Avg Musculo]]</f>
        <v>2.0002747382448129</v>
      </c>
    </row>
    <row r="291" spans="1:31" x14ac:dyDescent="0.3">
      <c r="A291" t="s">
        <v>65</v>
      </c>
      <c r="B291">
        <v>23</v>
      </c>
      <c r="C291" t="s">
        <v>24</v>
      </c>
      <c r="D291" s="4">
        <v>45448</v>
      </c>
      <c r="E291" s="6">
        <v>88.4</v>
      </c>
      <c r="F291" s="7">
        <f t="shared" si="1597"/>
        <v>25.011317338162069</v>
      </c>
      <c r="G291" s="9">
        <v>0.16800000000000001</v>
      </c>
      <c r="H291" s="6">
        <f t="shared" si="291"/>
        <v>73.5488</v>
      </c>
      <c r="I291" s="6">
        <f t="shared" si="644"/>
        <v>22.654799999999994</v>
      </c>
      <c r="J291">
        <v>3.6</v>
      </c>
      <c r="K291" s="5">
        <v>7.4999999999999997E-2</v>
      </c>
      <c r="L291" s="17">
        <v>2125</v>
      </c>
      <c r="M291" s="5">
        <v>0.53500000000000003</v>
      </c>
      <c r="N291" s="6">
        <f t="shared" si="304"/>
        <v>14.851200000000002</v>
      </c>
      <c r="O291" s="21">
        <f t="shared" si="751"/>
        <v>47.294000000000004</v>
      </c>
      <c r="P291" s="8">
        <f t="shared" si="1516"/>
        <v>47.036899999999996</v>
      </c>
      <c r="Q291" s="8">
        <f t="shared" si="1470"/>
        <v>65.745200000000011</v>
      </c>
      <c r="R291" s="6">
        <f t="shared" si="1471"/>
        <v>22.654799999999994</v>
      </c>
      <c r="S291" s="6">
        <f t="shared" si="1472"/>
        <v>6.63</v>
      </c>
      <c r="T291" s="6">
        <f t="shared" ref="T291" si="1674">I291-I290</f>
        <v>-3.2999999999994145E-3</v>
      </c>
      <c r="U291" s="6">
        <f t="shared" ref="U291" si="1675">N291-N290</f>
        <v>0.52230000000000132</v>
      </c>
      <c r="V291" s="6">
        <f t="shared" ref="V291" si="1676">E291-E290</f>
        <v>-4.9999999999997158E-2</v>
      </c>
      <c r="W291" s="9">
        <f>Tabla1[[#This Row],[Protein]]/Tabla1[[#This Row],[Peso (Kg)]]</f>
        <v>0.25627601809954742</v>
      </c>
      <c r="X291" s="9">
        <f t="shared" si="1520"/>
        <v>0.26404912214280374</v>
      </c>
      <c r="Y291" s="6">
        <f t="shared" si="1476"/>
        <v>41.106000000000002</v>
      </c>
      <c r="Z291" s="6">
        <f t="shared" si="1521"/>
        <v>88.035714285714292</v>
      </c>
      <c r="AA291" s="6">
        <f t="shared" ref="AA291" si="1677">AVERAGE(N285:N291)</f>
        <v>14.111650000000001</v>
      </c>
      <c r="AB291" s="6">
        <f t="shared" ref="AB291" si="1678">AVERAGE(R285:R291)</f>
        <v>23.244307142857139</v>
      </c>
      <c r="AC291" s="6">
        <f t="shared" ref="AC291" si="1679">100*(AB291/AB290-1)</f>
        <v>-0.88092899295640903</v>
      </c>
      <c r="AD291" s="42">
        <f>Tabla1[[#This Row],[Avg Agua)]]/Tabla1[[#This Row],[Avg Musculo]]</f>
        <v>2.0235879568668582</v>
      </c>
    </row>
    <row r="292" spans="1:31" x14ac:dyDescent="0.3">
      <c r="A292" t="s">
        <v>65</v>
      </c>
      <c r="B292">
        <v>23</v>
      </c>
      <c r="C292" t="s">
        <v>22</v>
      </c>
      <c r="D292" s="4">
        <v>45449</v>
      </c>
      <c r="E292" s="6">
        <v>88.15</v>
      </c>
      <c r="F292" s="7">
        <f t="shared" si="1597"/>
        <v>24.940583974649165</v>
      </c>
      <c r="G292" s="9">
        <v>0.156</v>
      </c>
      <c r="H292" s="6">
        <f t="shared" si="291"/>
        <v>74.398600000000002</v>
      </c>
      <c r="I292" s="6">
        <f t="shared" si="644"/>
        <v>23.538349999999998</v>
      </c>
      <c r="J292">
        <v>3.7</v>
      </c>
      <c r="K292" s="5">
        <v>7.0000000000000007E-2</v>
      </c>
      <c r="L292" s="17">
        <v>2147</v>
      </c>
      <c r="M292" s="5">
        <v>0.53500000000000003</v>
      </c>
      <c r="N292" s="6">
        <f t="shared" si="304"/>
        <v>13.7514</v>
      </c>
      <c r="O292" s="21">
        <f t="shared" si="751"/>
        <v>47.160250000000005</v>
      </c>
      <c r="P292" s="8">
        <f t="shared" si="1516"/>
        <v>47.103650000000002</v>
      </c>
      <c r="Q292" s="8">
        <f t="shared" si="1470"/>
        <v>64.611650000000012</v>
      </c>
      <c r="R292" s="6">
        <f t="shared" si="1471"/>
        <v>23.538349999999998</v>
      </c>
      <c r="S292" s="6">
        <f t="shared" si="1472"/>
        <v>6.1705000000000014</v>
      </c>
      <c r="T292" s="6">
        <f t="shared" ref="T292" si="1680">I292-I291</f>
        <v>0.88355000000000317</v>
      </c>
      <c r="U292" s="6">
        <f t="shared" ref="U292" si="1681">N292-N291</f>
        <v>-1.0998000000000019</v>
      </c>
      <c r="V292" s="6">
        <f t="shared" ref="V292" si="1682">E292-E291</f>
        <v>-0.25</v>
      </c>
      <c r="W292" s="9">
        <f>Tabla1[[#This Row],[Protein]]/Tabla1[[#This Row],[Peso (Kg)]]</f>
        <v>0.26702609188882581</v>
      </c>
      <c r="X292" s="9">
        <f t="shared" si="1520"/>
        <v>0.26305252524869893</v>
      </c>
      <c r="Y292" s="6">
        <f t="shared" si="1476"/>
        <v>40.989750000000001</v>
      </c>
      <c r="Z292" s="6">
        <f t="shared" si="1521"/>
        <v>88.042857142857159</v>
      </c>
      <c r="AA292" s="6">
        <f t="shared" ref="AA292" si="1683">AVERAGE(N286:N292)</f>
        <v>14.137935714285716</v>
      </c>
      <c r="AB292" s="6">
        <f t="shared" ref="AB292" si="1684">AVERAGE(R286:R292)</f>
        <v>23.158414285714283</v>
      </c>
      <c r="AC292" s="6">
        <f t="shared" ref="AC292" si="1685">100*(AB292/AB291-1)</f>
        <v>-0.36952212262111317</v>
      </c>
      <c r="AD292" s="42">
        <f>Tabla1[[#This Row],[Avg Agua)]]/Tabla1[[#This Row],[Avg Musculo]]</f>
        <v>2.0339756176249426</v>
      </c>
      <c r="AE292" t="s">
        <v>68</v>
      </c>
    </row>
    <row r="293" spans="1:31" x14ac:dyDescent="0.3">
      <c r="A293" t="s">
        <v>65</v>
      </c>
      <c r="B293">
        <v>23</v>
      </c>
      <c r="C293" t="s">
        <v>20</v>
      </c>
      <c r="D293" s="4">
        <v>45450</v>
      </c>
      <c r="E293" s="6">
        <v>88.4</v>
      </c>
      <c r="F293" s="7">
        <f t="shared" ref="F293:F298" si="1686">E293/(1.88^2)</f>
        <v>25.011317338162069</v>
      </c>
      <c r="G293" s="9">
        <v>0.16400000000000001</v>
      </c>
      <c r="H293" s="6">
        <f t="shared" ref="H293:H298" si="1687">E293-N293</f>
        <v>73.9024</v>
      </c>
      <c r="I293" s="6">
        <f t="shared" ref="I293:I298" si="1688">E293-N293-O293-J293</f>
        <v>23.008399999999995</v>
      </c>
      <c r="J293">
        <v>3.6</v>
      </c>
      <c r="K293" s="5">
        <v>7.4999999999999997E-2</v>
      </c>
      <c r="L293" s="17">
        <v>2139</v>
      </c>
      <c r="M293" s="5">
        <v>0.53500000000000003</v>
      </c>
      <c r="N293" s="6">
        <f t="shared" ref="N293:N298" si="1689">E293*G293</f>
        <v>14.497600000000002</v>
      </c>
      <c r="O293" s="21">
        <f t="shared" ref="O293:O298" si="1690">M293*E293</f>
        <v>47.294000000000004</v>
      </c>
      <c r="P293" s="8">
        <f t="shared" si="1516"/>
        <v>47.153328571428574</v>
      </c>
      <c r="Q293" s="8">
        <f t="shared" ref="Q293:Q298" si="1691">E293-R293</f>
        <v>65.391600000000011</v>
      </c>
      <c r="R293" s="6">
        <f t="shared" ref="R293:R298" si="1692">I293</f>
        <v>23.008399999999995</v>
      </c>
      <c r="S293" s="6">
        <f t="shared" ref="S293:S298" si="1693">K293*E293</f>
        <v>6.63</v>
      </c>
      <c r="T293" s="6">
        <f t="shared" ref="T293:T298" si="1694">I293-I292</f>
        <v>-0.52995000000000303</v>
      </c>
      <c r="U293" s="6">
        <f t="shared" ref="U293:U298" si="1695">N293-N292</f>
        <v>0.74620000000000175</v>
      </c>
      <c r="V293" s="6">
        <f t="shared" ref="V293:V298" si="1696">E293-E292</f>
        <v>0.25</v>
      </c>
      <c r="W293" s="9">
        <f>Tabla1[[#This Row],[Protein]]/Tabla1[[#This Row],[Peso (Kg)]]</f>
        <v>0.26027601809954742</v>
      </c>
      <c r="X293" s="9">
        <f t="shared" si="1520"/>
        <v>0.26182984814366883</v>
      </c>
      <c r="Y293" s="6">
        <f t="shared" ref="Y293:Y298" si="1697">R293+N293+J293</f>
        <v>41.106000000000002</v>
      </c>
      <c r="Z293" s="6">
        <f t="shared" si="1521"/>
        <v>88.135714285714272</v>
      </c>
      <c r="AA293" s="6">
        <f t="shared" ref="AA293" si="1698">AVERAGE(N287:N293)</f>
        <v>14.278521428571432</v>
      </c>
      <c r="AB293" s="6">
        <f t="shared" ref="AB293" si="1699">AVERAGE(R287:R293)</f>
        <v>23.075292857142852</v>
      </c>
      <c r="AC293" s="6">
        <f t="shared" ref="AC293:AC298" si="1700">100*(AB293/AB292-1)</f>
        <v>-0.35892538904404026</v>
      </c>
      <c r="AD293" s="42">
        <f>Tabla1[[#This Row],[Avg Agua)]]/Tabla1[[#This Row],[Avg Musculo]]</f>
        <v>2.0434552602799352</v>
      </c>
    </row>
    <row r="294" spans="1:31" x14ac:dyDescent="0.3">
      <c r="A294" t="s">
        <v>65</v>
      </c>
      <c r="B294">
        <v>23</v>
      </c>
      <c r="C294" t="s">
        <v>25</v>
      </c>
      <c r="D294" s="4">
        <v>45451</v>
      </c>
      <c r="E294" s="6">
        <v>89.05</v>
      </c>
      <c r="F294" s="7">
        <f t="shared" si="1686"/>
        <v>25.19522408329561</v>
      </c>
      <c r="G294" s="9">
        <v>0.161</v>
      </c>
      <c r="H294" s="6">
        <f t="shared" si="1687"/>
        <v>74.712949999999992</v>
      </c>
      <c r="I294" s="6">
        <f t="shared" si="1688"/>
        <v>23.282149999999991</v>
      </c>
      <c r="J294">
        <v>3.7</v>
      </c>
      <c r="K294" s="5">
        <v>7.4999999999999997E-2</v>
      </c>
      <c r="L294" s="17">
        <v>2159</v>
      </c>
      <c r="M294" s="5">
        <v>0.53600000000000003</v>
      </c>
      <c r="N294" s="6">
        <f t="shared" si="1689"/>
        <v>14.33705</v>
      </c>
      <c r="O294" s="21">
        <f t="shared" si="1690"/>
        <v>47.730800000000002</v>
      </c>
      <c r="P294" s="8">
        <f t="shared" si="1516"/>
        <v>47.355735714285707</v>
      </c>
      <c r="Q294" s="8">
        <f t="shared" si="1691"/>
        <v>65.76785000000001</v>
      </c>
      <c r="R294" s="6">
        <f t="shared" si="1692"/>
        <v>23.282149999999991</v>
      </c>
      <c r="S294" s="6">
        <f t="shared" si="1693"/>
        <v>6.67875</v>
      </c>
      <c r="T294" s="6">
        <f t="shared" si="1694"/>
        <v>0.27374999999999616</v>
      </c>
      <c r="U294" s="6">
        <f t="shared" si="1695"/>
        <v>-0.16055000000000241</v>
      </c>
      <c r="V294" s="6">
        <f t="shared" si="1696"/>
        <v>0.64999999999999147</v>
      </c>
      <c r="W294" s="9">
        <f>Tabla1[[#This Row],[Protein]]/Tabla1[[#This Row],[Peso (Kg)]]</f>
        <v>0.2614503088152722</v>
      </c>
      <c r="X294" s="9">
        <f t="shared" si="1520"/>
        <v>0.26048265802663706</v>
      </c>
      <c r="Y294" s="6">
        <f t="shared" si="1697"/>
        <v>41.319199999999995</v>
      </c>
      <c r="Z294" s="6">
        <f t="shared" si="1521"/>
        <v>88.35</v>
      </c>
      <c r="AA294" s="6">
        <f t="shared" ref="AA294" si="1701">AVERAGE(N288:N294)</f>
        <v>14.338035714285718</v>
      </c>
      <c r="AB294" s="6">
        <f t="shared" ref="AB294" si="1702">AVERAGE(R288:R294)</f>
        <v>23.013371428571425</v>
      </c>
      <c r="AC294" s="6">
        <f t="shared" si="1700"/>
        <v>-0.26834514714407787</v>
      </c>
      <c r="AD294" s="42">
        <f>Tabla1[[#This Row],[Avg Agua)]]/Tabla1[[#This Row],[Avg Musculo]]</f>
        <v>2.0577487249648652</v>
      </c>
    </row>
    <row r="295" spans="1:31" x14ac:dyDescent="0.3">
      <c r="A295" t="s">
        <v>65</v>
      </c>
      <c r="B295">
        <v>23</v>
      </c>
      <c r="C295" t="s">
        <v>26</v>
      </c>
      <c r="D295" s="4">
        <v>45452</v>
      </c>
      <c r="E295" s="6">
        <v>88.15</v>
      </c>
      <c r="F295" s="7">
        <f t="shared" si="1686"/>
        <v>24.940583974649165</v>
      </c>
      <c r="G295" s="9">
        <v>0.155</v>
      </c>
      <c r="H295" s="6">
        <f t="shared" si="1687"/>
        <v>74.486750000000001</v>
      </c>
      <c r="I295" s="6">
        <f t="shared" si="1688"/>
        <v>23.890949999999993</v>
      </c>
      <c r="J295">
        <v>3.7</v>
      </c>
      <c r="K295" s="5">
        <v>7.0000000000000007E-2</v>
      </c>
      <c r="L295" s="17">
        <v>2149</v>
      </c>
      <c r="M295" s="5">
        <v>0.53200000000000003</v>
      </c>
      <c r="N295" s="6">
        <f t="shared" si="1689"/>
        <v>13.663250000000001</v>
      </c>
      <c r="O295" s="21">
        <f t="shared" si="1690"/>
        <v>46.895800000000008</v>
      </c>
      <c r="P295" s="8">
        <f t="shared" si="1516"/>
        <v>47.337064285714291</v>
      </c>
      <c r="Q295" s="8">
        <f t="shared" si="1691"/>
        <v>64.259050000000016</v>
      </c>
      <c r="R295" s="6">
        <f t="shared" si="1692"/>
        <v>23.890949999999993</v>
      </c>
      <c r="S295" s="6">
        <f t="shared" si="1693"/>
        <v>6.1705000000000014</v>
      </c>
      <c r="T295" s="6">
        <f t="shared" si="1694"/>
        <v>0.60880000000000223</v>
      </c>
      <c r="U295" s="6">
        <f t="shared" si="1695"/>
        <v>-0.67379999999999818</v>
      </c>
      <c r="V295" s="6">
        <f t="shared" si="1696"/>
        <v>-0.89999999999999147</v>
      </c>
      <c r="W295" s="9">
        <f>Tabla1[[#This Row],[Protein]]/Tabla1[[#This Row],[Peso (Kg)]]</f>
        <v>0.27102609188882576</v>
      </c>
      <c r="X295" s="9">
        <f t="shared" si="1520"/>
        <v>0.26176576135351465</v>
      </c>
      <c r="Y295" s="6">
        <f t="shared" si="1697"/>
        <v>41.254199999999997</v>
      </c>
      <c r="Z295" s="6">
        <f t="shared" si="1521"/>
        <v>88.385714285714272</v>
      </c>
      <c r="AA295" s="6">
        <f t="shared" ref="AA295" si="1703">AVERAGE(N289:N295)</f>
        <v>14.255671428571432</v>
      </c>
      <c r="AB295" s="6">
        <f t="shared" ref="AB295" si="1704">AVERAGE(R289:R295)</f>
        <v>23.135835714285712</v>
      </c>
      <c r="AC295" s="6">
        <f t="shared" si="1700"/>
        <v>0.53214404544936755</v>
      </c>
      <c r="AD295" s="42">
        <f>Tabla1[[#This Row],[Avg Agua)]]/Tabla1[[#This Row],[Avg Musculo]]</f>
        <v>2.0460494650074397</v>
      </c>
    </row>
    <row r="296" spans="1:31" x14ac:dyDescent="0.3">
      <c r="A296" t="s">
        <v>65</v>
      </c>
      <c r="B296">
        <v>24</v>
      </c>
      <c r="C296" t="s">
        <v>21</v>
      </c>
      <c r="D296" s="4">
        <v>45453</v>
      </c>
      <c r="E296" s="6">
        <v>88.45</v>
      </c>
      <c r="F296" s="7">
        <f t="shared" si="1686"/>
        <v>25.025464010864646</v>
      </c>
      <c r="G296" s="9">
        <v>0.154</v>
      </c>
      <c r="H296" s="6">
        <f t="shared" si="1687"/>
        <v>74.828699999999998</v>
      </c>
      <c r="I296" s="6">
        <f t="shared" si="1688"/>
        <v>23.807949999999995</v>
      </c>
      <c r="J296">
        <v>3.7</v>
      </c>
      <c r="K296" s="5">
        <v>7.0000000000000007E-2</v>
      </c>
      <c r="L296" s="17">
        <v>2160</v>
      </c>
      <c r="M296" s="5">
        <v>0.53500000000000003</v>
      </c>
      <c r="N296" s="6">
        <f t="shared" si="1689"/>
        <v>13.6213</v>
      </c>
      <c r="O296" s="21">
        <f t="shared" si="1690"/>
        <v>47.320750000000004</v>
      </c>
      <c r="P296" s="8">
        <f t="shared" si="1516"/>
        <v>47.351228571428578</v>
      </c>
      <c r="Q296" s="8">
        <f t="shared" si="1691"/>
        <v>64.642050000000012</v>
      </c>
      <c r="R296" s="6">
        <f t="shared" si="1692"/>
        <v>23.807949999999995</v>
      </c>
      <c r="S296" s="6">
        <f t="shared" si="1693"/>
        <v>6.1915000000000004</v>
      </c>
      <c r="T296" s="6">
        <f t="shared" si="1694"/>
        <v>-8.2999999999998408E-2</v>
      </c>
      <c r="U296" s="6">
        <f t="shared" si="1695"/>
        <v>-4.1950000000001708E-2</v>
      </c>
      <c r="V296" s="6">
        <f t="shared" si="1696"/>
        <v>0.29999999999999716</v>
      </c>
      <c r="W296" s="9">
        <f>Tabla1[[#This Row],[Protein]]/Tabla1[[#This Row],[Peso (Kg)]]</f>
        <v>0.26916845675522888</v>
      </c>
      <c r="X296" s="9">
        <f t="shared" si="1520"/>
        <v>0.26305592032892516</v>
      </c>
      <c r="Y296" s="6">
        <f t="shared" si="1697"/>
        <v>41.129249999999999</v>
      </c>
      <c r="Z296" s="6">
        <f t="shared" si="1521"/>
        <v>88.435714285714297</v>
      </c>
      <c r="AA296" s="6">
        <f t="shared" ref="AA296" si="1705">AVERAGE(N290:N296)</f>
        <v>14.150100000000004</v>
      </c>
      <c r="AB296" s="6">
        <f t="shared" ref="AB296" si="1706">AVERAGE(R290:R296)</f>
        <v>23.26295714285714</v>
      </c>
      <c r="AC296" s="6">
        <f t="shared" si="1700"/>
        <v>0.54945682594440548</v>
      </c>
      <c r="AD296" s="42">
        <f>Tabla1[[#This Row],[Avg Agua)]]/Tabla1[[#This Row],[Avg Musculo]]</f>
        <v>2.0354776170822166</v>
      </c>
    </row>
    <row r="297" spans="1:31" x14ac:dyDescent="0.3">
      <c r="A297" t="s">
        <v>65</v>
      </c>
      <c r="B297">
        <v>24</v>
      </c>
      <c r="C297" t="s">
        <v>23</v>
      </c>
      <c r="D297" s="4">
        <v>45454</v>
      </c>
      <c r="E297" s="6">
        <v>88</v>
      </c>
      <c r="F297" s="7">
        <f t="shared" si="1686"/>
        <v>24.898143956541425</v>
      </c>
      <c r="G297" s="9">
        <v>0.156</v>
      </c>
      <c r="H297" s="6">
        <f t="shared" si="1687"/>
        <v>74.272000000000006</v>
      </c>
      <c r="I297" s="6">
        <f t="shared" si="1688"/>
        <v>23.492000000000001</v>
      </c>
      <c r="J297">
        <v>3.7</v>
      </c>
      <c r="K297" s="5">
        <v>7.0000000000000007E-2</v>
      </c>
      <c r="L297" s="17">
        <v>2142</v>
      </c>
      <c r="M297" s="5">
        <v>0.53500000000000003</v>
      </c>
      <c r="N297" s="6">
        <f t="shared" si="1689"/>
        <v>13.728</v>
      </c>
      <c r="O297" s="21">
        <f t="shared" si="1690"/>
        <v>47.080000000000005</v>
      </c>
      <c r="P297" s="8">
        <f t="shared" si="1516"/>
        <v>47.253657142857143</v>
      </c>
      <c r="Q297" s="8">
        <f t="shared" si="1691"/>
        <v>64.507999999999996</v>
      </c>
      <c r="R297" s="6">
        <f t="shared" si="1692"/>
        <v>23.492000000000001</v>
      </c>
      <c r="S297" s="6">
        <f t="shared" si="1693"/>
        <v>6.16</v>
      </c>
      <c r="T297" s="6">
        <f t="shared" si="1694"/>
        <v>-0.31594999999999374</v>
      </c>
      <c r="U297" s="6">
        <f t="shared" si="1695"/>
        <v>0.10670000000000002</v>
      </c>
      <c r="V297" s="6">
        <f t="shared" si="1696"/>
        <v>-0.45000000000000284</v>
      </c>
      <c r="W297" s="9">
        <f>Tabla1[[#This Row],[Protein]]/Tabla1[[#This Row],[Peso (Kg)]]</f>
        <v>0.26695454545454544</v>
      </c>
      <c r="X297" s="9">
        <f t="shared" si="1520"/>
        <v>0.26459679014311327</v>
      </c>
      <c r="Y297" s="6">
        <f t="shared" si="1697"/>
        <v>40.92</v>
      </c>
      <c r="Z297" s="6">
        <f t="shared" si="1521"/>
        <v>88.371428571428595</v>
      </c>
      <c r="AA297" s="6">
        <f t="shared" ref="AA297" si="1707">AVERAGE(N291:N297)</f>
        <v>14.064257142857143</v>
      </c>
      <c r="AB297" s="6">
        <f t="shared" ref="AB297" si="1708">AVERAGE(R291:R297)</f>
        <v>23.382085714285704</v>
      </c>
      <c r="AC297" s="6">
        <f t="shared" si="1700"/>
        <v>0.51209556333271511</v>
      </c>
      <c r="AD297" s="42">
        <f>Tabla1[[#This Row],[Avg Agua)]]/Tabla1[[#This Row],[Avg Musculo]]</f>
        <v>2.0209342194818265</v>
      </c>
    </row>
    <row r="298" spans="1:31" x14ac:dyDescent="0.3">
      <c r="A298" t="s">
        <v>65</v>
      </c>
      <c r="B298">
        <v>24</v>
      </c>
      <c r="C298" t="s">
        <v>24</v>
      </c>
      <c r="D298" s="4">
        <v>45455</v>
      </c>
      <c r="E298" s="6">
        <v>87.9</v>
      </c>
      <c r="F298" s="7">
        <f t="shared" si="1686"/>
        <v>24.869850611136265</v>
      </c>
      <c r="G298" s="9">
        <v>0.157</v>
      </c>
      <c r="H298" s="6">
        <f t="shared" si="1687"/>
        <v>74.099699999999999</v>
      </c>
      <c r="I298" s="6">
        <f t="shared" si="1688"/>
        <v>23.561099999999989</v>
      </c>
      <c r="J298">
        <v>3.6</v>
      </c>
      <c r="K298" s="5">
        <v>7.0000000000000007E-2</v>
      </c>
      <c r="L298" s="17">
        <v>2135</v>
      </c>
      <c r="M298" s="5">
        <v>0.53400000000000003</v>
      </c>
      <c r="N298" s="6">
        <f t="shared" si="1689"/>
        <v>13.800300000000002</v>
      </c>
      <c r="O298" s="21">
        <f t="shared" si="1690"/>
        <v>46.938600000000008</v>
      </c>
      <c r="P298" s="8">
        <f t="shared" si="1516"/>
        <v>47.202885714285721</v>
      </c>
      <c r="Q298" s="8">
        <f t="shared" si="1691"/>
        <v>64.338900000000024</v>
      </c>
      <c r="R298" s="6">
        <f t="shared" si="1692"/>
        <v>23.561099999999989</v>
      </c>
      <c r="S298" s="6">
        <f t="shared" si="1693"/>
        <v>6.1530000000000014</v>
      </c>
      <c r="T298" s="6">
        <f t="shared" si="1694"/>
        <v>6.9099999999988171E-2</v>
      </c>
      <c r="U298" s="6">
        <f t="shared" si="1695"/>
        <v>7.2300000000002029E-2</v>
      </c>
      <c r="V298" s="6">
        <f t="shared" si="1696"/>
        <v>-9.9999999999994316E-2</v>
      </c>
      <c r="W298" s="9">
        <f>Tabla1[[#This Row],[Protein]]/Tabla1[[#This Row],[Peso (Kg)]]</f>
        <v>0.26804436860068243</v>
      </c>
      <c r="X298" s="9">
        <f t="shared" si="1520"/>
        <v>0.2662779830718468</v>
      </c>
      <c r="Y298" s="6">
        <f t="shared" si="1697"/>
        <v>40.96139999999999</v>
      </c>
      <c r="Z298" s="6">
        <f t="shared" si="1521"/>
        <v>88.3</v>
      </c>
      <c r="AA298" s="6">
        <f t="shared" ref="AA298" si="1709">AVERAGE(N292:N298)</f>
        <v>13.914128571428574</v>
      </c>
      <c r="AB298" s="6">
        <f t="shared" ref="AB298" si="1710">AVERAGE(R292:R298)</f>
        <v>23.511557142857132</v>
      </c>
      <c r="AC298" s="6">
        <f t="shared" si="1700"/>
        <v>0.55372061394987071</v>
      </c>
      <c r="AD298" s="42">
        <f>Tabla1[[#This Row],[Avg Agua)]]/Tabla1[[#This Row],[Avg Musculo]]</f>
        <v>2.0076460877295008</v>
      </c>
    </row>
    <row r="299" spans="1:31" x14ac:dyDescent="0.3">
      <c r="A299" t="s">
        <v>65</v>
      </c>
      <c r="B299">
        <v>24</v>
      </c>
      <c r="C299" t="s">
        <v>22</v>
      </c>
      <c r="D299" s="4">
        <v>45456</v>
      </c>
      <c r="E299" s="6">
        <v>88.3</v>
      </c>
      <c r="F299" s="7">
        <f t="shared" ref="F299:F304" si="1711">E299/(1.88^2)</f>
        <v>24.983023992756905</v>
      </c>
      <c r="G299" s="9">
        <v>0.16</v>
      </c>
      <c r="H299" s="6">
        <f t="shared" ref="H299:H304" si="1712">E299-N299</f>
        <v>74.171999999999997</v>
      </c>
      <c r="I299" s="6">
        <f t="shared" ref="I299:I304" si="1713">E299-N299-O299-J299</f>
        <v>22.789999999999996</v>
      </c>
      <c r="J299">
        <v>3.7</v>
      </c>
      <c r="K299" s="5">
        <v>7.0000000000000007E-2</v>
      </c>
      <c r="L299" s="17">
        <v>2143</v>
      </c>
      <c r="M299" s="5">
        <v>0.54</v>
      </c>
      <c r="N299" s="6">
        <f t="shared" ref="N299:N304" si="1714">E299*G299</f>
        <v>14.128</v>
      </c>
      <c r="O299" s="21">
        <f t="shared" ref="O299:O304" si="1715">M299*E299</f>
        <v>47.682000000000002</v>
      </c>
      <c r="P299" s="8">
        <f t="shared" si="1516"/>
        <v>47.277421428571429</v>
      </c>
      <c r="Q299" s="8">
        <f t="shared" ref="Q299:Q304" si="1716">E299-R299</f>
        <v>65.510000000000005</v>
      </c>
      <c r="R299" s="6">
        <f t="shared" ref="R299:R304" si="1717">I299</f>
        <v>22.789999999999996</v>
      </c>
      <c r="S299" s="6">
        <f t="shared" ref="S299:S304" si="1718">K299*E299</f>
        <v>6.181</v>
      </c>
      <c r="T299" s="6">
        <f t="shared" ref="T299:T304" si="1719">I299-I298</f>
        <v>-0.77109999999999346</v>
      </c>
      <c r="U299" s="6">
        <f t="shared" ref="U299:U304" si="1720">N299-N298</f>
        <v>0.32769999999999833</v>
      </c>
      <c r="V299" s="6">
        <f t="shared" ref="V299:V304" si="1721">E299-E298</f>
        <v>0.39999999999999147</v>
      </c>
      <c r="W299" s="9">
        <f>Tabla1[[#This Row],[Protein]]/Tabla1[[#This Row],[Peso (Kg)]]</f>
        <v>0.25809739524348807</v>
      </c>
      <c r="X299" s="9">
        <f t="shared" si="1520"/>
        <v>0.26500245497965574</v>
      </c>
      <c r="Y299" s="6">
        <f t="shared" ref="Y299:Y304" si="1722">R299+N299+J299</f>
        <v>40.617999999999995</v>
      </c>
      <c r="Z299" s="6">
        <f t="shared" si="1521"/>
        <v>88.321428571428569</v>
      </c>
      <c r="AA299" s="6">
        <f t="shared" ref="AA299" si="1723">AVERAGE(N293:N299)</f>
        <v>13.967928571428573</v>
      </c>
      <c r="AB299" s="6">
        <f t="shared" ref="AB299" si="1724">AVERAGE(R293:R299)</f>
        <v>23.404649999999993</v>
      </c>
      <c r="AC299" s="6">
        <f t="shared" ref="AC299:AC304" si="1725">100*(AB299/AB298-1)</f>
        <v>-0.45470039354503777</v>
      </c>
      <c r="AD299" s="42">
        <f>Tabla1[[#This Row],[Avg Agua)]]/Tabla1[[#This Row],[Avg Musculo]]</f>
        <v>2.0200012146548416</v>
      </c>
    </row>
    <row r="300" spans="1:31" x14ac:dyDescent="0.3">
      <c r="A300" t="s">
        <v>65</v>
      </c>
      <c r="B300">
        <v>24</v>
      </c>
      <c r="C300" t="s">
        <v>20</v>
      </c>
      <c r="D300" s="4">
        <v>45457</v>
      </c>
      <c r="E300" s="6">
        <v>88.1</v>
      </c>
      <c r="F300" s="7">
        <f t="shared" si="1711"/>
        <v>24.926437301946581</v>
      </c>
      <c r="G300" s="9">
        <v>0.157</v>
      </c>
      <c r="H300" s="6">
        <f t="shared" si="1712"/>
        <v>74.268299999999996</v>
      </c>
      <c r="I300" s="6">
        <f t="shared" si="1713"/>
        <v>23.170500000000001</v>
      </c>
      <c r="J300">
        <v>3.7</v>
      </c>
      <c r="K300" s="5">
        <v>7.0000000000000007E-2</v>
      </c>
      <c r="L300" s="17">
        <v>2142</v>
      </c>
      <c r="M300" s="5">
        <v>0.53800000000000003</v>
      </c>
      <c r="N300" s="6">
        <f t="shared" si="1714"/>
        <v>13.8317</v>
      </c>
      <c r="O300" s="21">
        <f t="shared" si="1715"/>
        <v>47.397799999999997</v>
      </c>
      <c r="P300" s="8">
        <f t="shared" si="1516"/>
        <v>47.29225000000001</v>
      </c>
      <c r="Q300" s="8">
        <f t="shared" si="1716"/>
        <v>64.92949999999999</v>
      </c>
      <c r="R300" s="6">
        <f t="shared" si="1717"/>
        <v>23.170500000000001</v>
      </c>
      <c r="S300" s="6">
        <f t="shared" si="1718"/>
        <v>6.1669999999999998</v>
      </c>
      <c r="T300" s="6">
        <f t="shared" si="1719"/>
        <v>0.38050000000000495</v>
      </c>
      <c r="U300" s="6">
        <f t="shared" si="1720"/>
        <v>-0.29630000000000045</v>
      </c>
      <c r="V300" s="6">
        <f t="shared" si="1721"/>
        <v>-0.20000000000000284</v>
      </c>
      <c r="W300" s="9">
        <f>Tabla1[[#This Row],[Protein]]/Tabla1[[#This Row],[Peso (Kg)]]</f>
        <v>0.26300227014755961</v>
      </c>
      <c r="X300" s="9">
        <f t="shared" si="1520"/>
        <v>0.26539191955794322</v>
      </c>
      <c r="Y300" s="6">
        <f t="shared" si="1722"/>
        <v>40.702200000000005</v>
      </c>
      <c r="Z300" s="6">
        <f t="shared" si="1521"/>
        <v>88.278571428571425</v>
      </c>
      <c r="AA300" s="6">
        <f t="shared" ref="AA300" si="1726">AVERAGE(N294:N300)</f>
        <v>13.8728</v>
      </c>
      <c r="AB300" s="6">
        <f t="shared" ref="AB300" si="1727">AVERAGE(R294:R300)</f>
        <v>23.427807142857141</v>
      </c>
      <c r="AC300" s="6">
        <f t="shared" si="1725"/>
        <v>9.8942487314057637E-2</v>
      </c>
      <c r="AD300" s="42">
        <f>Tabla1[[#This Row],[Avg Agua)]]/Tabla1[[#This Row],[Avg Musculo]]</f>
        <v>2.0186374982354613</v>
      </c>
    </row>
    <row r="301" spans="1:31" x14ac:dyDescent="0.3">
      <c r="A301" t="s">
        <v>65</v>
      </c>
      <c r="B301">
        <v>24</v>
      </c>
      <c r="C301" t="s">
        <v>25</v>
      </c>
      <c r="D301" s="4">
        <v>45458</v>
      </c>
      <c r="E301" s="6">
        <v>87.8</v>
      </c>
      <c r="F301" s="7">
        <f t="shared" si="1711"/>
        <v>24.841557265731101</v>
      </c>
      <c r="G301" s="9">
        <v>0.155</v>
      </c>
      <c r="H301" s="6">
        <f t="shared" si="1712"/>
        <v>74.191000000000003</v>
      </c>
      <c r="I301" s="6">
        <f t="shared" si="1713"/>
        <v>23.2546</v>
      </c>
      <c r="J301">
        <v>3.7</v>
      </c>
      <c r="K301" s="5">
        <v>7.0000000000000007E-2</v>
      </c>
      <c r="L301" s="17">
        <v>2139</v>
      </c>
      <c r="M301" s="5">
        <v>0.53800000000000003</v>
      </c>
      <c r="N301" s="6">
        <f t="shared" si="1714"/>
        <v>13.609</v>
      </c>
      <c r="O301" s="21">
        <f t="shared" si="1715"/>
        <v>47.236400000000003</v>
      </c>
      <c r="P301" s="8">
        <f t="shared" si="1516"/>
        <v>47.221621428571439</v>
      </c>
      <c r="Q301" s="8">
        <f t="shared" si="1716"/>
        <v>64.545400000000001</v>
      </c>
      <c r="R301" s="6">
        <f t="shared" si="1717"/>
        <v>23.2546</v>
      </c>
      <c r="S301" s="6">
        <f t="shared" si="1718"/>
        <v>6.1460000000000008</v>
      </c>
      <c r="T301" s="6">
        <f t="shared" si="1719"/>
        <v>8.4099999999999397E-2</v>
      </c>
      <c r="U301" s="6">
        <f t="shared" si="1720"/>
        <v>-0.22269999999999968</v>
      </c>
      <c r="V301" s="6">
        <f t="shared" si="1721"/>
        <v>-0.29999999999999716</v>
      </c>
      <c r="W301" s="9">
        <f>Tabla1[[#This Row],[Protein]]/Tabla1[[#This Row],[Peso (Kg)]]</f>
        <v>0.26485876993166285</v>
      </c>
      <c r="X301" s="9">
        <f t="shared" si="1520"/>
        <v>0.26587884257457045</v>
      </c>
      <c r="Y301" s="6">
        <f t="shared" si="1722"/>
        <v>40.563600000000001</v>
      </c>
      <c r="Z301" s="6">
        <f t="shared" si="1521"/>
        <v>88.1</v>
      </c>
      <c r="AA301" s="6">
        <f t="shared" ref="AA301" si="1728">AVERAGE(N295:N301)</f>
        <v>13.768792857142857</v>
      </c>
      <c r="AB301" s="6">
        <f t="shared" ref="AB301" si="1729">AVERAGE(R295:R301)</f>
        <v>23.423871428571427</v>
      </c>
      <c r="AC301" s="6">
        <f t="shared" si="1725"/>
        <v>-1.6799328514671696E-2</v>
      </c>
      <c r="AD301" s="42">
        <f>Tabla1[[#This Row],[Avg Agua)]]/Tabla1[[#This Row],[Avg Musculo]]</f>
        <v>2.0159614337266443</v>
      </c>
      <c r="AE301" t="s">
        <v>69</v>
      </c>
    </row>
    <row r="302" spans="1:31" x14ac:dyDescent="0.3">
      <c r="A302" t="s">
        <v>65</v>
      </c>
      <c r="B302">
        <v>24</v>
      </c>
      <c r="C302" t="s">
        <v>26</v>
      </c>
      <c r="D302" s="4">
        <v>45459</v>
      </c>
      <c r="E302" s="6">
        <v>87.75</v>
      </c>
      <c r="F302" s="7">
        <f t="shared" si="1711"/>
        <v>24.827410593028521</v>
      </c>
      <c r="G302" s="9">
        <v>0.153</v>
      </c>
      <c r="H302" s="6">
        <f t="shared" si="1712"/>
        <v>74.324250000000006</v>
      </c>
      <c r="I302" s="6">
        <f t="shared" si="1713"/>
        <v>23.502500000000001</v>
      </c>
      <c r="J302">
        <v>3.7</v>
      </c>
      <c r="K302" s="5">
        <v>7.0000000000000007E-2</v>
      </c>
      <c r="L302" s="17">
        <v>2142</v>
      </c>
      <c r="M302" s="5">
        <v>0.53700000000000003</v>
      </c>
      <c r="N302" s="6">
        <f t="shared" si="1714"/>
        <v>13.425749999999999</v>
      </c>
      <c r="O302" s="21">
        <f t="shared" si="1715"/>
        <v>47.121750000000006</v>
      </c>
      <c r="P302" s="8">
        <f t="shared" si="1516"/>
        <v>47.253900000000009</v>
      </c>
      <c r="Q302" s="8">
        <f t="shared" si="1716"/>
        <v>64.247500000000002</v>
      </c>
      <c r="R302" s="6">
        <f t="shared" si="1717"/>
        <v>23.502500000000001</v>
      </c>
      <c r="S302" s="6">
        <f t="shared" si="1718"/>
        <v>6.142500000000001</v>
      </c>
      <c r="T302" s="6">
        <f t="shared" si="1719"/>
        <v>0.24790000000000134</v>
      </c>
      <c r="U302" s="6">
        <f t="shared" si="1720"/>
        <v>-0.18325000000000102</v>
      </c>
      <c r="V302" s="6">
        <f t="shared" si="1721"/>
        <v>-4.9999999999997158E-2</v>
      </c>
      <c r="W302" s="9">
        <f>Tabla1[[#This Row],[Protein]]/Tabla1[[#This Row],[Peso (Kg)]]</f>
        <v>0.26783475783475785</v>
      </c>
      <c r="X302" s="9">
        <f t="shared" si="1520"/>
        <v>0.2654229377097036</v>
      </c>
      <c r="Y302" s="6">
        <f t="shared" si="1722"/>
        <v>40.628250000000001</v>
      </c>
      <c r="Z302" s="6">
        <f t="shared" si="1521"/>
        <v>88.04285714285713</v>
      </c>
      <c r="AA302" s="6">
        <f t="shared" ref="AA302" si="1730">AVERAGE(N296:N302)</f>
        <v>13.734864285714284</v>
      </c>
      <c r="AB302" s="6">
        <f t="shared" ref="AB302" si="1731">AVERAGE(R296:R302)</f>
        <v>23.368378571428568</v>
      </c>
      <c r="AC302" s="6">
        <f t="shared" si="1725"/>
        <v>-0.23690728200963518</v>
      </c>
      <c r="AD302" s="42">
        <f>Tabla1[[#This Row],[Avg Agua)]]/Tabla1[[#This Row],[Avg Musculo]]</f>
        <v>2.0221300273599283</v>
      </c>
    </row>
    <row r="303" spans="1:31" x14ac:dyDescent="0.3">
      <c r="A303" t="s">
        <v>65</v>
      </c>
      <c r="B303">
        <v>25</v>
      </c>
      <c r="C303" t="s">
        <v>21</v>
      </c>
      <c r="D303" s="4">
        <v>45460</v>
      </c>
      <c r="E303" s="6">
        <v>87.95</v>
      </c>
      <c r="F303" s="7">
        <f t="shared" si="1711"/>
        <v>24.883997283838845</v>
      </c>
      <c r="G303" s="9">
        <v>0.151</v>
      </c>
      <c r="H303" s="6">
        <f t="shared" si="1712"/>
        <v>74.669550000000001</v>
      </c>
      <c r="I303" s="6">
        <f t="shared" si="1713"/>
        <v>23.652449999999998</v>
      </c>
      <c r="J303">
        <v>3.7</v>
      </c>
      <c r="K303" s="5">
        <v>7.0000000000000007E-2</v>
      </c>
      <c r="L303" s="17">
        <v>2154</v>
      </c>
      <c r="M303" s="5">
        <v>0.53800000000000003</v>
      </c>
      <c r="N303" s="6">
        <f t="shared" si="1714"/>
        <v>13.28045</v>
      </c>
      <c r="O303" s="21">
        <f t="shared" si="1715"/>
        <v>47.317100000000003</v>
      </c>
      <c r="P303" s="8">
        <f t="shared" si="1516"/>
        <v>47.25337857142857</v>
      </c>
      <c r="Q303" s="8">
        <f t="shared" si="1716"/>
        <v>64.297550000000001</v>
      </c>
      <c r="R303" s="6">
        <f t="shared" si="1717"/>
        <v>23.652449999999998</v>
      </c>
      <c r="S303" s="6">
        <f t="shared" si="1718"/>
        <v>6.1565000000000012</v>
      </c>
      <c r="T303" s="6">
        <f t="shared" si="1719"/>
        <v>0.14994999999999692</v>
      </c>
      <c r="U303" s="6">
        <f t="shared" si="1720"/>
        <v>-0.14529999999999887</v>
      </c>
      <c r="V303" s="6">
        <f t="shared" si="1721"/>
        <v>0.20000000000000284</v>
      </c>
      <c r="W303" s="9">
        <f>Tabla1[[#This Row],[Protein]]/Tabla1[[#This Row],[Peso (Kg)]]</f>
        <v>0.26893064241046044</v>
      </c>
      <c r="X303" s="9">
        <f t="shared" si="1520"/>
        <v>0.26538896423187952</v>
      </c>
      <c r="Y303" s="6">
        <f t="shared" si="1722"/>
        <v>40.632899999999999</v>
      </c>
      <c r="Z303" s="6">
        <f t="shared" si="1521"/>
        <v>87.971428571428561</v>
      </c>
      <c r="AA303" s="6">
        <f t="shared" ref="AA303" si="1732">AVERAGE(N297:N303)</f>
        <v>13.686171428571427</v>
      </c>
      <c r="AB303" s="6">
        <f t="shared" ref="AB303" si="1733">AVERAGE(R297:R303)</f>
        <v>23.346164285714281</v>
      </c>
      <c r="AC303" s="6">
        <f t="shared" si="1725"/>
        <v>-9.5061305372068361E-2</v>
      </c>
      <c r="AD303" s="42">
        <f>Tabla1[[#This Row],[Avg Agua)]]/Tabla1[[#This Row],[Avg Musculo]]</f>
        <v>2.0240317849704894</v>
      </c>
    </row>
    <row r="304" spans="1:31" x14ac:dyDescent="0.3">
      <c r="A304" t="s">
        <v>65</v>
      </c>
      <c r="B304">
        <v>25</v>
      </c>
      <c r="C304" t="s">
        <v>23</v>
      </c>
      <c r="D304" s="4">
        <v>45461</v>
      </c>
      <c r="E304" s="6">
        <v>87.75</v>
      </c>
      <c r="F304" s="7">
        <f t="shared" si="1711"/>
        <v>24.827410593028521</v>
      </c>
      <c r="G304" s="9">
        <v>0.151</v>
      </c>
      <c r="H304" s="6">
        <f t="shared" si="1712"/>
        <v>74.499750000000006</v>
      </c>
      <c r="I304" s="6">
        <f t="shared" si="1713"/>
        <v>23.239250000000002</v>
      </c>
      <c r="J304">
        <v>3.7</v>
      </c>
      <c r="K304" s="5">
        <v>7.0000000000000007E-2</v>
      </c>
      <c r="L304" s="17">
        <v>2147</v>
      </c>
      <c r="M304" s="5">
        <v>0.54200000000000004</v>
      </c>
      <c r="N304" s="6">
        <f t="shared" si="1714"/>
        <v>13.250249999999999</v>
      </c>
      <c r="O304" s="21">
        <f t="shared" si="1715"/>
        <v>47.560500000000005</v>
      </c>
      <c r="P304" s="8">
        <f t="shared" si="1516"/>
        <v>47.322021428571425</v>
      </c>
      <c r="Q304" s="8">
        <f t="shared" si="1716"/>
        <v>64.510750000000002</v>
      </c>
      <c r="R304" s="6">
        <f t="shared" si="1717"/>
        <v>23.239250000000002</v>
      </c>
      <c r="S304" s="6">
        <f t="shared" si="1718"/>
        <v>6.142500000000001</v>
      </c>
      <c r="T304" s="6">
        <f t="shared" si="1719"/>
        <v>-0.41319999999999624</v>
      </c>
      <c r="U304" s="6">
        <f t="shared" si="1720"/>
        <v>-3.0200000000000671E-2</v>
      </c>
      <c r="V304" s="6">
        <f t="shared" si="1721"/>
        <v>-0.20000000000000284</v>
      </c>
      <c r="W304" s="9">
        <f>Tabla1[[#This Row],[Protein]]/Tabla1[[#This Row],[Peso (Kg)]]</f>
        <v>0.26483475783475785</v>
      </c>
      <c r="X304" s="9">
        <f t="shared" si="1520"/>
        <v>0.26508613742905279</v>
      </c>
      <c r="Y304" s="6">
        <f t="shared" si="1722"/>
        <v>40.189500000000002</v>
      </c>
      <c r="Z304" s="6">
        <f t="shared" si="1521"/>
        <v>87.935714285714283</v>
      </c>
      <c r="AA304" s="6">
        <f t="shared" ref="AA304" si="1734">AVERAGE(N298:N304)</f>
        <v>13.617921428571426</v>
      </c>
      <c r="AB304" s="6">
        <f t="shared" ref="AB304" si="1735">AVERAGE(R298:R304)</f>
        <v>23.31005714285714</v>
      </c>
      <c r="AC304" s="6">
        <f t="shared" si="1725"/>
        <v>-0.15465985082283584</v>
      </c>
      <c r="AD304" s="42">
        <f>Tabla1[[#This Row],[Avg Agua)]]/Tabla1[[#This Row],[Avg Musculo]]</f>
        <v>2.0301117727234841</v>
      </c>
    </row>
    <row r="305" spans="1:31" x14ac:dyDescent="0.3">
      <c r="A305" t="s">
        <v>65</v>
      </c>
      <c r="B305">
        <v>25</v>
      </c>
      <c r="C305" t="s">
        <v>24</v>
      </c>
      <c r="D305" s="4">
        <v>45462</v>
      </c>
      <c r="E305" s="6">
        <v>88.5</v>
      </c>
      <c r="F305" s="7">
        <f t="shared" ref="F305:F310" si="1736">E305/(1.88^2)</f>
        <v>25.039610683567226</v>
      </c>
      <c r="G305" s="9">
        <v>0.161</v>
      </c>
      <c r="H305" s="6">
        <f t="shared" ref="H305:H310" si="1737">E305-N305</f>
        <v>74.251499999999993</v>
      </c>
      <c r="I305" s="6">
        <f t="shared" ref="I305:I310" si="1738">E305-N305-O305-J305</f>
        <v>21.876499999999989</v>
      </c>
      <c r="J305">
        <v>3.7</v>
      </c>
      <c r="K305" s="5">
        <v>7.4999999999999997E-2</v>
      </c>
      <c r="L305" s="17">
        <v>2145</v>
      </c>
      <c r="M305" s="5">
        <v>0.55000000000000004</v>
      </c>
      <c r="N305" s="6">
        <f t="shared" ref="N305:N310" si="1739">E305*G305</f>
        <v>14.2485</v>
      </c>
      <c r="O305" s="21">
        <f t="shared" ref="O305:O310" si="1740">M305*E305</f>
        <v>48.675000000000004</v>
      </c>
      <c r="P305" s="8">
        <f t="shared" si="1516"/>
        <v>47.570078571428574</v>
      </c>
      <c r="Q305" s="8">
        <f t="shared" ref="Q305:Q310" si="1741">E305-R305</f>
        <v>66.623500000000007</v>
      </c>
      <c r="R305" s="6">
        <f t="shared" ref="R305:R310" si="1742">I305</f>
        <v>21.876499999999989</v>
      </c>
      <c r="S305" s="6">
        <f t="shared" ref="S305:S310" si="1743">K305*E305</f>
        <v>6.6375000000000002</v>
      </c>
      <c r="T305" s="6">
        <f t="shared" ref="T305:T310" si="1744">I305-I304</f>
        <v>-1.3627500000000126</v>
      </c>
      <c r="U305" s="6">
        <f t="shared" ref="U305:U310" si="1745">N305-N304</f>
        <v>0.99825000000000053</v>
      </c>
      <c r="V305" s="6">
        <f t="shared" ref="V305:V310" si="1746">E305-E304</f>
        <v>0.75</v>
      </c>
      <c r="W305" s="9">
        <f>Tabla1[[#This Row],[Protein]]/Tabla1[[#This Row],[Peso (Kg)]]</f>
        <v>0.2471920903954801</v>
      </c>
      <c r="X305" s="9">
        <f t="shared" si="1520"/>
        <v>0.26210724054259527</v>
      </c>
      <c r="Y305" s="6">
        <f t="shared" ref="Y305:Y310" si="1747">R305+N305+J305</f>
        <v>39.824999999999989</v>
      </c>
      <c r="Z305" s="6">
        <f t="shared" si="1521"/>
        <v>88.021428571428572</v>
      </c>
      <c r="AA305" s="6">
        <f t="shared" ref="AA305" si="1748">AVERAGE(N299:N305)</f>
        <v>13.681950000000001</v>
      </c>
      <c r="AB305" s="6">
        <f t="shared" ref="AB305" si="1749">AVERAGE(R299:R305)</f>
        <v>23.069399999999998</v>
      </c>
      <c r="AC305" s="6">
        <f t="shared" ref="AC305:AC310" si="1750">100*(AB305/AB304-1)</f>
        <v>-1.0324176443766708</v>
      </c>
      <c r="AD305" s="42">
        <f>Tabla1[[#This Row],[Avg Agua)]]/Tabla1[[#This Row],[Avg Musculo]]</f>
        <v>2.0620422972174648</v>
      </c>
      <c r="AE305" t="s">
        <v>70</v>
      </c>
    </row>
    <row r="306" spans="1:31" x14ac:dyDescent="0.3">
      <c r="A306" t="s">
        <v>65</v>
      </c>
      <c r="B306">
        <v>25</v>
      </c>
      <c r="C306" t="s">
        <v>22</v>
      </c>
      <c r="D306" s="4">
        <v>45463</v>
      </c>
      <c r="E306" s="6">
        <v>88.5</v>
      </c>
      <c r="F306" s="7">
        <f t="shared" si="1736"/>
        <v>25.039610683567226</v>
      </c>
      <c r="G306" s="9">
        <v>0.16</v>
      </c>
      <c r="H306" s="6">
        <f t="shared" si="1737"/>
        <v>74.34</v>
      </c>
      <c r="I306" s="6">
        <f t="shared" si="1738"/>
        <v>22.230500000000003</v>
      </c>
      <c r="J306">
        <v>3.7</v>
      </c>
      <c r="K306" s="5">
        <v>7.4999999999999997E-2</v>
      </c>
      <c r="L306" s="17">
        <v>2146</v>
      </c>
      <c r="M306" s="5">
        <v>0.54700000000000004</v>
      </c>
      <c r="N306" s="6">
        <f t="shared" si="1739"/>
        <v>14.16</v>
      </c>
      <c r="O306" s="21">
        <f t="shared" si="1740"/>
        <v>48.409500000000001</v>
      </c>
      <c r="P306" s="8">
        <f t="shared" si="1516"/>
        <v>47.674007142857143</v>
      </c>
      <c r="Q306" s="8">
        <f t="shared" si="1741"/>
        <v>66.269499999999994</v>
      </c>
      <c r="R306" s="6">
        <f t="shared" si="1742"/>
        <v>22.230500000000003</v>
      </c>
      <c r="S306" s="6">
        <f t="shared" si="1743"/>
        <v>6.6375000000000002</v>
      </c>
      <c r="T306" s="6">
        <f t="shared" si="1744"/>
        <v>0.35400000000001342</v>
      </c>
      <c r="U306" s="6">
        <f t="shared" si="1745"/>
        <v>-8.8499999999999801E-2</v>
      </c>
      <c r="V306" s="6">
        <f t="shared" si="1746"/>
        <v>0</v>
      </c>
      <c r="W306" s="9">
        <f>Tabla1[[#This Row],[Protein]]/Tabla1[[#This Row],[Peso (Kg)]]</f>
        <v>0.25119209039548024</v>
      </c>
      <c r="X306" s="9">
        <f t="shared" si="1520"/>
        <v>0.26112076842145127</v>
      </c>
      <c r="Y306" s="6">
        <f t="shared" si="1747"/>
        <v>40.090500000000006</v>
      </c>
      <c r="Z306" s="6">
        <f t="shared" si="1521"/>
        <v>88.049999999999983</v>
      </c>
      <c r="AA306" s="6">
        <f t="shared" ref="AA306" si="1751">AVERAGE(N300:N306)</f>
        <v>13.686521428571426</v>
      </c>
      <c r="AB306" s="6">
        <f t="shared" ref="AB306" si="1752">AVERAGE(R300:R306)</f>
        <v>22.989471428571427</v>
      </c>
      <c r="AC306" s="6">
        <f t="shared" si="1750"/>
        <v>-0.34647009210716506</v>
      </c>
      <c r="AD306" s="42">
        <f>Tabla1[[#This Row],[Avg Agua)]]/Tabla1[[#This Row],[Avg Musculo]]</f>
        <v>2.0737321991495485</v>
      </c>
    </row>
    <row r="307" spans="1:31" x14ac:dyDescent="0.3">
      <c r="A307" t="s">
        <v>65</v>
      </c>
      <c r="B307">
        <v>25</v>
      </c>
      <c r="C307" t="s">
        <v>20</v>
      </c>
      <c r="D307" s="4">
        <v>45464</v>
      </c>
      <c r="E307" s="6">
        <v>88.3</v>
      </c>
      <c r="F307" s="7">
        <f t="shared" si="1736"/>
        <v>24.983023992756905</v>
      </c>
      <c r="G307" s="9">
        <v>0.156</v>
      </c>
      <c r="H307" s="6">
        <f t="shared" si="1737"/>
        <v>74.525199999999998</v>
      </c>
      <c r="I307" s="6">
        <f t="shared" si="1738"/>
        <v>23.143199999999997</v>
      </c>
      <c r="J307">
        <v>3.7</v>
      </c>
      <c r="K307" s="5">
        <v>7.0000000000000007E-2</v>
      </c>
      <c r="L307" s="17">
        <v>2151</v>
      </c>
      <c r="M307" s="5">
        <v>0.54</v>
      </c>
      <c r="N307" s="6">
        <f t="shared" si="1739"/>
        <v>13.774799999999999</v>
      </c>
      <c r="O307" s="21">
        <f t="shared" si="1740"/>
        <v>47.682000000000002</v>
      </c>
      <c r="P307" s="8">
        <f t="shared" si="1516"/>
        <v>47.71460714285714</v>
      </c>
      <c r="Q307" s="8">
        <f t="shared" si="1741"/>
        <v>65.156800000000004</v>
      </c>
      <c r="R307" s="6">
        <f t="shared" si="1742"/>
        <v>23.143199999999997</v>
      </c>
      <c r="S307" s="6">
        <f t="shared" si="1743"/>
        <v>6.181</v>
      </c>
      <c r="T307" s="6">
        <f t="shared" si="1744"/>
        <v>0.91269999999999385</v>
      </c>
      <c r="U307" s="6">
        <f t="shared" si="1745"/>
        <v>-0.3852000000000011</v>
      </c>
      <c r="V307" s="6">
        <f t="shared" si="1746"/>
        <v>-0.20000000000000284</v>
      </c>
      <c r="W307" s="9">
        <f>Tabla1[[#This Row],[Protein]]/Tabla1[[#This Row],[Peso (Kg)]]</f>
        <v>0.26209739524348807</v>
      </c>
      <c r="X307" s="9">
        <f t="shared" si="1520"/>
        <v>0.26099150057801251</v>
      </c>
      <c r="Y307" s="6">
        <f t="shared" si="1747"/>
        <v>40.617999999999995</v>
      </c>
      <c r="Z307" s="6">
        <f t="shared" si="1521"/>
        <v>88.078571428571422</v>
      </c>
      <c r="AA307" s="6">
        <f t="shared" ref="AA307" si="1753">AVERAGE(N301:N307)</f>
        <v>13.678392857142857</v>
      </c>
      <c r="AB307" s="6">
        <f t="shared" ref="AB307" si="1754">AVERAGE(R301:R307)</f>
        <v>22.985571428571429</v>
      </c>
      <c r="AC307" s="6">
        <f t="shared" si="1750"/>
        <v>-1.6964287378751219E-2</v>
      </c>
      <c r="AD307" s="42">
        <f>Tabla1[[#This Row],[Avg Agua)]]/Tabla1[[#This Row],[Avg Musculo]]</f>
        <v>2.0758503781875586</v>
      </c>
    </row>
    <row r="308" spans="1:31" x14ac:dyDescent="0.3">
      <c r="A308" t="s">
        <v>65</v>
      </c>
      <c r="B308">
        <v>26</v>
      </c>
      <c r="C308" t="s">
        <v>24</v>
      </c>
      <c r="D308" s="4">
        <v>45469</v>
      </c>
      <c r="E308" s="6">
        <v>88.5</v>
      </c>
      <c r="F308" s="7">
        <f t="shared" si="1736"/>
        <v>25.039610683567226</v>
      </c>
      <c r="G308" s="9">
        <v>0.155</v>
      </c>
      <c r="H308" s="6">
        <f t="shared" si="1737"/>
        <v>74.782499999999999</v>
      </c>
      <c r="I308" s="6">
        <f t="shared" si="1738"/>
        <v>23.203999999999997</v>
      </c>
      <c r="J308">
        <v>3.7</v>
      </c>
      <c r="K308" s="5">
        <v>7.0000000000000007E-2</v>
      </c>
      <c r="L308" s="17">
        <v>2158</v>
      </c>
      <c r="M308" s="5">
        <v>0.54100000000000004</v>
      </c>
      <c r="N308" s="6">
        <f t="shared" si="1739"/>
        <v>13.717499999999999</v>
      </c>
      <c r="O308" s="21">
        <f t="shared" si="1740"/>
        <v>47.878500000000003</v>
      </c>
      <c r="P308" s="8">
        <f t="shared" si="1516"/>
        <v>47.806335714285716</v>
      </c>
      <c r="Q308" s="8">
        <f t="shared" si="1741"/>
        <v>65.296000000000006</v>
      </c>
      <c r="R308" s="6">
        <f t="shared" si="1742"/>
        <v>23.203999999999997</v>
      </c>
      <c r="S308" s="6">
        <f t="shared" si="1743"/>
        <v>6.1950000000000003</v>
      </c>
      <c r="T308" s="6">
        <f t="shared" si="1744"/>
        <v>6.0800000000000409E-2</v>
      </c>
      <c r="U308" s="6">
        <f t="shared" si="1745"/>
        <v>-5.7299999999999685E-2</v>
      </c>
      <c r="V308" s="6">
        <f t="shared" si="1746"/>
        <v>0.20000000000000284</v>
      </c>
      <c r="W308" s="9">
        <f>Tabla1[[#This Row],[Protein]]/Tabla1[[#This Row],[Peso (Kg)]]</f>
        <v>0.26219209039548019</v>
      </c>
      <c r="X308" s="9">
        <f t="shared" si="1520"/>
        <v>0.26061054635855779</v>
      </c>
      <c r="Y308" s="6">
        <f t="shared" si="1747"/>
        <v>40.621499999999997</v>
      </c>
      <c r="Z308" s="6">
        <f t="shared" si="1521"/>
        <v>88.178571428571431</v>
      </c>
      <c r="AA308" s="6">
        <f t="shared" ref="AA308" si="1755">AVERAGE(N302:N308)</f>
        <v>13.693892857142856</v>
      </c>
      <c r="AB308" s="6">
        <f t="shared" ref="AB308" si="1756">AVERAGE(R302:R308)</f>
        <v>22.978342857142856</v>
      </c>
      <c r="AC308" s="6">
        <f t="shared" si="1750"/>
        <v>-3.1448299865144413E-2</v>
      </c>
      <c r="AD308" s="42">
        <f>Tabla1[[#This Row],[Avg Agua)]]/Tabla1[[#This Row],[Avg Musculo]]</f>
        <v>2.0804953608490977</v>
      </c>
      <c r="AE308" t="s">
        <v>71</v>
      </c>
    </row>
    <row r="309" spans="1:31" x14ac:dyDescent="0.3">
      <c r="A309" t="s">
        <v>65</v>
      </c>
      <c r="B309">
        <v>26</v>
      </c>
      <c r="C309" t="s">
        <v>22</v>
      </c>
      <c r="D309" s="4">
        <v>45470</v>
      </c>
      <c r="E309" s="6">
        <v>87.55</v>
      </c>
      <c r="F309" s="7">
        <f t="shared" si="1736"/>
        <v>24.770823902218201</v>
      </c>
      <c r="G309" s="9">
        <v>0.14499999999999999</v>
      </c>
      <c r="H309" s="6">
        <f t="shared" si="1737"/>
        <v>74.855249999999998</v>
      </c>
      <c r="I309" s="6">
        <f t="shared" si="1738"/>
        <v>24.140899999999998</v>
      </c>
      <c r="J309">
        <v>3.7</v>
      </c>
      <c r="K309" s="5">
        <v>6.5000000000000002E-2</v>
      </c>
      <c r="L309" s="17">
        <v>2156</v>
      </c>
      <c r="M309" s="5">
        <v>0.53700000000000003</v>
      </c>
      <c r="N309" s="6">
        <f t="shared" si="1739"/>
        <v>12.694749999999999</v>
      </c>
      <c r="O309" s="21">
        <f t="shared" si="1740"/>
        <v>47.01435</v>
      </c>
      <c r="P309" s="8">
        <f t="shared" si="1516"/>
        <v>47.790992857142854</v>
      </c>
      <c r="Q309" s="8">
        <f t="shared" si="1741"/>
        <v>63.409099999999995</v>
      </c>
      <c r="R309" s="6">
        <f t="shared" si="1742"/>
        <v>24.140899999999998</v>
      </c>
      <c r="S309" s="6">
        <f t="shared" si="1743"/>
        <v>5.6907500000000004</v>
      </c>
      <c r="T309" s="6">
        <f t="shared" si="1744"/>
        <v>0.9369000000000014</v>
      </c>
      <c r="U309" s="6">
        <f t="shared" si="1745"/>
        <v>-1.0227500000000003</v>
      </c>
      <c r="V309" s="6">
        <f t="shared" si="1746"/>
        <v>-0.95000000000000284</v>
      </c>
      <c r="W309" s="9">
        <f>Tabla1[[#This Row],[Protein]]/Tabla1[[#This Row],[Peso (Kg)]]</f>
        <v>0.27573843517989721</v>
      </c>
      <c r="X309" s="9">
        <f t="shared" si="1520"/>
        <v>0.26173964312214915</v>
      </c>
      <c r="Y309" s="6">
        <f t="shared" si="1747"/>
        <v>40.535650000000004</v>
      </c>
      <c r="Z309" s="6">
        <f t="shared" si="1521"/>
        <v>88.149999999999991</v>
      </c>
      <c r="AA309" s="6">
        <f t="shared" ref="AA309" si="1757">AVERAGE(N303:N309)</f>
        <v>13.589464285714286</v>
      </c>
      <c r="AB309" s="6">
        <f t="shared" ref="AB309" si="1758">AVERAGE(R303:R309)</f>
        <v>23.069542857142856</v>
      </c>
      <c r="AC309" s="6">
        <f t="shared" si="1750"/>
        <v>0.39689546181373991</v>
      </c>
      <c r="AD309" s="42">
        <f>Tabla1[[#This Row],[Avg Agua)]]/Tabla1[[#This Row],[Avg Musculo]]</f>
        <v>2.0716055429917493</v>
      </c>
    </row>
    <row r="310" spans="1:31" x14ac:dyDescent="0.3">
      <c r="A310" t="s">
        <v>65</v>
      </c>
      <c r="B310">
        <v>26</v>
      </c>
      <c r="C310" t="s">
        <v>20</v>
      </c>
      <c r="D310" s="4">
        <v>45471</v>
      </c>
      <c r="E310" s="6">
        <v>87.8</v>
      </c>
      <c r="F310" s="7">
        <f t="shared" si="1736"/>
        <v>24.841557265731101</v>
      </c>
      <c r="G310" s="9">
        <v>0.153</v>
      </c>
      <c r="H310" s="6">
        <f t="shared" si="1737"/>
        <v>74.366600000000005</v>
      </c>
      <c r="I310" s="6">
        <f t="shared" si="1738"/>
        <v>23.781400000000001</v>
      </c>
      <c r="J310">
        <v>3.7</v>
      </c>
      <c r="K310" s="5">
        <v>7.0000000000000007E-2</v>
      </c>
      <c r="L310" s="17">
        <v>2145</v>
      </c>
      <c r="M310" s="5">
        <v>0.53400000000000003</v>
      </c>
      <c r="N310" s="6">
        <f t="shared" si="1739"/>
        <v>13.433399999999999</v>
      </c>
      <c r="O310" s="21">
        <f t="shared" si="1740"/>
        <v>46.885200000000005</v>
      </c>
      <c r="P310" s="8">
        <f t="shared" si="1516"/>
        <v>47.729292857142859</v>
      </c>
      <c r="Q310" s="8">
        <f t="shared" si="1741"/>
        <v>64.018599999999992</v>
      </c>
      <c r="R310" s="6">
        <f t="shared" si="1742"/>
        <v>23.781400000000001</v>
      </c>
      <c r="S310" s="6">
        <f t="shared" si="1743"/>
        <v>6.1460000000000008</v>
      </c>
      <c r="T310" s="6">
        <f t="shared" si="1744"/>
        <v>-0.35949999999999704</v>
      </c>
      <c r="U310" s="6">
        <f t="shared" si="1745"/>
        <v>0.73864999999999981</v>
      </c>
      <c r="V310" s="6">
        <f t="shared" si="1746"/>
        <v>0.25</v>
      </c>
      <c r="W310" s="9">
        <f>Tabla1[[#This Row],[Protein]]/Tabla1[[#This Row],[Peso (Kg)]]</f>
        <v>0.27085876993166291</v>
      </c>
      <c r="X310" s="9">
        <f t="shared" si="1520"/>
        <v>0.26201508991089234</v>
      </c>
      <c r="Y310" s="6">
        <f t="shared" si="1747"/>
        <v>40.9148</v>
      </c>
      <c r="Z310" s="6">
        <f t="shared" si="1521"/>
        <v>88.128571428571419</v>
      </c>
      <c r="AA310" s="6">
        <f t="shared" ref="AA310" si="1759">AVERAGE(N304:N310)</f>
        <v>13.611314285714286</v>
      </c>
      <c r="AB310" s="6">
        <f t="shared" ref="AB310" si="1760">AVERAGE(R304:R310)</f>
        <v>23.087964285714282</v>
      </c>
      <c r="AC310" s="6">
        <f t="shared" si="1750"/>
        <v>7.9851727819235663E-2</v>
      </c>
      <c r="AD310" s="42">
        <f>Tabla1[[#This Row],[Avg Agua)]]/Tabla1[[#This Row],[Avg Musculo]]</f>
        <v>2.0672802619794175</v>
      </c>
    </row>
    <row r="311" spans="1:31" x14ac:dyDescent="0.3">
      <c r="A311" t="s">
        <v>65</v>
      </c>
      <c r="B311">
        <v>26</v>
      </c>
      <c r="C311" t="s">
        <v>25</v>
      </c>
      <c r="D311" s="4">
        <v>45472</v>
      </c>
      <c r="E311" s="6">
        <v>88.2</v>
      </c>
      <c r="F311" s="7">
        <f t="shared" ref="F311:F317" si="1761">E311/(1.88^2)</f>
        <v>24.954730647351745</v>
      </c>
      <c r="G311" s="9">
        <v>0.157</v>
      </c>
      <c r="H311" s="6">
        <f t="shared" ref="H311:H317" si="1762">E311-N311</f>
        <v>74.352599999999995</v>
      </c>
      <c r="I311" s="6">
        <f t="shared" ref="I311:I317" si="1763">E311-N311-O311-J311</f>
        <v>23.553799999999992</v>
      </c>
      <c r="J311">
        <v>3.7</v>
      </c>
      <c r="K311" s="5">
        <v>7.0000000000000007E-2</v>
      </c>
      <c r="L311" s="17">
        <v>2145</v>
      </c>
      <c r="M311" s="5">
        <v>0.53400000000000003</v>
      </c>
      <c r="N311" s="6">
        <f t="shared" ref="N311:N317" si="1764">E311*G311</f>
        <v>13.8474</v>
      </c>
      <c r="O311" s="21">
        <f t="shared" ref="O311:O317" si="1765">M311*E311</f>
        <v>47.098800000000004</v>
      </c>
      <c r="P311" s="8">
        <f t="shared" si="1516"/>
        <v>47.663335714285715</v>
      </c>
      <c r="Q311" s="8">
        <f t="shared" ref="Q311:Q317" si="1766">E311-R311</f>
        <v>64.646200000000007</v>
      </c>
      <c r="R311" s="6">
        <f t="shared" ref="R311:R317" si="1767">I311</f>
        <v>23.553799999999992</v>
      </c>
      <c r="S311" s="6">
        <f t="shared" ref="S311:S317" si="1768">K311*E311</f>
        <v>6.1740000000000004</v>
      </c>
      <c r="T311" s="6">
        <f t="shared" ref="T311:T317" si="1769">I311-I310</f>
        <v>-0.22760000000000957</v>
      </c>
      <c r="U311" s="6">
        <f t="shared" ref="U311:U317" si="1770">N311-N310</f>
        <v>0.41400000000000148</v>
      </c>
      <c r="V311" s="6">
        <f t="shared" ref="V311:V317" si="1771">E311-E310</f>
        <v>0.40000000000000568</v>
      </c>
      <c r="W311" s="9">
        <f>Tabla1[[#This Row],[Protein]]/Tabla1[[#This Row],[Peso (Kg)]]</f>
        <v>0.26704988662131507</v>
      </c>
      <c r="X311" s="9">
        <f t="shared" si="1520"/>
        <v>0.26233153688040056</v>
      </c>
      <c r="Y311" s="6">
        <f t="shared" ref="Y311:Y317" si="1772">R311+N311+J311</f>
        <v>41.101199999999992</v>
      </c>
      <c r="Z311" s="6">
        <f t="shared" si="1521"/>
        <v>88.19285714285715</v>
      </c>
      <c r="AA311" s="6">
        <f t="shared" ref="AA311" si="1773">AVERAGE(N305:N311)</f>
        <v>13.696621428571429</v>
      </c>
      <c r="AB311" s="6">
        <f t="shared" ref="AB311" si="1774">AVERAGE(R305:R311)</f>
        <v>23.132899999999999</v>
      </c>
      <c r="AC311" s="6">
        <f t="shared" ref="AC311:AC317" si="1775">100*(AB311/AB310-1)</f>
        <v>0.19462830819398924</v>
      </c>
      <c r="AD311" s="42">
        <f>Tabla1[[#This Row],[Avg Agua)]]/Tabla1[[#This Row],[Avg Musculo]]</f>
        <v>2.0604133383313687</v>
      </c>
    </row>
    <row r="312" spans="1:31" x14ac:dyDescent="0.3">
      <c r="A312" t="s">
        <v>65</v>
      </c>
      <c r="B312">
        <v>26</v>
      </c>
      <c r="C312" t="s">
        <v>26</v>
      </c>
      <c r="D312" s="4">
        <v>45473</v>
      </c>
      <c r="E312" s="6">
        <v>89.15</v>
      </c>
      <c r="F312" s="7">
        <f t="shared" si="1761"/>
        <v>25.223517428700774</v>
      </c>
      <c r="G312" s="9">
        <v>0.16300000000000001</v>
      </c>
      <c r="H312" s="6">
        <f t="shared" si="1762"/>
        <v>74.618549999999999</v>
      </c>
      <c r="I312" s="6">
        <f t="shared" si="1763"/>
        <v>23.401599999999991</v>
      </c>
      <c r="J312">
        <v>3.7</v>
      </c>
      <c r="K312" s="5">
        <v>7.4999999999999997E-2</v>
      </c>
      <c r="L312" s="17">
        <v>2157</v>
      </c>
      <c r="M312" s="5">
        <v>0.53300000000000003</v>
      </c>
      <c r="N312" s="6">
        <f t="shared" si="1764"/>
        <v>14.531450000000001</v>
      </c>
      <c r="O312" s="21">
        <f t="shared" si="1765"/>
        <v>47.516950000000008</v>
      </c>
      <c r="P312" s="8">
        <f t="shared" si="1516"/>
        <v>47.497900000000001</v>
      </c>
      <c r="Q312" s="8">
        <f t="shared" si="1766"/>
        <v>65.748400000000018</v>
      </c>
      <c r="R312" s="6">
        <f t="shared" si="1767"/>
        <v>23.401599999999991</v>
      </c>
      <c r="S312" s="6">
        <f t="shared" si="1768"/>
        <v>6.6862500000000002</v>
      </c>
      <c r="T312" s="6">
        <f t="shared" si="1769"/>
        <v>-0.15220000000000056</v>
      </c>
      <c r="U312" s="6">
        <f t="shared" si="1770"/>
        <v>0.68405000000000094</v>
      </c>
      <c r="V312" s="6">
        <f t="shared" si="1771"/>
        <v>0.95000000000000284</v>
      </c>
      <c r="W312" s="9">
        <f>Tabla1[[#This Row],[Protein]]/Tabla1[[#This Row],[Peso (Kg)]]</f>
        <v>0.262496915311273</v>
      </c>
      <c r="X312" s="9">
        <f t="shared" si="1520"/>
        <v>0.26451794043979954</v>
      </c>
      <c r="Y312" s="6">
        <f t="shared" si="1772"/>
        <v>41.633049999999997</v>
      </c>
      <c r="Z312" s="6">
        <f t="shared" si="1521"/>
        <v>88.285714285714292</v>
      </c>
      <c r="AA312" s="6">
        <f t="shared" ref="AA312" si="1776">AVERAGE(N306:N312)</f>
        <v>13.737042857142857</v>
      </c>
      <c r="AB312" s="6">
        <f t="shared" ref="AB312" si="1777">AVERAGE(R306:R312)</f>
        <v>23.350771428571427</v>
      </c>
      <c r="AC312" s="6">
        <f t="shared" si="1775"/>
        <v>0.9418249703730508</v>
      </c>
      <c r="AD312" s="42">
        <f>Tabla1[[#This Row],[Avg Agua)]]/Tabla1[[#This Row],[Avg Musculo]]</f>
        <v>2.0341041042388324</v>
      </c>
      <c r="AE312" t="s">
        <v>72</v>
      </c>
    </row>
    <row r="313" spans="1:31" x14ac:dyDescent="0.3">
      <c r="A313" t="s">
        <v>75</v>
      </c>
      <c r="B313">
        <v>27</v>
      </c>
      <c r="C313" t="s">
        <v>21</v>
      </c>
      <c r="D313" s="4">
        <v>45474</v>
      </c>
      <c r="E313" s="6">
        <v>89.05</v>
      </c>
      <c r="F313" s="7">
        <f t="shared" si="1761"/>
        <v>25.19522408329561</v>
      </c>
      <c r="G313" s="9">
        <v>0.156</v>
      </c>
      <c r="H313" s="6">
        <f t="shared" si="1762"/>
        <v>75.158199999999994</v>
      </c>
      <c r="I313" s="6">
        <f t="shared" si="1763"/>
        <v>23.549299999999992</v>
      </c>
      <c r="J313">
        <v>3.7</v>
      </c>
      <c r="K313" s="5">
        <v>7.0000000000000007E-2</v>
      </c>
      <c r="L313" s="17">
        <v>2171</v>
      </c>
      <c r="M313" s="5">
        <v>0.53800000000000003</v>
      </c>
      <c r="N313" s="6">
        <f t="shared" si="1764"/>
        <v>13.8918</v>
      </c>
      <c r="O313" s="21">
        <f t="shared" si="1765"/>
        <v>47.908900000000003</v>
      </c>
      <c r="P313" s="8">
        <f t="shared" si="1516"/>
        <v>47.426385714285722</v>
      </c>
      <c r="Q313" s="8">
        <f t="shared" si="1766"/>
        <v>65.500700000000009</v>
      </c>
      <c r="R313" s="6">
        <f t="shared" si="1767"/>
        <v>23.549299999999992</v>
      </c>
      <c r="S313" s="6">
        <f t="shared" si="1768"/>
        <v>6.2335000000000003</v>
      </c>
      <c r="T313" s="6">
        <f t="shared" si="1769"/>
        <v>0.14770000000000039</v>
      </c>
      <c r="U313" s="6">
        <f t="shared" si="1770"/>
        <v>-0.63965000000000138</v>
      </c>
      <c r="V313" s="6">
        <f t="shared" si="1771"/>
        <v>-0.10000000000000853</v>
      </c>
      <c r="W313" s="9">
        <f>Tabla1[[#This Row],[Protein]]/Tabla1[[#This Row],[Peso (Kg)]]</f>
        <v>0.26445030881527226</v>
      </c>
      <c r="X313" s="9">
        <f t="shared" si="1520"/>
        <v>0.26641197164262698</v>
      </c>
      <c r="Y313" s="6">
        <f t="shared" si="1772"/>
        <v>41.141099999999994</v>
      </c>
      <c r="Z313" s="6">
        <f t="shared" si="1521"/>
        <v>88.364285714285714</v>
      </c>
      <c r="AA313" s="6">
        <f t="shared" ref="AA313" si="1778">AVERAGE(N307:N313)</f>
        <v>13.698728571428573</v>
      </c>
      <c r="AB313" s="6">
        <f t="shared" ref="AB313" si="1779">AVERAGE(R307:R313)</f>
        <v>23.539171428571425</v>
      </c>
      <c r="AC313" s="6">
        <f t="shared" si="1775"/>
        <v>0.80682559279166011</v>
      </c>
      <c r="AD313" s="42">
        <f>Tabla1[[#This Row],[Avg Agua)]]/Tabla1[[#This Row],[Avg Musculo]]</f>
        <v>2.0147856885361914</v>
      </c>
    </row>
    <row r="314" spans="1:31" x14ac:dyDescent="0.3">
      <c r="A314" t="s">
        <v>75</v>
      </c>
      <c r="B314">
        <v>27</v>
      </c>
      <c r="C314" t="s">
        <v>23</v>
      </c>
      <c r="D314" s="4">
        <v>45475</v>
      </c>
      <c r="E314" s="6">
        <v>88.45</v>
      </c>
      <c r="F314" s="7">
        <f t="shared" si="1761"/>
        <v>25.025464010864646</v>
      </c>
      <c r="G314" s="9">
        <v>0.155</v>
      </c>
      <c r="H314" s="6">
        <f t="shared" si="1762"/>
        <v>74.740250000000003</v>
      </c>
      <c r="I314" s="6">
        <f t="shared" si="1763"/>
        <v>23.7195</v>
      </c>
      <c r="J314">
        <v>3.7</v>
      </c>
      <c r="K314" s="5">
        <v>7.0000000000000007E-2</v>
      </c>
      <c r="L314" s="17">
        <v>2158</v>
      </c>
      <c r="M314" s="5">
        <v>0.53500000000000003</v>
      </c>
      <c r="N314" s="6">
        <f t="shared" si="1764"/>
        <v>13.70975</v>
      </c>
      <c r="O314" s="21">
        <f t="shared" si="1765"/>
        <v>47.320750000000004</v>
      </c>
      <c r="P314" s="8">
        <f t="shared" si="1516"/>
        <v>47.374778571428578</v>
      </c>
      <c r="Q314" s="8">
        <f t="shared" si="1766"/>
        <v>64.730500000000006</v>
      </c>
      <c r="R314" s="6">
        <f t="shared" si="1767"/>
        <v>23.7195</v>
      </c>
      <c r="S314" s="6">
        <f t="shared" si="1768"/>
        <v>6.1915000000000004</v>
      </c>
      <c r="T314" s="6">
        <f t="shared" si="1769"/>
        <v>0.17020000000000834</v>
      </c>
      <c r="U314" s="6">
        <f t="shared" si="1770"/>
        <v>-0.18205000000000027</v>
      </c>
      <c r="V314" s="6">
        <f t="shared" si="1771"/>
        <v>-0.59999999999999432</v>
      </c>
      <c r="W314" s="9">
        <f>Tabla1[[#This Row],[Protein]]/Tabla1[[#This Row],[Peso (Kg)]]</f>
        <v>0.26816845675522893</v>
      </c>
      <c r="X314" s="9">
        <f t="shared" si="1520"/>
        <v>0.26727926614430425</v>
      </c>
      <c r="Y314" s="6">
        <f t="shared" si="1772"/>
        <v>41.129249999999999</v>
      </c>
      <c r="Z314" s="6">
        <f t="shared" si="1521"/>
        <v>88.385714285714286</v>
      </c>
      <c r="AA314" s="6">
        <f t="shared" ref="AA314" si="1780">AVERAGE(N308:N314)</f>
        <v>13.689435714285716</v>
      </c>
      <c r="AB314" s="6">
        <f t="shared" ref="AB314" si="1781">AVERAGE(R308:R314)</f>
        <v>23.621499999999997</v>
      </c>
      <c r="AC314" s="6">
        <f t="shared" si="1775"/>
        <v>0.34975135670511914</v>
      </c>
      <c r="AD314" s="42">
        <f>Tabla1[[#This Row],[Avg Agua)]]/Tabla1[[#This Row],[Avg Musculo]]</f>
        <v>2.0055787554316442</v>
      </c>
    </row>
    <row r="315" spans="1:31" x14ac:dyDescent="0.3">
      <c r="A315" t="s">
        <v>75</v>
      </c>
      <c r="B315">
        <v>27</v>
      </c>
      <c r="C315" t="s">
        <v>20</v>
      </c>
      <c r="D315" s="4">
        <v>45478</v>
      </c>
      <c r="E315" s="6">
        <v>88.15</v>
      </c>
      <c r="F315" s="7">
        <f t="shared" si="1761"/>
        <v>24.940583974649165</v>
      </c>
      <c r="G315" s="9">
        <v>0.156</v>
      </c>
      <c r="H315" s="6">
        <f t="shared" si="1762"/>
        <v>74.398600000000002</v>
      </c>
      <c r="I315" s="6">
        <f t="shared" si="1763"/>
        <v>23.185749999999995</v>
      </c>
      <c r="J315">
        <v>3.7</v>
      </c>
      <c r="K315" s="5">
        <v>7.0000000000000007E-2</v>
      </c>
      <c r="L315" s="17">
        <v>2146</v>
      </c>
      <c r="M315" s="5">
        <v>0.53900000000000003</v>
      </c>
      <c r="N315" s="6">
        <f t="shared" si="1764"/>
        <v>13.7514</v>
      </c>
      <c r="O315" s="21">
        <f t="shared" si="1765"/>
        <v>47.512850000000007</v>
      </c>
      <c r="P315" s="8">
        <f t="shared" si="1516"/>
        <v>47.322542857142864</v>
      </c>
      <c r="Q315" s="8">
        <f t="shared" si="1766"/>
        <v>64.964250000000007</v>
      </c>
      <c r="R315" s="6">
        <f t="shared" si="1767"/>
        <v>23.185749999999995</v>
      </c>
      <c r="S315" s="6">
        <f t="shared" si="1768"/>
        <v>6.1705000000000014</v>
      </c>
      <c r="T315" s="6">
        <f t="shared" si="1769"/>
        <v>-0.53375000000000483</v>
      </c>
      <c r="U315" s="6">
        <f t="shared" si="1770"/>
        <v>4.1650000000000631E-2</v>
      </c>
      <c r="V315" s="6">
        <f t="shared" si="1771"/>
        <v>-0.29999999999999716</v>
      </c>
      <c r="W315" s="9">
        <f>Tabla1[[#This Row],[Protein]]/Tabla1[[#This Row],[Peso (Kg)]]</f>
        <v>0.26302609188882581</v>
      </c>
      <c r="X315" s="9">
        <f t="shared" si="1520"/>
        <v>0.2673984092147822</v>
      </c>
      <c r="Y315" s="6">
        <f t="shared" si="1772"/>
        <v>40.637149999999998</v>
      </c>
      <c r="Z315" s="6">
        <f t="shared" si="1521"/>
        <v>88.335714285714289</v>
      </c>
      <c r="AA315" s="6">
        <f t="shared" ref="AA315" si="1782">AVERAGE(N309:N315)</f>
        <v>13.694278571428571</v>
      </c>
      <c r="AB315" s="6">
        <f t="shared" ref="AB315" si="1783">AVERAGE(R309:R315)</f>
        <v>23.61889285714285</v>
      </c>
      <c r="AC315" s="6">
        <f t="shared" si="1775"/>
        <v>-1.1037160456139894E-2</v>
      </c>
      <c r="AD315" s="42">
        <f>Tabla1[[#This Row],[Avg Agua)]]/Tabla1[[#This Row],[Avg Musculo]]</f>
        <v>2.0035885315780808</v>
      </c>
      <c r="AE315" t="s">
        <v>44</v>
      </c>
    </row>
    <row r="316" spans="1:31" x14ac:dyDescent="0.3">
      <c r="A316" t="s">
        <v>75</v>
      </c>
      <c r="B316">
        <v>27</v>
      </c>
      <c r="C316" t="s">
        <v>25</v>
      </c>
      <c r="D316" s="4">
        <v>45479</v>
      </c>
      <c r="E316" s="6">
        <v>87.15</v>
      </c>
      <c r="F316" s="7">
        <f t="shared" si="1761"/>
        <v>24.65765052059756</v>
      </c>
      <c r="G316" s="9">
        <v>0.14399999999999999</v>
      </c>
      <c r="H316" s="6">
        <f t="shared" si="1762"/>
        <v>74.600400000000008</v>
      </c>
      <c r="I316" s="6">
        <f t="shared" si="1763"/>
        <v>24.100850000000005</v>
      </c>
      <c r="J316">
        <v>3.7</v>
      </c>
      <c r="K316" s="5">
        <v>6.5000000000000002E-2</v>
      </c>
      <c r="L316" s="17">
        <v>2148</v>
      </c>
      <c r="M316" s="5">
        <v>0.53700000000000003</v>
      </c>
      <c r="N316" s="6">
        <f t="shared" si="1764"/>
        <v>12.5496</v>
      </c>
      <c r="O316" s="21">
        <f t="shared" si="1765"/>
        <v>46.799550000000004</v>
      </c>
      <c r="P316" s="8">
        <f t="shared" si="1516"/>
        <v>47.291857142857147</v>
      </c>
      <c r="Q316" s="8">
        <f t="shared" si="1766"/>
        <v>63.049149999999997</v>
      </c>
      <c r="R316" s="6">
        <f t="shared" si="1767"/>
        <v>24.100850000000005</v>
      </c>
      <c r="S316" s="6">
        <f t="shared" si="1768"/>
        <v>5.6647500000000006</v>
      </c>
      <c r="T316" s="6">
        <f t="shared" si="1769"/>
        <v>0.91510000000000957</v>
      </c>
      <c r="U316" s="6">
        <f t="shared" si="1770"/>
        <v>-1.2018000000000004</v>
      </c>
      <c r="V316" s="6">
        <f t="shared" si="1771"/>
        <v>-1</v>
      </c>
      <c r="W316" s="9">
        <f>Tabla1[[#This Row],[Protein]]/Tabla1[[#This Row],[Peso (Kg)]]</f>
        <v>0.27654446356856</v>
      </c>
      <c r="X316" s="9">
        <f t="shared" si="1520"/>
        <v>0.26751355612744832</v>
      </c>
      <c r="Y316" s="6">
        <f t="shared" si="1772"/>
        <v>40.350450000000009</v>
      </c>
      <c r="Z316" s="6">
        <f t="shared" si="1521"/>
        <v>88.278571428571425</v>
      </c>
      <c r="AA316" s="6">
        <f t="shared" ref="AA316" si="1784">AVERAGE(N310:N316)</f>
        <v>13.673542857142857</v>
      </c>
      <c r="AB316" s="6">
        <f t="shared" ref="AB316" si="1785">AVERAGE(R310:R316)</f>
        <v>23.613171428571427</v>
      </c>
      <c r="AC316" s="6">
        <f t="shared" si="1775"/>
        <v>-2.4223949048030047E-2</v>
      </c>
      <c r="AD316" s="42">
        <f>Tabla1[[#This Row],[Avg Agua)]]/Tabla1[[#This Row],[Avg Musculo]]</f>
        <v>2.0027744805865009</v>
      </c>
    </row>
    <row r="317" spans="1:31" x14ac:dyDescent="0.3">
      <c r="A317" t="s">
        <v>75</v>
      </c>
      <c r="B317">
        <v>27</v>
      </c>
      <c r="C317" t="s">
        <v>26</v>
      </c>
      <c r="D317" s="4">
        <v>45480</v>
      </c>
      <c r="E317" s="6">
        <v>88.15</v>
      </c>
      <c r="F317" s="7">
        <f t="shared" si="1761"/>
        <v>24.940583974649165</v>
      </c>
      <c r="G317" s="9">
        <v>0.158</v>
      </c>
      <c r="H317" s="6">
        <f t="shared" si="1762"/>
        <v>74.222300000000004</v>
      </c>
      <c r="I317" s="6">
        <f t="shared" si="1763"/>
        <v>23.097599999999996</v>
      </c>
      <c r="J317">
        <v>3.7</v>
      </c>
      <c r="K317" s="5">
        <v>7.0000000000000007E-2</v>
      </c>
      <c r="L317" s="17">
        <v>2143</v>
      </c>
      <c r="M317" s="5">
        <v>0.53800000000000003</v>
      </c>
      <c r="N317" s="6">
        <f t="shared" si="1764"/>
        <v>13.927700000000002</v>
      </c>
      <c r="O317" s="21">
        <f t="shared" si="1765"/>
        <v>47.424700000000009</v>
      </c>
      <c r="P317" s="8">
        <f t="shared" si="1516"/>
        <v>47.368928571428576</v>
      </c>
      <c r="Q317" s="8">
        <f t="shared" si="1766"/>
        <v>65.052400000000006</v>
      </c>
      <c r="R317" s="6">
        <f t="shared" si="1767"/>
        <v>23.097599999999996</v>
      </c>
      <c r="S317" s="6">
        <f t="shared" si="1768"/>
        <v>6.1705000000000014</v>
      </c>
      <c r="T317" s="6">
        <f t="shared" si="1769"/>
        <v>-1.0032500000000084</v>
      </c>
      <c r="U317" s="6">
        <f t="shared" si="1770"/>
        <v>1.3781000000000017</v>
      </c>
      <c r="V317" s="6">
        <f t="shared" si="1771"/>
        <v>1</v>
      </c>
      <c r="W317" s="9">
        <f>Tabla1[[#This Row],[Protein]]/Tabla1[[#This Row],[Peso (Kg)]]</f>
        <v>0.26202609188882581</v>
      </c>
      <c r="X317" s="9">
        <f t="shared" si="1520"/>
        <v>0.26625174497847154</v>
      </c>
      <c r="Y317" s="6">
        <f t="shared" si="1772"/>
        <v>40.725300000000004</v>
      </c>
      <c r="Z317" s="6">
        <f t="shared" si="1521"/>
        <v>88.328571428571422</v>
      </c>
      <c r="AA317" s="6">
        <f t="shared" ref="AA317" si="1786">AVERAGE(N311:N317)</f>
        <v>13.744157142857144</v>
      </c>
      <c r="AB317" s="6">
        <f t="shared" ref="AB317" si="1787">AVERAGE(R311:R317)</f>
        <v>23.51548571428571</v>
      </c>
      <c r="AC317" s="6">
        <f t="shared" si="1775"/>
        <v>-0.41369163215204674</v>
      </c>
      <c r="AD317" s="42">
        <f>Tabla1[[#This Row],[Avg Agua)]]/Tabla1[[#This Row],[Avg Musculo]]</f>
        <v>2.0143716845555883</v>
      </c>
      <c r="AE317" t="s">
        <v>76</v>
      </c>
    </row>
    <row r="318" spans="1:31" x14ac:dyDescent="0.3">
      <c r="A318" t="s">
        <v>75</v>
      </c>
      <c r="B318">
        <v>28</v>
      </c>
      <c r="C318" t="s">
        <v>21</v>
      </c>
      <c r="D318" s="4">
        <v>45481</v>
      </c>
      <c r="E318" s="6">
        <v>88.45</v>
      </c>
      <c r="F318" s="7">
        <f t="shared" ref="F318:F323" si="1788">E318/(1.88^2)</f>
        <v>25.025464010864646</v>
      </c>
      <c r="G318" s="9">
        <v>0.159</v>
      </c>
      <c r="H318" s="6">
        <f t="shared" ref="H318:H323" si="1789">E318-N318</f>
        <v>74.386449999999996</v>
      </c>
      <c r="I318" s="6">
        <f t="shared" ref="I318:I323" si="1790">E318-N318-O318-J318</f>
        <v>23.365699999999993</v>
      </c>
      <c r="J318">
        <v>3.7</v>
      </c>
      <c r="K318" s="5">
        <v>7.0000000000000007E-2</v>
      </c>
      <c r="L318" s="17">
        <v>2148</v>
      </c>
      <c r="M318" s="5">
        <v>0.53500000000000003</v>
      </c>
      <c r="N318" s="6">
        <f t="shared" ref="N318:N323" si="1791">E318*G318</f>
        <v>14.063550000000001</v>
      </c>
      <c r="O318" s="21">
        <f t="shared" ref="O318:O323" si="1792">M318*E318</f>
        <v>47.320750000000004</v>
      </c>
      <c r="P318" s="8">
        <f t="shared" si="1516"/>
        <v>47.400635714285727</v>
      </c>
      <c r="Q318" s="8">
        <f t="shared" ref="Q318:Q323" si="1793">E318-R318</f>
        <v>65.084300000000013</v>
      </c>
      <c r="R318" s="6">
        <f t="shared" ref="R318:R323" si="1794">I318</f>
        <v>23.365699999999993</v>
      </c>
      <c r="S318" s="6">
        <f t="shared" ref="S318:S323" si="1795">K318*E318</f>
        <v>6.1915000000000004</v>
      </c>
      <c r="T318" s="6">
        <f t="shared" ref="T318:T323" si="1796">I318-I317</f>
        <v>0.2680999999999969</v>
      </c>
      <c r="U318" s="6">
        <f t="shared" ref="U318:U323" si="1797">N318-N317</f>
        <v>0.13584999999999958</v>
      </c>
      <c r="V318" s="6">
        <f t="shared" ref="V318:V323" si="1798">E318-E317</f>
        <v>0.29999999999999716</v>
      </c>
      <c r="W318" s="9">
        <f>Tabla1[[#This Row],[Protein]]/Tabla1[[#This Row],[Peso (Kg)]]</f>
        <v>0.26416845675522888</v>
      </c>
      <c r="X318" s="9">
        <f t="shared" si="1520"/>
        <v>0.26584011214045922</v>
      </c>
      <c r="Y318" s="6">
        <f t="shared" ref="Y318:Y323" si="1799">R318+N318+J318</f>
        <v>41.129249999999999</v>
      </c>
      <c r="Z318" s="6">
        <f t="shared" si="1521"/>
        <v>88.364285714285714</v>
      </c>
      <c r="AA318" s="6">
        <f t="shared" ref="AA318" si="1800">AVERAGE(N312:N318)</f>
        <v>13.775035714285716</v>
      </c>
      <c r="AB318" s="6">
        <f t="shared" ref="AB318" si="1801">AVERAGE(R312:R318)</f>
        <v>23.488614285714284</v>
      </c>
      <c r="AC318" s="6">
        <f t="shared" ref="AC318:AC323" si="1802">100*(AB318/AB317-1)</f>
        <v>-0.11427120365666843</v>
      </c>
      <c r="AD318" s="42">
        <f>Tabla1[[#This Row],[Avg Agua)]]/Tabla1[[#This Row],[Avg Musculo]]</f>
        <v>2.0180260588260701</v>
      </c>
    </row>
    <row r="319" spans="1:31" x14ac:dyDescent="0.3">
      <c r="A319" t="s">
        <v>75</v>
      </c>
      <c r="B319">
        <v>28</v>
      </c>
      <c r="C319" t="s">
        <v>23</v>
      </c>
      <c r="D319" s="4">
        <v>45482</v>
      </c>
      <c r="E319" s="6">
        <v>88.5</v>
      </c>
      <c r="F319" s="7">
        <f t="shared" si="1788"/>
        <v>25.039610683567226</v>
      </c>
      <c r="G319" s="9">
        <v>0.16</v>
      </c>
      <c r="H319" s="6">
        <f t="shared" si="1789"/>
        <v>74.34</v>
      </c>
      <c r="I319" s="6">
        <f t="shared" si="1790"/>
        <v>23.381000000000004</v>
      </c>
      <c r="J319">
        <v>3.7</v>
      </c>
      <c r="K319" s="5">
        <v>7.4999999999999997E-2</v>
      </c>
      <c r="L319" s="17">
        <v>2147</v>
      </c>
      <c r="M319" s="5">
        <v>0.53400000000000003</v>
      </c>
      <c r="N319" s="6">
        <f t="shared" si="1791"/>
        <v>14.16</v>
      </c>
      <c r="O319" s="21">
        <f t="shared" si="1792"/>
        <v>47.259</v>
      </c>
      <c r="P319" s="8">
        <f t="shared" si="1516"/>
        <v>47.363785714285719</v>
      </c>
      <c r="Q319" s="8">
        <f t="shared" si="1793"/>
        <v>65.119</v>
      </c>
      <c r="R319" s="6">
        <f t="shared" si="1794"/>
        <v>23.381000000000004</v>
      </c>
      <c r="S319" s="6">
        <f t="shared" si="1795"/>
        <v>6.6375000000000002</v>
      </c>
      <c r="T319" s="6">
        <f t="shared" si="1796"/>
        <v>1.5300000000010527E-2</v>
      </c>
      <c r="U319" s="6">
        <f t="shared" si="1797"/>
        <v>9.6449999999999037E-2</v>
      </c>
      <c r="V319" s="6">
        <f t="shared" si="1798"/>
        <v>4.9999999999997158E-2</v>
      </c>
      <c r="W319" s="9">
        <f>Tabla1[[#This Row],[Protein]]/Tabla1[[#This Row],[Peso (Kg)]]</f>
        <v>0.26419209039548025</v>
      </c>
      <c r="X319" s="9">
        <f t="shared" si="1520"/>
        <v>0.26608228000963174</v>
      </c>
      <c r="Y319" s="6">
        <f t="shared" si="1799"/>
        <v>41.241000000000007</v>
      </c>
      <c r="Z319" s="6">
        <f t="shared" si="1521"/>
        <v>88.271428571428572</v>
      </c>
      <c r="AA319" s="6">
        <f t="shared" ref="AA319" si="1803">AVERAGE(N313:N319)</f>
        <v>13.721971428571431</v>
      </c>
      <c r="AB319" s="6">
        <f t="shared" ref="AB319" si="1804">AVERAGE(R313:R319)</f>
        <v>23.485671428571429</v>
      </c>
      <c r="AC319" s="6">
        <f t="shared" si="1802"/>
        <v>-1.2528866569383457E-2</v>
      </c>
      <c r="AD319" s="42">
        <f>Tabla1[[#This Row],[Avg Agua)]]/Tabla1[[#This Row],[Avg Musculo]]</f>
        <v>2.0167098845070885</v>
      </c>
    </row>
    <row r="320" spans="1:31" x14ac:dyDescent="0.3">
      <c r="A320" t="s">
        <v>75</v>
      </c>
      <c r="B320">
        <v>28</v>
      </c>
      <c r="C320" t="s">
        <v>24</v>
      </c>
      <c r="D320" s="4">
        <v>45483</v>
      </c>
      <c r="E320" s="6">
        <v>88.6</v>
      </c>
      <c r="F320" s="7">
        <f t="shared" si="1788"/>
        <v>25.067904028972386</v>
      </c>
      <c r="G320" s="9">
        <v>0.158</v>
      </c>
      <c r="H320" s="6">
        <f t="shared" si="1789"/>
        <v>74.601199999999992</v>
      </c>
      <c r="I320" s="6">
        <f t="shared" si="1790"/>
        <v>23.145799999999991</v>
      </c>
      <c r="J320">
        <v>3.7</v>
      </c>
      <c r="K320" s="5">
        <v>7.4999999999999997E-2</v>
      </c>
      <c r="L320" s="17">
        <v>2154</v>
      </c>
      <c r="M320" s="5">
        <v>0.53900000000000003</v>
      </c>
      <c r="N320" s="6">
        <f t="shared" si="1791"/>
        <v>13.998799999999999</v>
      </c>
      <c r="O320" s="21">
        <f t="shared" si="1792"/>
        <v>47.755400000000002</v>
      </c>
      <c r="P320" s="8">
        <f t="shared" si="1516"/>
        <v>47.341857142857144</v>
      </c>
      <c r="Q320" s="8">
        <f t="shared" si="1793"/>
        <v>65.4542</v>
      </c>
      <c r="R320" s="6">
        <f t="shared" si="1794"/>
        <v>23.145799999999991</v>
      </c>
      <c r="S320" s="6">
        <f t="shared" si="1795"/>
        <v>6.6449999999999996</v>
      </c>
      <c r="T320" s="6">
        <f t="shared" si="1796"/>
        <v>-0.23520000000001318</v>
      </c>
      <c r="U320" s="6">
        <f t="shared" si="1797"/>
        <v>-0.1612000000000009</v>
      </c>
      <c r="V320" s="6">
        <f t="shared" si="1798"/>
        <v>9.9999999999994316E-2</v>
      </c>
      <c r="W320" s="9">
        <f>Tabla1[[#This Row],[Protein]]/Tabla1[[#This Row],[Peso (Kg)]]</f>
        <v>0.26123927765237009</v>
      </c>
      <c r="X320" s="9">
        <f t="shared" si="1520"/>
        <v>0.26562356127207426</v>
      </c>
      <c r="Y320" s="6">
        <f t="shared" si="1799"/>
        <v>40.844599999999993</v>
      </c>
      <c r="Z320" s="6">
        <f t="shared" si="1521"/>
        <v>88.207142857142841</v>
      </c>
      <c r="AA320" s="6">
        <f t="shared" ref="AA320" si="1805">AVERAGE(N314:N320)</f>
        <v>13.737257142857144</v>
      </c>
      <c r="AB320" s="6">
        <f t="shared" ref="AB320" si="1806">AVERAGE(R314:R320)</f>
        <v>23.42802857142857</v>
      </c>
      <c r="AC320" s="6">
        <f t="shared" si="1802"/>
        <v>-0.24543840408468576</v>
      </c>
      <c r="AD320" s="42">
        <f>Tabla1[[#This Row],[Avg Agua)]]/Tabla1[[#This Row],[Avg Musculo]]</f>
        <v>2.0207358463183906</v>
      </c>
    </row>
    <row r="321" spans="1:31" x14ac:dyDescent="0.3">
      <c r="A321" t="s">
        <v>75</v>
      </c>
      <c r="B321">
        <v>28</v>
      </c>
      <c r="C321" t="s">
        <v>26</v>
      </c>
      <c r="D321" s="4">
        <v>45487</v>
      </c>
      <c r="E321" s="6">
        <v>90</v>
      </c>
      <c r="F321" s="7">
        <f t="shared" si="1788"/>
        <v>25.464010864644639</v>
      </c>
      <c r="G321" s="9">
        <v>0.17199999999999999</v>
      </c>
      <c r="H321" s="6">
        <f t="shared" si="1789"/>
        <v>74.52</v>
      </c>
      <c r="I321" s="6">
        <f t="shared" si="1790"/>
        <v>22.309999999999992</v>
      </c>
      <c r="J321">
        <v>3.7</v>
      </c>
      <c r="K321" s="5">
        <v>0.08</v>
      </c>
      <c r="L321" s="17">
        <v>2156</v>
      </c>
      <c r="M321" s="5">
        <v>0.53900000000000003</v>
      </c>
      <c r="N321" s="6">
        <f t="shared" si="1791"/>
        <v>15.479999999999999</v>
      </c>
      <c r="O321" s="21">
        <f t="shared" si="1792"/>
        <v>48.510000000000005</v>
      </c>
      <c r="P321" s="8">
        <f t="shared" si="1516"/>
        <v>47.511750000000006</v>
      </c>
      <c r="Q321" s="8">
        <f t="shared" si="1793"/>
        <v>67.690000000000012</v>
      </c>
      <c r="R321" s="6">
        <f t="shared" si="1794"/>
        <v>22.309999999999992</v>
      </c>
      <c r="S321" s="6">
        <f t="shared" si="1795"/>
        <v>7.2</v>
      </c>
      <c r="T321" s="6">
        <f t="shared" si="1796"/>
        <v>-0.83579999999999899</v>
      </c>
      <c r="U321" s="6">
        <f t="shared" si="1797"/>
        <v>1.4811999999999994</v>
      </c>
      <c r="V321" s="6">
        <f t="shared" si="1798"/>
        <v>1.4000000000000057</v>
      </c>
      <c r="W321" s="9">
        <f>Tabla1[[#This Row],[Protein]]/Tabla1[[#This Row],[Peso (Kg)]]</f>
        <v>0.2478888888888888</v>
      </c>
      <c r="X321" s="9">
        <f t="shared" si="1520"/>
        <v>0.2627264801483114</v>
      </c>
      <c r="Y321" s="6">
        <f t="shared" si="1799"/>
        <v>41.489999999999995</v>
      </c>
      <c r="Z321" s="6">
        <f t="shared" si="1521"/>
        <v>88.428571428571431</v>
      </c>
      <c r="AA321" s="6">
        <f t="shared" ref="AA321" si="1807">AVERAGE(N315:N321)</f>
        <v>13.990150000000002</v>
      </c>
      <c r="AB321" s="6">
        <f t="shared" ref="AB321" si="1808">AVERAGE(R315:R321)</f>
        <v>23.226671428571425</v>
      </c>
      <c r="AC321" s="6">
        <f t="shared" si="1802"/>
        <v>-0.85947113408726405</v>
      </c>
      <c r="AD321" s="42">
        <f>Tabla1[[#This Row],[Avg Agua)]]/Tabla1[[#This Row],[Avg Musculo]]</f>
        <v>2.0455686104705988</v>
      </c>
      <c r="AE321" t="s">
        <v>77</v>
      </c>
    </row>
    <row r="322" spans="1:31" x14ac:dyDescent="0.3">
      <c r="A322" t="s">
        <v>75</v>
      </c>
      <c r="B322">
        <v>29</v>
      </c>
      <c r="C322" t="s">
        <v>21</v>
      </c>
      <c r="D322" s="4">
        <v>45488</v>
      </c>
      <c r="E322" s="6">
        <v>88.9</v>
      </c>
      <c r="F322" s="7">
        <f t="shared" si="1788"/>
        <v>25.15278406518787</v>
      </c>
      <c r="G322" s="9">
        <v>0.158</v>
      </c>
      <c r="H322" s="6">
        <f t="shared" si="1789"/>
        <v>74.853800000000007</v>
      </c>
      <c r="I322" s="6">
        <f t="shared" si="1790"/>
        <v>23.592300000000005</v>
      </c>
      <c r="J322">
        <v>3.7</v>
      </c>
      <c r="K322" s="5">
        <v>7.0000000000000007E-2</v>
      </c>
      <c r="L322" s="17">
        <v>2163</v>
      </c>
      <c r="M322" s="5">
        <v>0.53500000000000003</v>
      </c>
      <c r="N322" s="6">
        <f t="shared" si="1791"/>
        <v>14.046200000000001</v>
      </c>
      <c r="O322" s="21">
        <f t="shared" si="1792"/>
        <v>47.561500000000002</v>
      </c>
      <c r="P322" s="8">
        <f t="shared" si="1516"/>
        <v>47.51870000000001</v>
      </c>
      <c r="Q322" s="8">
        <f t="shared" si="1793"/>
        <v>65.307699999999997</v>
      </c>
      <c r="R322" s="6">
        <f t="shared" si="1794"/>
        <v>23.592300000000005</v>
      </c>
      <c r="S322" s="6">
        <f t="shared" si="1795"/>
        <v>6.2230000000000008</v>
      </c>
      <c r="T322" s="6">
        <f t="shared" si="1796"/>
        <v>1.2823000000000135</v>
      </c>
      <c r="U322" s="6">
        <f t="shared" si="1797"/>
        <v>-1.433799999999998</v>
      </c>
      <c r="V322" s="6">
        <f t="shared" si="1798"/>
        <v>-1.0999999999999943</v>
      </c>
      <c r="W322" s="9">
        <f>Tabla1[[#This Row],[Protein]]/Tabla1[[#This Row],[Peso (Kg)]]</f>
        <v>0.26538020247469069</v>
      </c>
      <c r="X322" s="9">
        <f t="shared" si="1520"/>
        <v>0.26306278166057778</v>
      </c>
      <c r="Y322" s="6">
        <f t="shared" si="1799"/>
        <v>41.33850000000001</v>
      </c>
      <c r="Z322" s="6">
        <f t="shared" si="1521"/>
        <v>88.535714285714292</v>
      </c>
      <c r="AA322" s="6">
        <f t="shared" ref="AA322" si="1809">AVERAGE(N316:N322)</f>
        <v>14.032264285714287</v>
      </c>
      <c r="AB322" s="6">
        <f t="shared" ref="AB322" si="1810">AVERAGE(R316:R322)</f>
        <v>23.284749999999999</v>
      </c>
      <c r="AC322" s="6">
        <f t="shared" si="1802"/>
        <v>0.25005120345023002</v>
      </c>
      <c r="AD322" s="42">
        <f>Tabla1[[#This Row],[Avg Agua)]]/Tabla1[[#This Row],[Avg Musculo]]</f>
        <v>2.0407648783001755</v>
      </c>
    </row>
    <row r="323" spans="1:31" x14ac:dyDescent="0.3">
      <c r="A323" t="s">
        <v>75</v>
      </c>
      <c r="B323">
        <v>31</v>
      </c>
      <c r="C323" t="s">
        <v>24</v>
      </c>
      <c r="D323" s="4">
        <v>45504</v>
      </c>
      <c r="E323" s="6">
        <v>89.3</v>
      </c>
      <c r="F323" s="7">
        <f t="shared" si="1788"/>
        <v>25.26595744680851</v>
      </c>
      <c r="G323" s="9">
        <v>0.16600000000000001</v>
      </c>
      <c r="H323" s="6">
        <f t="shared" si="1789"/>
        <v>74.476199999999992</v>
      </c>
      <c r="I323" s="6">
        <f t="shared" si="1790"/>
        <v>22.822099999999988</v>
      </c>
      <c r="J323">
        <v>3.7</v>
      </c>
      <c r="K323" s="5">
        <v>7.4999999999999997E-2</v>
      </c>
      <c r="L323" s="17">
        <v>2154</v>
      </c>
      <c r="M323" s="5">
        <v>0.53700000000000003</v>
      </c>
      <c r="N323" s="6">
        <f t="shared" si="1791"/>
        <v>14.8238</v>
      </c>
      <c r="O323" s="21">
        <f t="shared" si="1792"/>
        <v>47.954100000000004</v>
      </c>
      <c r="P323" s="8">
        <f t="shared" si="1516"/>
        <v>47.683635714285721</v>
      </c>
      <c r="Q323" s="8">
        <f t="shared" si="1793"/>
        <v>66.477900000000005</v>
      </c>
      <c r="R323" s="6">
        <f t="shared" si="1794"/>
        <v>22.822099999999988</v>
      </c>
      <c r="S323" s="6">
        <f t="shared" si="1795"/>
        <v>6.6974999999999998</v>
      </c>
      <c r="T323" s="6">
        <f t="shared" si="1796"/>
        <v>-0.77020000000001687</v>
      </c>
      <c r="U323" s="6">
        <f t="shared" si="1797"/>
        <v>0.77759999999999962</v>
      </c>
      <c r="V323" s="6">
        <f t="shared" si="1798"/>
        <v>0.39999999999999147</v>
      </c>
      <c r="W323" s="9">
        <f>Tabla1[[#This Row],[Protein]]/Tabla1[[#This Row],[Peso (Kg)]]</f>
        <v>0.25556662933930557</v>
      </c>
      <c r="X323" s="9">
        <f t="shared" si="1520"/>
        <v>0.26006594819925571</v>
      </c>
      <c r="Y323" s="6">
        <f t="shared" si="1799"/>
        <v>41.345899999999993</v>
      </c>
      <c r="Z323" s="6">
        <f t="shared" si="1521"/>
        <v>88.842857142857142</v>
      </c>
      <c r="AA323" s="6">
        <f t="shared" ref="AA323" si="1811">AVERAGE(N317:N323)</f>
        <v>14.357150000000003</v>
      </c>
      <c r="AB323" s="6">
        <f t="shared" ref="AB323" si="1812">AVERAGE(R317:R323)</f>
        <v>23.102071428571424</v>
      </c>
      <c r="AC323" s="6">
        <f t="shared" si="1802"/>
        <v>-0.78454169114366978</v>
      </c>
      <c r="AD323" s="42">
        <f>Tabla1[[#This Row],[Avg Agua)]]/Tabla1[[#This Row],[Avg Musculo]]</f>
        <v>2.0640415670827297</v>
      </c>
      <c r="AE323" t="s">
        <v>78</v>
      </c>
    </row>
    <row r="324" spans="1:31" x14ac:dyDescent="0.3">
      <c r="A324" t="s">
        <v>75</v>
      </c>
      <c r="B324">
        <v>31</v>
      </c>
      <c r="C324" t="s">
        <v>22</v>
      </c>
      <c r="D324" s="4">
        <v>45505</v>
      </c>
      <c r="E324" s="6">
        <v>88.8</v>
      </c>
      <c r="F324" s="7">
        <f t="shared" ref="F324:F329" si="1813">E324/(1.88^2)</f>
        <v>25.12449071978271</v>
      </c>
      <c r="G324" s="9">
        <v>0.16700000000000001</v>
      </c>
      <c r="H324" s="6">
        <f t="shared" ref="H324:H329" si="1814">E324-N324</f>
        <v>73.970399999999998</v>
      </c>
      <c r="I324" s="6">
        <f t="shared" ref="I324:I329" si="1815">E324-N324-O324-J324</f>
        <v>23.217599999999997</v>
      </c>
      <c r="J324">
        <v>3.6</v>
      </c>
      <c r="K324" s="5">
        <v>7.4999999999999997E-2</v>
      </c>
      <c r="L324" s="17">
        <v>2138</v>
      </c>
      <c r="M324" s="5">
        <v>0.53100000000000003</v>
      </c>
      <c r="N324" s="6">
        <f t="shared" ref="N324:N329" si="1816">E324*G324</f>
        <v>14.829600000000001</v>
      </c>
      <c r="O324" s="21">
        <f t="shared" ref="O324:O329" si="1817">M324*E324</f>
        <v>47.152799999999999</v>
      </c>
      <c r="P324" s="8">
        <f t="shared" si="1516"/>
        <v>47.64479285714286</v>
      </c>
      <c r="Q324" s="8">
        <f t="shared" ref="Q324:Q329" si="1818">E324-R324</f>
        <v>65.582400000000007</v>
      </c>
      <c r="R324" s="6">
        <f t="shared" ref="R324:R329" si="1819">I324</f>
        <v>23.217599999999997</v>
      </c>
      <c r="S324" s="6">
        <f t="shared" ref="S324:S329" si="1820">K324*E324</f>
        <v>6.6599999999999993</v>
      </c>
      <c r="T324" s="6">
        <f t="shared" ref="T324:T329" si="1821">I324-I323</f>
        <v>0.39550000000000907</v>
      </c>
      <c r="U324" s="6">
        <f t="shared" ref="U324:U329" si="1822">N324-N323</f>
        <v>5.8000000000006935E-3</v>
      </c>
      <c r="V324" s="6">
        <f t="shared" ref="V324:V329" si="1823">E324-E323</f>
        <v>-0.5</v>
      </c>
      <c r="W324" s="9">
        <f>Tabla1[[#This Row],[Protein]]/Tabla1[[#This Row],[Peso (Kg)]]</f>
        <v>0.26145945945945942</v>
      </c>
      <c r="X324" s="9">
        <f t="shared" si="1520"/>
        <v>0.25998500070934621</v>
      </c>
      <c r="Y324" s="6">
        <f t="shared" ref="Y324:Y329" si="1824">R324+N324+J324</f>
        <v>41.647199999999998</v>
      </c>
      <c r="Z324" s="6">
        <f t="shared" si="1521"/>
        <v>88.935714285714269</v>
      </c>
      <c r="AA324" s="6">
        <f t="shared" ref="AA324" si="1825">AVERAGE(N318:N324)</f>
        <v>14.485992857142859</v>
      </c>
      <c r="AB324" s="6">
        <f t="shared" ref="AB324" si="1826">AVERAGE(R318:R324)</f>
        <v>23.119214285714282</v>
      </c>
      <c r="AC324" s="6">
        <f t="shared" ref="AC324:AC329" si="1827">100*(AB324/AB323-1)</f>
        <v>7.4204848668490975E-2</v>
      </c>
      <c r="AD324" s="42">
        <f>Tabla1[[#This Row],[Avg Agua)]]/Tabla1[[#This Row],[Avg Musculo]]</f>
        <v>2.0608309723822797</v>
      </c>
    </row>
    <row r="325" spans="1:31" x14ac:dyDescent="0.3">
      <c r="A325" t="s">
        <v>75</v>
      </c>
      <c r="B325">
        <v>31</v>
      </c>
      <c r="C325" t="s">
        <v>20</v>
      </c>
      <c r="D325" s="4">
        <v>45506</v>
      </c>
      <c r="E325" s="6">
        <v>88.7</v>
      </c>
      <c r="F325" s="7">
        <f t="shared" si="1813"/>
        <v>25.096197374377549</v>
      </c>
      <c r="G325" s="9">
        <v>0.159</v>
      </c>
      <c r="H325" s="6">
        <f t="shared" si="1814"/>
        <v>74.596699999999998</v>
      </c>
      <c r="I325" s="6">
        <f t="shared" si="1815"/>
        <v>23.708299999999998</v>
      </c>
      <c r="J325">
        <v>3.7</v>
      </c>
      <c r="K325" s="5">
        <v>7.0000000000000007E-2</v>
      </c>
      <c r="L325" s="17">
        <v>2155</v>
      </c>
      <c r="M325" s="5">
        <v>0.53200000000000003</v>
      </c>
      <c r="N325" s="6">
        <f t="shared" si="1816"/>
        <v>14.103300000000001</v>
      </c>
      <c r="O325" s="21">
        <f t="shared" si="1817"/>
        <v>47.188400000000001</v>
      </c>
      <c r="P325" s="8">
        <f t="shared" si="1516"/>
        <v>47.625885714285722</v>
      </c>
      <c r="Q325" s="8">
        <f t="shared" si="1818"/>
        <v>64.991700000000009</v>
      </c>
      <c r="R325" s="6">
        <f t="shared" si="1819"/>
        <v>23.708299999999998</v>
      </c>
      <c r="S325" s="6">
        <f t="shared" si="1820"/>
        <v>6.2090000000000005</v>
      </c>
      <c r="T325" s="6">
        <f t="shared" si="1821"/>
        <v>0.49070000000000036</v>
      </c>
      <c r="U325" s="6">
        <f t="shared" si="1822"/>
        <v>-0.72630000000000017</v>
      </c>
      <c r="V325" s="6">
        <f t="shared" si="1823"/>
        <v>-9.9999999999994316E-2</v>
      </c>
      <c r="W325" s="9">
        <f>Tabla1[[#This Row],[Protein]]/Tabla1[[#This Row],[Peso (Kg)]]</f>
        <v>0.26728635851183763</v>
      </c>
      <c r="X325" s="9">
        <f t="shared" si="1520"/>
        <v>0.26043041524600469</v>
      </c>
      <c r="Y325" s="6">
        <f t="shared" si="1824"/>
        <v>41.511600000000001</v>
      </c>
      <c r="Z325" s="6">
        <f t="shared" si="1521"/>
        <v>88.971428571428575</v>
      </c>
      <c r="AA325" s="6">
        <f t="shared" ref="AA325" si="1828">AVERAGE(N319:N325)</f>
        <v>14.491671428571427</v>
      </c>
      <c r="AB325" s="6">
        <f t="shared" ref="AB325" si="1829">AVERAGE(R319:R325)</f>
        <v>23.168157142857144</v>
      </c>
      <c r="AC325" s="6">
        <f t="shared" si="1827"/>
        <v>0.21169775295133419</v>
      </c>
      <c r="AD325" s="42">
        <f>Tabla1[[#This Row],[Avg Agua)]]/Tabla1[[#This Row],[Avg Musculo]]</f>
        <v>2.0556613726598889</v>
      </c>
    </row>
    <row r="326" spans="1:31" x14ac:dyDescent="0.3">
      <c r="A326" t="s">
        <v>75</v>
      </c>
      <c r="B326">
        <v>31</v>
      </c>
      <c r="C326" t="s">
        <v>25</v>
      </c>
      <c r="D326" s="4">
        <v>45507</v>
      </c>
      <c r="E326" s="6">
        <v>88.55</v>
      </c>
      <c r="F326" s="7">
        <f t="shared" si="1813"/>
        <v>25.053757356269806</v>
      </c>
      <c r="G326" s="9">
        <v>0.16300000000000001</v>
      </c>
      <c r="H326" s="6">
        <f t="shared" si="1814"/>
        <v>74.116349999999997</v>
      </c>
      <c r="I326" s="6">
        <f t="shared" si="1815"/>
        <v>23.484849999999998</v>
      </c>
      <c r="J326">
        <v>3.7</v>
      </c>
      <c r="K326" s="5">
        <v>7.4999999999999997E-2</v>
      </c>
      <c r="L326" s="17">
        <v>2142</v>
      </c>
      <c r="M326" s="5">
        <v>0.53</v>
      </c>
      <c r="N326" s="6">
        <f t="shared" si="1816"/>
        <v>14.43365</v>
      </c>
      <c r="O326" s="21">
        <f t="shared" si="1817"/>
        <v>46.9315</v>
      </c>
      <c r="P326" s="8">
        <f t="shared" si="1516"/>
        <v>47.579100000000004</v>
      </c>
      <c r="Q326" s="8">
        <f t="shared" si="1818"/>
        <v>65.065150000000003</v>
      </c>
      <c r="R326" s="6">
        <f t="shared" si="1819"/>
        <v>23.484849999999998</v>
      </c>
      <c r="S326" s="6">
        <f t="shared" si="1820"/>
        <v>6.6412499999999994</v>
      </c>
      <c r="T326" s="6">
        <f t="shared" si="1821"/>
        <v>-0.2234499999999997</v>
      </c>
      <c r="U326" s="6">
        <f t="shared" si="1822"/>
        <v>0.33034999999999926</v>
      </c>
      <c r="V326" s="6">
        <f t="shared" si="1823"/>
        <v>-0.15000000000000568</v>
      </c>
      <c r="W326" s="9">
        <f>Tabla1[[#This Row],[Protein]]/Tabla1[[#This Row],[Peso (Kg)]]</f>
        <v>0.2652156973461321</v>
      </c>
      <c r="X326" s="9">
        <f t="shared" si="1520"/>
        <v>0.26057664481038351</v>
      </c>
      <c r="Y326" s="6">
        <f t="shared" si="1824"/>
        <v>41.618499999999997</v>
      </c>
      <c r="Z326" s="6">
        <f t="shared" si="1521"/>
        <v>88.978571428571428</v>
      </c>
      <c r="AA326" s="6">
        <f t="shared" ref="AA326" si="1830">AVERAGE(N320:N326)</f>
        <v>14.530764285714286</v>
      </c>
      <c r="AB326" s="6">
        <f t="shared" ref="AB326" si="1831">AVERAGE(R320:R326)</f>
        <v>23.182992857142857</v>
      </c>
      <c r="AC326" s="6">
        <f t="shared" si="1827"/>
        <v>6.4034934648593556E-2</v>
      </c>
      <c r="AD326" s="42">
        <f>Tabla1[[#This Row],[Avg Agua)]]/Tabla1[[#This Row],[Avg Musculo]]</f>
        <v>2.0523277686013057</v>
      </c>
    </row>
    <row r="327" spans="1:31" x14ac:dyDescent="0.3">
      <c r="A327" t="s">
        <v>75</v>
      </c>
      <c r="B327">
        <v>31</v>
      </c>
      <c r="C327" t="s">
        <v>26</v>
      </c>
      <c r="D327" s="4">
        <v>45508</v>
      </c>
      <c r="E327" s="6">
        <v>88.15</v>
      </c>
      <c r="F327" s="7">
        <f t="shared" si="1813"/>
        <v>24.940583974649165</v>
      </c>
      <c r="G327" s="9">
        <v>0.158</v>
      </c>
      <c r="H327" s="6">
        <f t="shared" si="1814"/>
        <v>74.222300000000004</v>
      </c>
      <c r="I327" s="6">
        <f t="shared" si="1815"/>
        <v>23.802800000000001</v>
      </c>
      <c r="J327">
        <v>3.7</v>
      </c>
      <c r="K327" s="5">
        <v>7.0000000000000007E-2</v>
      </c>
      <c r="L327" s="17">
        <v>2143</v>
      </c>
      <c r="M327" s="5">
        <v>0.53</v>
      </c>
      <c r="N327" s="6">
        <f t="shared" si="1816"/>
        <v>13.927700000000002</v>
      </c>
      <c r="O327" s="21">
        <f t="shared" si="1817"/>
        <v>46.719500000000004</v>
      </c>
      <c r="P327" s="8">
        <f t="shared" si="1516"/>
        <v>47.431114285714287</v>
      </c>
      <c r="Q327" s="8">
        <f t="shared" si="1818"/>
        <v>64.347200000000001</v>
      </c>
      <c r="R327" s="6">
        <f t="shared" si="1819"/>
        <v>23.802800000000001</v>
      </c>
      <c r="S327" s="6">
        <f t="shared" si="1820"/>
        <v>6.1705000000000014</v>
      </c>
      <c r="T327" s="6">
        <f t="shared" si="1821"/>
        <v>0.31795000000000329</v>
      </c>
      <c r="U327" s="6">
        <f t="shared" si="1822"/>
        <v>-0.50594999999999857</v>
      </c>
      <c r="V327" s="6">
        <f t="shared" si="1823"/>
        <v>-0.39999999999999147</v>
      </c>
      <c r="W327" s="9">
        <f>Tabla1[[#This Row],[Protein]]/Tabla1[[#This Row],[Peso (Kg)]]</f>
        <v>0.27002609188882587</v>
      </c>
      <c r="X327" s="9">
        <f t="shared" si="1520"/>
        <v>0.26183190398702</v>
      </c>
      <c r="Y327" s="6">
        <f t="shared" si="1824"/>
        <v>41.430500000000009</v>
      </c>
      <c r="Z327" s="6">
        <f t="shared" si="1521"/>
        <v>88.914285714285711</v>
      </c>
      <c r="AA327" s="6">
        <f t="shared" ref="AA327" si="1832">AVERAGE(N321:N327)</f>
        <v>14.520607142857143</v>
      </c>
      <c r="AB327" s="6">
        <f t="shared" ref="AB327" si="1833">AVERAGE(R321:R327)</f>
        <v>23.276849999999996</v>
      </c>
      <c r="AC327" s="6">
        <f t="shared" si="1827"/>
        <v>0.40485343473770641</v>
      </c>
      <c r="AD327" s="42">
        <f>Tabla1[[#This Row],[Avg Agua)]]/Tabla1[[#This Row],[Avg Musculo]]</f>
        <v>2.0376947175289737</v>
      </c>
    </row>
    <row r="328" spans="1:31" x14ac:dyDescent="0.3">
      <c r="A328" t="s">
        <v>75</v>
      </c>
      <c r="B328">
        <v>32</v>
      </c>
      <c r="C328" t="s">
        <v>21</v>
      </c>
      <c r="D328" s="4">
        <v>45509</v>
      </c>
      <c r="E328" s="6">
        <v>88.45</v>
      </c>
      <c r="F328" s="7">
        <f t="shared" si="1813"/>
        <v>25.025464010864646</v>
      </c>
      <c r="G328" s="9">
        <v>0.16700000000000001</v>
      </c>
      <c r="H328" s="6">
        <f t="shared" si="1814"/>
        <v>73.678849999999997</v>
      </c>
      <c r="I328" s="6">
        <f t="shared" si="1815"/>
        <v>22.846549999999993</v>
      </c>
      <c r="J328">
        <v>3.6</v>
      </c>
      <c r="K328" s="5">
        <v>7.4999999999999997E-2</v>
      </c>
      <c r="L328" s="17">
        <v>2129</v>
      </c>
      <c r="M328" s="5">
        <v>0.53400000000000003</v>
      </c>
      <c r="N328" s="6">
        <f t="shared" si="1816"/>
        <v>14.77115</v>
      </c>
      <c r="O328" s="21">
        <f t="shared" si="1817"/>
        <v>47.232300000000002</v>
      </c>
      <c r="P328" s="8">
        <f t="shared" si="1516"/>
        <v>47.248585714285717</v>
      </c>
      <c r="Q328" s="8">
        <f t="shared" si="1818"/>
        <v>65.603450000000009</v>
      </c>
      <c r="R328" s="6">
        <f t="shared" si="1819"/>
        <v>22.846549999999993</v>
      </c>
      <c r="S328" s="6">
        <f t="shared" si="1820"/>
        <v>6.63375</v>
      </c>
      <c r="T328" s="6">
        <f t="shared" si="1821"/>
        <v>-0.95625000000000782</v>
      </c>
      <c r="U328" s="6">
        <f t="shared" si="1822"/>
        <v>0.84344999999999892</v>
      </c>
      <c r="V328" s="6">
        <f t="shared" si="1823"/>
        <v>0.29999999999999716</v>
      </c>
      <c r="W328" s="9">
        <f>Tabla1[[#This Row],[Protein]]/Tabla1[[#This Row],[Peso (Kg)]]</f>
        <v>0.25829903900508755</v>
      </c>
      <c r="X328" s="9">
        <f t="shared" si="1520"/>
        <v>0.26331906828933416</v>
      </c>
      <c r="Y328" s="6">
        <f t="shared" si="1824"/>
        <v>41.217699999999994</v>
      </c>
      <c r="Z328" s="6">
        <f t="shared" si="1521"/>
        <v>88.69285714285715</v>
      </c>
      <c r="AA328" s="6">
        <f t="shared" ref="AA328" si="1834">AVERAGE(N322:N328)</f>
        <v>14.41934285714286</v>
      </c>
      <c r="AB328" s="6">
        <f t="shared" ref="AB328" si="1835">AVERAGE(R322:R328)</f>
        <v>23.353499999999997</v>
      </c>
      <c r="AC328" s="6">
        <f t="shared" si="1827"/>
        <v>0.32929713427718443</v>
      </c>
      <c r="AD328" s="42">
        <f>Tabla1[[#This Row],[Avg Agua)]]/Tabla1[[#This Row],[Avg Musculo]]</f>
        <v>2.0231907728728338</v>
      </c>
    </row>
    <row r="329" spans="1:31" x14ac:dyDescent="0.3">
      <c r="A329" t="s">
        <v>75</v>
      </c>
      <c r="B329">
        <v>32</v>
      </c>
      <c r="C329" t="s">
        <v>23</v>
      </c>
      <c r="D329" s="4">
        <v>45510</v>
      </c>
      <c r="E329" s="6">
        <v>88.35</v>
      </c>
      <c r="F329" s="7">
        <f t="shared" si="1813"/>
        <v>24.997170665459485</v>
      </c>
      <c r="G329" s="9">
        <v>0.16500000000000001</v>
      </c>
      <c r="H329" s="6">
        <f t="shared" si="1814"/>
        <v>73.77225</v>
      </c>
      <c r="I329" s="6">
        <f t="shared" si="1815"/>
        <v>23.170049999999996</v>
      </c>
      <c r="J329">
        <v>3.6</v>
      </c>
      <c r="K329" s="5">
        <v>7.4999999999999997E-2</v>
      </c>
      <c r="L329" s="17">
        <v>2130</v>
      </c>
      <c r="M329" s="5">
        <v>0.53200000000000003</v>
      </c>
      <c r="N329" s="6">
        <f t="shared" si="1816"/>
        <v>14.57775</v>
      </c>
      <c r="O329" s="21">
        <f t="shared" si="1817"/>
        <v>47.002200000000002</v>
      </c>
      <c r="P329" s="8">
        <f t="shared" ref="P329:P392" si="1836">AVERAGE(O323:O329)</f>
        <v>47.168685714285722</v>
      </c>
      <c r="Q329" s="8">
        <f t="shared" si="1818"/>
        <v>65.179949999999991</v>
      </c>
      <c r="R329" s="6">
        <f t="shared" si="1819"/>
        <v>23.170049999999996</v>
      </c>
      <c r="S329" s="6">
        <f t="shared" si="1820"/>
        <v>6.6262499999999998</v>
      </c>
      <c r="T329" s="6">
        <f t="shared" si="1821"/>
        <v>0.32350000000000279</v>
      </c>
      <c r="U329" s="6">
        <f t="shared" si="1822"/>
        <v>-0.19340000000000046</v>
      </c>
      <c r="V329" s="6">
        <f t="shared" si="1823"/>
        <v>-0.10000000000000853</v>
      </c>
      <c r="W329" s="9">
        <f>Tabla1[[#This Row],[Protein]]/Tabla1[[#This Row],[Peso (Kg)]]</f>
        <v>0.26225297113752122</v>
      </c>
      <c r="X329" s="9">
        <f t="shared" ref="X329:X392" si="1837">AVERAGE(W323:W329)</f>
        <v>0.26287232095545277</v>
      </c>
      <c r="Y329" s="6">
        <f t="shared" si="1824"/>
        <v>41.347799999999999</v>
      </c>
      <c r="Z329" s="6">
        <f t="shared" ref="Z329:Z392" si="1838">AVERAGE(E323:E329)</f>
        <v>88.614285714285728</v>
      </c>
      <c r="AA329" s="6">
        <f t="shared" ref="AA329" si="1839">AVERAGE(N323:N329)</f>
        <v>14.495278571428573</v>
      </c>
      <c r="AB329" s="6">
        <f t="shared" ref="AB329" si="1840">AVERAGE(R323:R329)</f>
        <v>23.293178571428566</v>
      </c>
      <c r="AC329" s="6">
        <f t="shared" si="1827"/>
        <v>-0.25829716561299731</v>
      </c>
      <c r="AD329" s="42">
        <f>Tabla1[[#This Row],[Avg Agua)]]/Tabla1[[#This Row],[Avg Musculo]]</f>
        <v>2.0249999616687298</v>
      </c>
    </row>
    <row r="330" spans="1:31" x14ac:dyDescent="0.3">
      <c r="A330" t="s">
        <v>75</v>
      </c>
      <c r="B330">
        <v>32</v>
      </c>
      <c r="C330" t="s">
        <v>24</v>
      </c>
      <c r="D330" s="4">
        <v>45511</v>
      </c>
      <c r="E330" s="6">
        <v>88.7</v>
      </c>
      <c r="F330" s="7">
        <f t="shared" ref="F330:F335" si="1841">E330/(1.88^2)</f>
        <v>25.096197374377549</v>
      </c>
      <c r="G330" s="9">
        <v>0.16800000000000001</v>
      </c>
      <c r="H330" s="6">
        <f t="shared" ref="H330:H335" si="1842">E330-N330</f>
        <v>73.798400000000001</v>
      </c>
      <c r="I330" s="6">
        <f t="shared" ref="I330:I335" si="1843">E330-N330-O330-J330</f>
        <v>23.098699999999994</v>
      </c>
      <c r="J330">
        <v>3.6</v>
      </c>
      <c r="K330" s="5">
        <v>7.4999999999999997E-2</v>
      </c>
      <c r="L330" s="17">
        <v>2134</v>
      </c>
      <c r="M330" s="5">
        <v>0.53100000000000003</v>
      </c>
      <c r="N330" s="6">
        <f t="shared" ref="N330:N335" si="1844">E330*G330</f>
        <v>14.901600000000002</v>
      </c>
      <c r="O330" s="21">
        <f t="shared" ref="O330:O335" si="1845">M330*E330</f>
        <v>47.099700000000006</v>
      </c>
      <c r="P330" s="8">
        <f t="shared" si="1836"/>
        <v>47.04662857142857</v>
      </c>
      <c r="Q330" s="8">
        <f t="shared" ref="Q330:Q335" si="1846">E330-R330</f>
        <v>65.601300000000009</v>
      </c>
      <c r="R330" s="6">
        <f t="shared" ref="R330:R335" si="1847">I330</f>
        <v>23.098699999999994</v>
      </c>
      <c r="S330" s="6">
        <f t="shared" ref="S330:S335" si="1848">K330*E330</f>
        <v>6.6524999999999999</v>
      </c>
      <c r="T330" s="6">
        <f t="shared" ref="T330:T335" si="1849">I330-I329</f>
        <v>-7.1350000000002467E-2</v>
      </c>
      <c r="U330" s="6">
        <f t="shared" ref="U330:U335" si="1850">N330-N329</f>
        <v>0.32385000000000197</v>
      </c>
      <c r="V330" s="6">
        <f t="shared" ref="V330:V335" si="1851">E330-E329</f>
        <v>0.35000000000000853</v>
      </c>
      <c r="W330" s="9">
        <f>Tabla1[[#This Row],[Protein]]/Tabla1[[#This Row],[Peso (Kg)]]</f>
        <v>0.26041375422773383</v>
      </c>
      <c r="X330" s="9">
        <f t="shared" si="1837"/>
        <v>0.26356476736808537</v>
      </c>
      <c r="Y330" s="6">
        <f t="shared" ref="Y330:Y335" si="1852">R330+N330+J330</f>
        <v>41.600299999999997</v>
      </c>
      <c r="Z330" s="6">
        <f t="shared" si="1838"/>
        <v>88.528571428571439</v>
      </c>
      <c r="AA330" s="6">
        <f t="shared" ref="AA330" si="1853">AVERAGE(N324:N330)</f>
        <v>14.506392857142858</v>
      </c>
      <c r="AB330" s="6">
        <f t="shared" ref="AB330" si="1854">AVERAGE(R324:R330)</f>
        <v>23.332692857142856</v>
      </c>
      <c r="AC330" s="6">
        <f t="shared" ref="AC330:AC335" si="1855">100*(AB330/AB329-1)</f>
        <v>0.1696388734286236</v>
      </c>
      <c r="AD330" s="42">
        <f>Tabla1[[#This Row],[Avg Agua)]]/Tabla1[[#This Row],[Avg Musculo]]</f>
        <v>2.0163394280924649</v>
      </c>
    </row>
    <row r="331" spans="1:31" x14ac:dyDescent="0.3">
      <c r="A331" t="s">
        <v>75</v>
      </c>
      <c r="B331">
        <v>32</v>
      </c>
      <c r="C331" t="s">
        <v>22</v>
      </c>
      <c r="D331" s="4">
        <v>45512</v>
      </c>
      <c r="E331" s="6">
        <v>88.6</v>
      </c>
      <c r="F331" s="7">
        <f t="shared" si="1841"/>
        <v>25.067904028972386</v>
      </c>
      <c r="G331" s="9">
        <v>0.16700000000000001</v>
      </c>
      <c r="H331" s="6">
        <f t="shared" si="1842"/>
        <v>73.803799999999995</v>
      </c>
      <c r="I331" s="6">
        <f t="shared" si="1843"/>
        <v>23.245799999999996</v>
      </c>
      <c r="J331">
        <v>3.6</v>
      </c>
      <c r="K331" s="5">
        <v>7.4999999999999997E-2</v>
      </c>
      <c r="L331" s="17">
        <v>2133</v>
      </c>
      <c r="M331" s="5">
        <v>0.53</v>
      </c>
      <c r="N331" s="6">
        <f t="shared" si="1844"/>
        <v>14.796200000000001</v>
      </c>
      <c r="O331" s="21">
        <f t="shared" si="1845"/>
        <v>46.957999999999998</v>
      </c>
      <c r="P331" s="8">
        <f t="shared" si="1836"/>
        <v>47.018800000000006</v>
      </c>
      <c r="Q331" s="8">
        <f t="shared" si="1846"/>
        <v>65.354199999999992</v>
      </c>
      <c r="R331" s="6">
        <f t="shared" si="1847"/>
        <v>23.245799999999996</v>
      </c>
      <c r="S331" s="6">
        <f t="shared" si="1848"/>
        <v>6.6449999999999996</v>
      </c>
      <c r="T331" s="6">
        <f t="shared" si="1849"/>
        <v>0.14710000000000178</v>
      </c>
      <c r="U331" s="6">
        <f t="shared" si="1850"/>
        <v>-0.10540000000000127</v>
      </c>
      <c r="V331" s="6">
        <f t="shared" si="1851"/>
        <v>-0.10000000000000853</v>
      </c>
      <c r="W331" s="9">
        <f>Tabla1[[#This Row],[Protein]]/Tabla1[[#This Row],[Peso (Kg)]]</f>
        <v>0.26236794582392775</v>
      </c>
      <c r="X331" s="9">
        <f t="shared" si="1837"/>
        <v>0.26369455113443802</v>
      </c>
      <c r="Y331" s="6">
        <f t="shared" si="1852"/>
        <v>41.641999999999996</v>
      </c>
      <c r="Z331" s="6">
        <f t="shared" si="1838"/>
        <v>88.5</v>
      </c>
      <c r="AA331" s="6">
        <f t="shared" ref="AA331" si="1856">AVERAGE(N325:N331)</f>
        <v>14.501621428571429</v>
      </c>
      <c r="AB331" s="6">
        <f t="shared" ref="AB331" si="1857">AVERAGE(R325:R331)</f>
        <v>23.336721428571426</v>
      </c>
      <c r="AC331" s="6">
        <f t="shared" si="1855"/>
        <v>1.7265780050479407E-2</v>
      </c>
      <c r="AD331" s="42">
        <f>Tabla1[[#This Row],[Avg Agua)]]/Tabla1[[#This Row],[Avg Musculo]]</f>
        <v>2.0147988715516107</v>
      </c>
    </row>
    <row r="332" spans="1:31" x14ac:dyDescent="0.3">
      <c r="A332" t="s">
        <v>75</v>
      </c>
      <c r="B332">
        <v>32</v>
      </c>
      <c r="C332" t="s">
        <v>20</v>
      </c>
      <c r="D332" s="4">
        <v>45513</v>
      </c>
      <c r="E332" s="6">
        <v>88.55</v>
      </c>
      <c r="F332" s="7">
        <f t="shared" si="1841"/>
        <v>25.053757356269806</v>
      </c>
      <c r="G332" s="9">
        <v>0.16700000000000001</v>
      </c>
      <c r="H332" s="6">
        <f t="shared" si="1842"/>
        <v>73.762149999999991</v>
      </c>
      <c r="I332" s="6">
        <f t="shared" si="1843"/>
        <v>23.496299999999991</v>
      </c>
      <c r="J332">
        <v>3.6</v>
      </c>
      <c r="K332" s="5">
        <v>7.4999999999999997E-2</v>
      </c>
      <c r="L332" s="17">
        <v>2132</v>
      </c>
      <c r="M332" s="5">
        <v>0.52700000000000002</v>
      </c>
      <c r="N332" s="6">
        <f t="shared" si="1844"/>
        <v>14.787850000000001</v>
      </c>
      <c r="O332" s="21">
        <f t="shared" si="1845"/>
        <v>46.665849999999999</v>
      </c>
      <c r="P332" s="8">
        <f t="shared" si="1836"/>
        <v>46.94415</v>
      </c>
      <c r="Q332" s="8">
        <f t="shared" si="1846"/>
        <v>65.053700000000006</v>
      </c>
      <c r="R332" s="6">
        <f t="shared" si="1847"/>
        <v>23.496299999999991</v>
      </c>
      <c r="S332" s="6">
        <f t="shared" si="1848"/>
        <v>6.6412499999999994</v>
      </c>
      <c r="T332" s="6">
        <f t="shared" si="1849"/>
        <v>0.25049999999999528</v>
      </c>
      <c r="U332" s="6">
        <f t="shared" si="1850"/>
        <v>-8.3500000000000796E-3</v>
      </c>
      <c r="V332" s="6">
        <f t="shared" si="1851"/>
        <v>-4.9999999999997158E-2</v>
      </c>
      <c r="W332" s="9">
        <f>Tabla1[[#This Row],[Protein]]/Tabla1[[#This Row],[Peso (Kg)]]</f>
        <v>0.26534500282326362</v>
      </c>
      <c r="X332" s="9">
        <f t="shared" si="1837"/>
        <v>0.26341721460749884</v>
      </c>
      <c r="Y332" s="6">
        <f t="shared" si="1852"/>
        <v>41.884149999999991</v>
      </c>
      <c r="Z332" s="6">
        <f t="shared" si="1838"/>
        <v>88.478571428571414</v>
      </c>
      <c r="AA332" s="6">
        <f t="shared" ref="AA332" si="1858">AVERAGE(N326:N332)</f>
        <v>14.599414285714287</v>
      </c>
      <c r="AB332" s="6">
        <f t="shared" ref="AB332" si="1859">AVERAGE(R326:R332)</f>
        <v>23.306435714285708</v>
      </c>
      <c r="AC332" s="6">
        <f t="shared" si="1855"/>
        <v>-0.12977707420648299</v>
      </c>
      <c r="AD332" s="42">
        <f>Tabla1[[#This Row],[Avg Agua)]]/Tabla1[[#This Row],[Avg Musculo]]</f>
        <v>2.0142140383664726</v>
      </c>
    </row>
    <row r="333" spans="1:31" x14ac:dyDescent="0.3">
      <c r="A333" t="s">
        <v>75</v>
      </c>
      <c r="B333">
        <v>32</v>
      </c>
      <c r="C333" t="s">
        <v>25</v>
      </c>
      <c r="D333" s="4">
        <v>45514</v>
      </c>
      <c r="E333" s="6">
        <v>87.6</v>
      </c>
      <c r="F333" s="7">
        <f t="shared" si="1841"/>
        <v>24.784970574920777</v>
      </c>
      <c r="G333" s="9">
        <v>0.16300000000000001</v>
      </c>
      <c r="H333" s="6">
        <f t="shared" si="1842"/>
        <v>73.32119999999999</v>
      </c>
      <c r="I333" s="6">
        <f t="shared" si="1843"/>
        <v>23.993999999999993</v>
      </c>
      <c r="J333">
        <v>3.6</v>
      </c>
      <c r="K333" s="5">
        <v>7.4999999999999997E-2</v>
      </c>
      <c r="L333" s="17">
        <v>2117</v>
      </c>
      <c r="M333" s="5">
        <v>0.52200000000000002</v>
      </c>
      <c r="N333" s="6">
        <f t="shared" si="1844"/>
        <v>14.2788</v>
      </c>
      <c r="O333" s="21">
        <f t="shared" si="1845"/>
        <v>45.727199999999996</v>
      </c>
      <c r="P333" s="8">
        <f t="shared" si="1836"/>
        <v>46.772107142857138</v>
      </c>
      <c r="Q333" s="8">
        <f t="shared" si="1846"/>
        <v>63.606000000000002</v>
      </c>
      <c r="R333" s="6">
        <f t="shared" si="1847"/>
        <v>23.993999999999993</v>
      </c>
      <c r="S333" s="6">
        <f t="shared" si="1848"/>
        <v>6.5699999999999994</v>
      </c>
      <c r="T333" s="6">
        <f t="shared" si="1849"/>
        <v>0.49770000000000181</v>
      </c>
      <c r="U333" s="6">
        <f t="shared" si="1850"/>
        <v>-0.50905000000000022</v>
      </c>
      <c r="V333" s="6">
        <f t="shared" si="1851"/>
        <v>-0.95000000000000284</v>
      </c>
      <c r="W333" s="9">
        <f>Tabla1[[#This Row],[Protein]]/Tabla1[[#This Row],[Peso (Kg)]]</f>
        <v>0.27390410958904104</v>
      </c>
      <c r="X333" s="9">
        <f t="shared" si="1837"/>
        <v>0.26465841635648585</v>
      </c>
      <c r="Y333" s="6">
        <f t="shared" si="1852"/>
        <v>41.872799999999991</v>
      </c>
      <c r="Z333" s="6">
        <f t="shared" si="1838"/>
        <v>88.342857142857142</v>
      </c>
      <c r="AA333" s="6">
        <f t="shared" ref="AA333" si="1860">AVERAGE(N327:N333)</f>
        <v>14.57729285714286</v>
      </c>
      <c r="AB333" s="6">
        <f t="shared" ref="AB333" si="1861">AVERAGE(R327:R333)</f>
        <v>23.379171428571425</v>
      </c>
      <c r="AC333" s="6">
        <f t="shared" si="1855"/>
        <v>0.31208424650335242</v>
      </c>
      <c r="AD333" s="42">
        <f>Tabla1[[#This Row],[Avg Agua)]]/Tabla1[[#This Row],[Avg Musculo]]</f>
        <v>2.000588741382745</v>
      </c>
    </row>
    <row r="334" spans="1:31" x14ac:dyDescent="0.3">
      <c r="A334" t="s">
        <v>75</v>
      </c>
      <c r="B334">
        <v>32</v>
      </c>
      <c r="C334" t="s">
        <v>26</v>
      </c>
      <c r="D334" s="4">
        <v>45515</v>
      </c>
      <c r="E334" s="6">
        <v>87.55</v>
      </c>
      <c r="F334" s="7">
        <f t="shared" si="1841"/>
        <v>24.770823902218201</v>
      </c>
      <c r="G334" s="9">
        <v>0.16</v>
      </c>
      <c r="H334" s="6">
        <f t="shared" si="1842"/>
        <v>73.542000000000002</v>
      </c>
      <c r="I334" s="6">
        <f t="shared" si="1843"/>
        <v>23.803150000000002</v>
      </c>
      <c r="J334">
        <v>3.6</v>
      </c>
      <c r="K334" s="5">
        <v>7.0000000000000007E-2</v>
      </c>
      <c r="L334" s="17">
        <v>2122</v>
      </c>
      <c r="M334" s="5">
        <v>0.52700000000000002</v>
      </c>
      <c r="N334" s="6">
        <f t="shared" si="1844"/>
        <v>14.007999999999999</v>
      </c>
      <c r="O334" s="21">
        <f t="shared" si="1845"/>
        <v>46.138849999999998</v>
      </c>
      <c r="P334" s="8">
        <f t="shared" si="1836"/>
        <v>46.689157142857141</v>
      </c>
      <c r="Q334" s="8">
        <f t="shared" si="1846"/>
        <v>63.746849999999995</v>
      </c>
      <c r="R334" s="6">
        <f t="shared" si="1847"/>
        <v>23.803150000000002</v>
      </c>
      <c r="S334" s="6">
        <f t="shared" si="1848"/>
        <v>6.1285000000000007</v>
      </c>
      <c r="T334" s="6">
        <f t="shared" si="1849"/>
        <v>-0.19084999999999042</v>
      </c>
      <c r="U334" s="6">
        <f t="shared" si="1850"/>
        <v>-0.27080000000000126</v>
      </c>
      <c r="V334" s="6">
        <f t="shared" si="1851"/>
        <v>-4.9999999999997158E-2</v>
      </c>
      <c r="W334" s="9">
        <f>Tabla1[[#This Row],[Protein]]/Tabla1[[#This Row],[Peso (Kg)]]</f>
        <v>0.2718806396344946</v>
      </c>
      <c r="X334" s="9">
        <f t="shared" si="1837"/>
        <v>0.26492335174872422</v>
      </c>
      <c r="Y334" s="6">
        <f t="shared" si="1852"/>
        <v>41.411149999999999</v>
      </c>
      <c r="Z334" s="6">
        <f t="shared" si="1838"/>
        <v>88.257142857142853</v>
      </c>
      <c r="AA334" s="6">
        <f t="shared" ref="AA334" si="1862">AVERAGE(N328:N334)</f>
        <v>14.588764285714287</v>
      </c>
      <c r="AB334" s="6">
        <f t="shared" ref="AB334" si="1863">AVERAGE(R328:R334)</f>
        <v>23.379221428571423</v>
      </c>
      <c r="AC334" s="6">
        <f t="shared" si="1855"/>
        <v>2.1386557753633184E-4</v>
      </c>
      <c r="AD334" s="42">
        <f>Tabla1[[#This Row],[Avg Agua)]]/Tabla1[[#This Row],[Avg Musculo]]</f>
        <v>1.997036440477824</v>
      </c>
    </row>
    <row r="335" spans="1:31" x14ac:dyDescent="0.3">
      <c r="A335" t="s">
        <v>75</v>
      </c>
      <c r="B335">
        <v>33</v>
      </c>
      <c r="C335" t="s">
        <v>21</v>
      </c>
      <c r="D335" s="4">
        <v>45516</v>
      </c>
      <c r="E335" s="6">
        <v>88.1</v>
      </c>
      <c r="F335" s="7">
        <f t="shared" si="1841"/>
        <v>24.926437301946581</v>
      </c>
      <c r="G335" s="9">
        <v>0.156</v>
      </c>
      <c r="H335" s="6">
        <f t="shared" si="1842"/>
        <v>74.356399999999994</v>
      </c>
      <c r="I335" s="6">
        <f t="shared" si="1843"/>
        <v>23.610999999999994</v>
      </c>
      <c r="J335">
        <v>3.7</v>
      </c>
      <c r="K335" s="5">
        <v>7.0000000000000007E-2</v>
      </c>
      <c r="L335" s="17">
        <v>2145</v>
      </c>
      <c r="M335" s="5">
        <v>0.53400000000000003</v>
      </c>
      <c r="N335" s="6">
        <f t="shared" si="1844"/>
        <v>13.743599999999999</v>
      </c>
      <c r="O335" s="21">
        <f t="shared" si="1845"/>
        <v>47.045400000000001</v>
      </c>
      <c r="P335" s="8">
        <f t="shared" si="1836"/>
        <v>46.662457142857143</v>
      </c>
      <c r="Q335" s="8">
        <f t="shared" si="1846"/>
        <v>64.489000000000004</v>
      </c>
      <c r="R335" s="6">
        <f t="shared" si="1847"/>
        <v>23.610999999999994</v>
      </c>
      <c r="S335" s="6">
        <f t="shared" si="1848"/>
        <v>6.1669999999999998</v>
      </c>
      <c r="T335" s="6">
        <f t="shared" si="1849"/>
        <v>-0.1921500000000087</v>
      </c>
      <c r="U335" s="6">
        <f t="shared" si="1850"/>
        <v>-0.26440000000000019</v>
      </c>
      <c r="V335" s="6">
        <f t="shared" si="1851"/>
        <v>0.54999999999999716</v>
      </c>
      <c r="W335" s="9">
        <f>Tabla1[[#This Row],[Protein]]/Tabla1[[#This Row],[Peso (Kg)]]</f>
        <v>0.26800227014755956</v>
      </c>
      <c r="X335" s="9">
        <f t="shared" si="1837"/>
        <v>0.26630952762622023</v>
      </c>
      <c r="Y335" s="6">
        <f t="shared" si="1852"/>
        <v>41.054599999999994</v>
      </c>
      <c r="Z335" s="6">
        <f t="shared" si="1838"/>
        <v>88.207142857142841</v>
      </c>
      <c r="AA335" s="6">
        <f t="shared" ref="AA335" si="1864">AVERAGE(N329:N335)</f>
        <v>14.44197142857143</v>
      </c>
      <c r="AB335" s="6">
        <f t="shared" ref="AB335" si="1865">AVERAGE(R329:R335)</f>
        <v>23.488428571428567</v>
      </c>
      <c r="AC335" s="6">
        <f t="shared" si="1855"/>
        <v>0.46711197458304543</v>
      </c>
      <c r="AD335" s="42">
        <f>Tabla1[[#This Row],[Avg Agua)]]/Tabla1[[#This Row],[Avg Musculo]]</f>
        <v>1.9866146856506854</v>
      </c>
    </row>
    <row r="336" spans="1:31" x14ac:dyDescent="0.3">
      <c r="A336" t="s">
        <v>75</v>
      </c>
      <c r="B336">
        <v>33</v>
      </c>
      <c r="C336" t="s">
        <v>23</v>
      </c>
      <c r="D336" s="4">
        <v>45517</v>
      </c>
      <c r="E336" s="6">
        <v>88.35</v>
      </c>
      <c r="F336" s="7">
        <f t="shared" ref="F336:F341" si="1866">E336/(1.88^2)</f>
        <v>24.997170665459485</v>
      </c>
      <c r="G336" s="9">
        <v>0.16</v>
      </c>
      <c r="H336" s="6">
        <f t="shared" ref="H336:H341" si="1867">E336-N336</f>
        <v>74.213999999999999</v>
      </c>
      <c r="I336" s="6">
        <f t="shared" ref="I336:I341" si="1868">E336-N336-O336-J336</f>
        <v>23.070049999999998</v>
      </c>
      <c r="J336">
        <v>3.7</v>
      </c>
      <c r="K336" s="5">
        <v>7.0000000000000007E-2</v>
      </c>
      <c r="L336" s="17">
        <v>2144</v>
      </c>
      <c r="M336" s="5">
        <v>0.53700000000000003</v>
      </c>
      <c r="N336" s="6">
        <f t="shared" ref="N336:N341" si="1869">E336*G336</f>
        <v>14.135999999999999</v>
      </c>
      <c r="O336" s="21">
        <f t="shared" ref="O336:O341" si="1870">M336*E336</f>
        <v>47.443950000000001</v>
      </c>
      <c r="P336" s="8">
        <f t="shared" si="1836"/>
        <v>46.725564285714277</v>
      </c>
      <c r="Q336" s="8">
        <f t="shared" ref="Q336:Q341" si="1871">E336-R336</f>
        <v>65.279949999999999</v>
      </c>
      <c r="R336" s="6">
        <f t="shared" ref="R336:R341" si="1872">I336</f>
        <v>23.070049999999998</v>
      </c>
      <c r="S336" s="6">
        <f t="shared" ref="S336:S341" si="1873">K336*E336</f>
        <v>6.1844999999999999</v>
      </c>
      <c r="T336" s="6">
        <f t="shared" ref="T336:T341" si="1874">I336-I335</f>
        <v>-0.54094999999999516</v>
      </c>
      <c r="U336" s="6">
        <f t="shared" ref="U336:U341" si="1875">N336-N335</f>
        <v>0.3924000000000003</v>
      </c>
      <c r="V336" s="6">
        <f t="shared" ref="V336:V341" si="1876">E336-E335</f>
        <v>0.25</v>
      </c>
      <c r="W336" s="9">
        <f>Tabla1[[#This Row],[Protein]]/Tabla1[[#This Row],[Peso (Kg)]]</f>
        <v>0.26112110922467457</v>
      </c>
      <c r="X336" s="9">
        <f t="shared" si="1837"/>
        <v>0.26614783306724216</v>
      </c>
      <c r="Y336" s="6">
        <f t="shared" ref="Y336:Y341" si="1877">R336+N336+J336</f>
        <v>40.90605</v>
      </c>
      <c r="Z336" s="6">
        <f t="shared" si="1838"/>
        <v>88.20714285714287</v>
      </c>
      <c r="AA336" s="6">
        <f t="shared" ref="AA336" si="1878">AVERAGE(N330:N336)</f>
        <v>14.378864285714284</v>
      </c>
      <c r="AB336" s="6">
        <f t="shared" ref="AB336" si="1879">AVERAGE(R330:R336)</f>
        <v>23.474142857142855</v>
      </c>
      <c r="AC336" s="6">
        <f t="shared" ref="AC336:AC341" si="1880">100*(AB336/AB335-1)</f>
        <v>-6.0820221507240646E-2</v>
      </c>
      <c r="AD336" s="42">
        <f>Tabla1[[#This Row],[Avg Agua)]]/Tabla1[[#This Row],[Avg Musculo]]</f>
        <v>1.9905120527753941</v>
      </c>
    </row>
    <row r="337" spans="1:31" x14ac:dyDescent="0.3">
      <c r="A337" t="s">
        <v>75</v>
      </c>
      <c r="B337">
        <v>33</v>
      </c>
      <c r="C337" t="s">
        <v>24</v>
      </c>
      <c r="D337" s="4">
        <v>45518</v>
      </c>
      <c r="E337" s="6">
        <v>88.6</v>
      </c>
      <c r="F337" s="7">
        <f t="shared" si="1866"/>
        <v>25.067904028972386</v>
      </c>
      <c r="G337" s="9">
        <v>0.16900000000000001</v>
      </c>
      <c r="H337" s="6">
        <f t="shared" si="1867"/>
        <v>73.626599999999996</v>
      </c>
      <c r="I337" s="6">
        <f t="shared" si="1868"/>
        <v>22.714199999999998</v>
      </c>
      <c r="J337">
        <v>3.6</v>
      </c>
      <c r="K337" s="5">
        <v>7.4999999999999997E-2</v>
      </c>
      <c r="L337" s="17">
        <v>2129</v>
      </c>
      <c r="M337" s="5">
        <v>0.53400000000000003</v>
      </c>
      <c r="N337" s="6">
        <f t="shared" si="1869"/>
        <v>14.9734</v>
      </c>
      <c r="O337" s="21">
        <f t="shared" si="1870"/>
        <v>47.312399999999997</v>
      </c>
      <c r="P337" s="8">
        <f t="shared" si="1836"/>
        <v>46.755949999999999</v>
      </c>
      <c r="Q337" s="8">
        <f t="shared" si="1871"/>
        <v>65.885799999999989</v>
      </c>
      <c r="R337" s="6">
        <f t="shared" si="1872"/>
        <v>22.714199999999998</v>
      </c>
      <c r="S337" s="6">
        <f t="shared" si="1873"/>
        <v>6.6449999999999996</v>
      </c>
      <c r="T337" s="6">
        <f t="shared" si="1874"/>
        <v>-0.35585000000000022</v>
      </c>
      <c r="U337" s="6">
        <f t="shared" si="1875"/>
        <v>0.83740000000000059</v>
      </c>
      <c r="V337" s="6">
        <f t="shared" si="1876"/>
        <v>0.25</v>
      </c>
      <c r="W337" s="9">
        <f>Tabla1[[#This Row],[Protein]]/Tabla1[[#This Row],[Peso (Kg)]]</f>
        <v>0.25636794582392775</v>
      </c>
      <c r="X337" s="9">
        <f t="shared" si="1837"/>
        <v>0.26556986043812703</v>
      </c>
      <c r="Y337" s="6">
        <f t="shared" si="1877"/>
        <v>41.287599999999998</v>
      </c>
      <c r="Z337" s="6">
        <f t="shared" si="1838"/>
        <v>88.19285714285715</v>
      </c>
      <c r="AA337" s="6">
        <f t="shared" ref="AA337" si="1881">AVERAGE(N331:N337)</f>
        <v>14.389121428571428</v>
      </c>
      <c r="AB337" s="6">
        <f t="shared" ref="AB337" si="1882">AVERAGE(R331:R337)</f>
        <v>23.419214285714283</v>
      </c>
      <c r="AC337" s="6">
        <f t="shared" si="1880"/>
        <v>-0.23399606862262168</v>
      </c>
      <c r="AD337" s="42">
        <f>Tabla1[[#This Row],[Avg Agua)]]/Tabla1[[#This Row],[Avg Musculo]]</f>
        <v>1.9964781665848252</v>
      </c>
    </row>
    <row r="338" spans="1:31" x14ac:dyDescent="0.3">
      <c r="A338" t="s">
        <v>75</v>
      </c>
      <c r="B338">
        <v>33</v>
      </c>
      <c r="C338" t="s">
        <v>22</v>
      </c>
      <c r="D338" s="4">
        <v>45519</v>
      </c>
      <c r="E338" s="6">
        <v>88.3</v>
      </c>
      <c r="F338" s="7">
        <f t="shared" si="1866"/>
        <v>24.983023992756905</v>
      </c>
      <c r="G338" s="9">
        <v>0.16700000000000001</v>
      </c>
      <c r="H338" s="6">
        <f t="shared" si="1867"/>
        <v>73.553899999999999</v>
      </c>
      <c r="I338" s="6">
        <f t="shared" si="1868"/>
        <v>23.066599999999994</v>
      </c>
      <c r="J338">
        <v>3.6</v>
      </c>
      <c r="K338" s="5">
        <v>7.4999999999999997E-2</v>
      </c>
      <c r="L338" s="17">
        <v>2125</v>
      </c>
      <c r="M338" s="5">
        <v>0.53100000000000003</v>
      </c>
      <c r="N338" s="6">
        <f t="shared" si="1869"/>
        <v>14.7461</v>
      </c>
      <c r="O338" s="21">
        <f t="shared" si="1870"/>
        <v>46.887300000000003</v>
      </c>
      <c r="P338" s="8">
        <f t="shared" si="1836"/>
        <v>46.745849999999997</v>
      </c>
      <c r="Q338" s="8">
        <f t="shared" si="1871"/>
        <v>65.233400000000003</v>
      </c>
      <c r="R338" s="6">
        <f t="shared" si="1872"/>
        <v>23.066599999999994</v>
      </c>
      <c r="S338" s="6">
        <f t="shared" si="1873"/>
        <v>6.6224999999999996</v>
      </c>
      <c r="T338" s="6">
        <f t="shared" si="1874"/>
        <v>0.35239999999999583</v>
      </c>
      <c r="U338" s="6">
        <f t="shared" si="1875"/>
        <v>-0.22729999999999961</v>
      </c>
      <c r="V338" s="6">
        <f t="shared" si="1876"/>
        <v>-0.29999999999999716</v>
      </c>
      <c r="W338" s="9">
        <f>Tabla1[[#This Row],[Protein]]/Tabla1[[#This Row],[Peso (Kg)]]</f>
        <v>0.26122989807474511</v>
      </c>
      <c r="X338" s="9">
        <f t="shared" si="1837"/>
        <v>0.26540728218824378</v>
      </c>
      <c r="Y338" s="6">
        <f t="shared" si="1877"/>
        <v>41.412699999999994</v>
      </c>
      <c r="Z338" s="6">
        <f t="shared" si="1838"/>
        <v>88.149999999999991</v>
      </c>
      <c r="AA338" s="6">
        <f t="shared" ref="AA338" si="1883">AVERAGE(N332:N338)</f>
        <v>14.381964285714286</v>
      </c>
      <c r="AB338" s="6">
        <f t="shared" ref="AB338" si="1884">AVERAGE(R332:R338)</f>
        <v>23.393614285714278</v>
      </c>
      <c r="AC338" s="6">
        <f t="shared" si="1880"/>
        <v>-0.10931195080964295</v>
      </c>
      <c r="AD338" s="42">
        <f>Tabla1[[#This Row],[Avg Agua)]]/Tabla1[[#This Row],[Avg Musculo]]</f>
        <v>1.9982312022878044</v>
      </c>
    </row>
    <row r="339" spans="1:31" x14ac:dyDescent="0.3">
      <c r="A339" t="s">
        <v>75</v>
      </c>
      <c r="B339">
        <v>34</v>
      </c>
      <c r="C339" t="s">
        <v>23</v>
      </c>
      <c r="D339" s="4">
        <v>45524</v>
      </c>
      <c r="E339" s="6">
        <v>89</v>
      </c>
      <c r="F339" s="7">
        <f t="shared" si="1866"/>
        <v>25.18107741059303</v>
      </c>
      <c r="G339" s="9">
        <v>0.16800000000000001</v>
      </c>
      <c r="H339" s="6">
        <f t="shared" si="1867"/>
        <v>74.048000000000002</v>
      </c>
      <c r="I339" s="6">
        <f t="shared" si="1868"/>
        <v>23.189</v>
      </c>
      <c r="J339">
        <v>3.6</v>
      </c>
      <c r="K339" s="5">
        <v>7.4999999999999997E-2</v>
      </c>
      <c r="L339" s="17">
        <v>2142</v>
      </c>
      <c r="M339" s="5">
        <v>0.53100000000000003</v>
      </c>
      <c r="N339" s="6">
        <f t="shared" si="1869"/>
        <v>14.952000000000002</v>
      </c>
      <c r="O339" s="21">
        <f t="shared" si="1870"/>
        <v>47.259</v>
      </c>
      <c r="P339" s="8">
        <f t="shared" si="1836"/>
        <v>46.830585714285711</v>
      </c>
      <c r="Q339" s="8">
        <f t="shared" si="1871"/>
        <v>65.811000000000007</v>
      </c>
      <c r="R339" s="6">
        <f t="shared" si="1872"/>
        <v>23.189</v>
      </c>
      <c r="S339" s="6">
        <f t="shared" si="1873"/>
        <v>6.6749999999999998</v>
      </c>
      <c r="T339" s="6">
        <f t="shared" si="1874"/>
        <v>0.12240000000000606</v>
      </c>
      <c r="U339" s="6">
        <f t="shared" si="1875"/>
        <v>0.20590000000000153</v>
      </c>
      <c r="V339" s="6">
        <f t="shared" si="1876"/>
        <v>0.70000000000000284</v>
      </c>
      <c r="W339" s="9">
        <f>Tabla1[[#This Row],[Protein]]/Tabla1[[#This Row],[Peso (Kg)]]</f>
        <v>0.26055056179775282</v>
      </c>
      <c r="X339" s="9">
        <f t="shared" si="1837"/>
        <v>0.26472236204174221</v>
      </c>
      <c r="Y339" s="6">
        <f t="shared" si="1877"/>
        <v>41.741000000000007</v>
      </c>
      <c r="Z339" s="6">
        <f t="shared" si="1838"/>
        <v>88.214285714285708</v>
      </c>
      <c r="AA339" s="6">
        <f t="shared" ref="AA339" si="1885">AVERAGE(N333:N339)</f>
        <v>14.405414285714285</v>
      </c>
      <c r="AB339" s="6">
        <f t="shared" ref="AB339" si="1886">AVERAGE(R333:R339)</f>
        <v>23.349714285714281</v>
      </c>
      <c r="AC339" s="6">
        <f t="shared" si="1880"/>
        <v>-0.18765804831964994</v>
      </c>
      <c r="AD339" s="42">
        <f>Tabla1[[#This Row],[Avg Agua)]]/Tabla1[[#This Row],[Avg Musculo]]</f>
        <v>2.0056170769908475</v>
      </c>
      <c r="AE339" t="s">
        <v>101</v>
      </c>
    </row>
    <row r="340" spans="1:31" x14ac:dyDescent="0.3">
      <c r="A340" t="s">
        <v>75</v>
      </c>
      <c r="B340">
        <v>34</v>
      </c>
      <c r="C340" t="s">
        <v>24</v>
      </c>
      <c r="D340" s="4">
        <v>45525</v>
      </c>
      <c r="E340" s="6">
        <v>88.75</v>
      </c>
      <c r="F340" s="7">
        <f t="shared" si="1866"/>
        <v>25.11034404708013</v>
      </c>
      <c r="G340" s="9">
        <v>0.16700000000000001</v>
      </c>
      <c r="H340" s="6">
        <f t="shared" si="1867"/>
        <v>73.928749999999994</v>
      </c>
      <c r="I340" s="6">
        <f t="shared" si="1868"/>
        <v>23.113749999999989</v>
      </c>
      <c r="J340">
        <v>3.6</v>
      </c>
      <c r="K340" s="5">
        <v>7.4999999999999997E-2</v>
      </c>
      <c r="L340" s="17">
        <v>2137</v>
      </c>
      <c r="M340" s="5">
        <v>0.53200000000000003</v>
      </c>
      <c r="N340" s="6">
        <f t="shared" si="1869"/>
        <v>14.821250000000001</v>
      </c>
      <c r="O340" s="21">
        <f t="shared" si="1870"/>
        <v>47.215000000000003</v>
      </c>
      <c r="P340" s="8">
        <f t="shared" si="1836"/>
        <v>47.043128571428575</v>
      </c>
      <c r="Q340" s="8">
        <f t="shared" si="1871"/>
        <v>65.636250000000018</v>
      </c>
      <c r="R340" s="6">
        <f t="shared" si="1872"/>
        <v>23.113749999999989</v>
      </c>
      <c r="S340" s="6">
        <f t="shared" si="1873"/>
        <v>6.65625</v>
      </c>
      <c r="T340" s="6">
        <f t="shared" si="1874"/>
        <v>-7.5250000000011141E-2</v>
      </c>
      <c r="U340" s="6">
        <f t="shared" si="1875"/>
        <v>-0.13075000000000081</v>
      </c>
      <c r="V340" s="6">
        <f t="shared" si="1876"/>
        <v>-0.25</v>
      </c>
      <c r="W340" s="9">
        <f>Tabla1[[#This Row],[Protein]]/Tabla1[[#This Row],[Peso (Kg)]]</f>
        <v>0.26043661971830973</v>
      </c>
      <c r="X340" s="9">
        <f t="shared" si="1837"/>
        <v>0.26279843491735205</v>
      </c>
      <c r="Y340" s="6">
        <f t="shared" si="1877"/>
        <v>41.534999999999989</v>
      </c>
      <c r="Z340" s="6">
        <f t="shared" si="1838"/>
        <v>88.378571428571448</v>
      </c>
      <c r="AA340" s="6">
        <f t="shared" ref="AA340" si="1887">AVERAGE(N334:N340)</f>
        <v>14.482907142857142</v>
      </c>
      <c r="AB340" s="6">
        <f t="shared" ref="AB340" si="1888">AVERAGE(R334:R340)</f>
        <v>23.223964285714281</v>
      </c>
      <c r="AC340" s="6">
        <f t="shared" si="1880"/>
        <v>-0.5385504870050406</v>
      </c>
      <c r="AD340" s="42">
        <f>Tabla1[[#This Row],[Avg Agua)]]/Tabla1[[#This Row],[Avg Musculo]]</f>
        <v>2.0256286994191659</v>
      </c>
    </row>
    <row r="341" spans="1:31" x14ac:dyDescent="0.3">
      <c r="A341" t="s">
        <v>75</v>
      </c>
      <c r="B341">
        <v>34</v>
      </c>
      <c r="C341" t="s">
        <v>22</v>
      </c>
      <c r="D341" s="4">
        <v>45526</v>
      </c>
      <c r="E341" s="6">
        <v>89.1</v>
      </c>
      <c r="F341" s="7">
        <f t="shared" si="1866"/>
        <v>25.20937075599819</v>
      </c>
      <c r="G341" s="9">
        <v>0.16700000000000001</v>
      </c>
      <c r="H341" s="6">
        <f t="shared" si="1867"/>
        <v>74.220299999999995</v>
      </c>
      <c r="I341" s="6">
        <f t="shared" si="1868"/>
        <v>22.851799999999994</v>
      </c>
      <c r="J341">
        <v>3.7</v>
      </c>
      <c r="K341" s="5">
        <v>7.4999999999999997E-2</v>
      </c>
      <c r="L341" s="17">
        <v>2147</v>
      </c>
      <c r="M341" s="5">
        <v>0.53500000000000003</v>
      </c>
      <c r="N341" s="6">
        <f t="shared" si="1869"/>
        <v>14.8797</v>
      </c>
      <c r="O341" s="21">
        <f t="shared" si="1870"/>
        <v>47.668500000000002</v>
      </c>
      <c r="P341" s="8">
        <f t="shared" si="1836"/>
        <v>47.261649999999996</v>
      </c>
      <c r="Q341" s="8">
        <f t="shared" si="1871"/>
        <v>66.248199999999997</v>
      </c>
      <c r="R341" s="6">
        <f t="shared" si="1872"/>
        <v>22.851799999999994</v>
      </c>
      <c r="S341" s="6">
        <f t="shared" si="1873"/>
        <v>6.6824999999999992</v>
      </c>
      <c r="T341" s="6">
        <f t="shared" si="1874"/>
        <v>-0.26194999999999524</v>
      </c>
      <c r="U341" s="6">
        <f t="shared" si="1875"/>
        <v>5.8449999999998781E-2</v>
      </c>
      <c r="V341" s="6">
        <f t="shared" si="1876"/>
        <v>0.34999999999999432</v>
      </c>
      <c r="W341" s="9">
        <f>Tabla1[[#This Row],[Protein]]/Tabla1[[#This Row],[Peso (Kg)]]</f>
        <v>0.25647362514029176</v>
      </c>
      <c r="X341" s="9">
        <f t="shared" si="1837"/>
        <v>0.26059743284675158</v>
      </c>
      <c r="Y341" s="6">
        <f t="shared" si="1877"/>
        <v>41.4315</v>
      </c>
      <c r="Z341" s="6">
        <f t="shared" si="1838"/>
        <v>88.6</v>
      </c>
      <c r="AA341" s="6">
        <f t="shared" ref="AA341" si="1889">AVERAGE(N335:N341)</f>
        <v>14.607435714285714</v>
      </c>
      <c r="AB341" s="6">
        <f t="shared" ref="AB341" si="1890">AVERAGE(R335:R341)</f>
        <v>23.088057142857139</v>
      </c>
      <c r="AC341" s="6">
        <f t="shared" si="1880"/>
        <v>-0.58520216955699755</v>
      </c>
      <c r="AD341" s="42">
        <f>Tabla1[[#This Row],[Avg Agua)]]/Tabla1[[#This Row],[Avg Musculo]]</f>
        <v>2.0470171962746355</v>
      </c>
      <c r="AE341" t="s">
        <v>102</v>
      </c>
    </row>
    <row r="342" spans="1:31" x14ac:dyDescent="0.3">
      <c r="A342" t="s">
        <v>75</v>
      </c>
      <c r="B342">
        <v>34</v>
      </c>
      <c r="C342" t="s">
        <v>20</v>
      </c>
      <c r="D342" s="4">
        <v>45527</v>
      </c>
      <c r="E342" s="6">
        <v>88.75</v>
      </c>
      <c r="F342" s="7">
        <f t="shared" ref="F342:F347" si="1891">E342/(1.88^2)</f>
        <v>25.11034404708013</v>
      </c>
      <c r="G342" s="9">
        <v>0.161</v>
      </c>
      <c r="H342" s="6">
        <f t="shared" ref="H342:H347" si="1892">E342-N342</f>
        <v>74.461250000000007</v>
      </c>
      <c r="I342" s="6">
        <f t="shared" ref="I342:I347" si="1893">E342-N342-O342-J342</f>
        <v>23.546250000000004</v>
      </c>
      <c r="J342">
        <v>3.7</v>
      </c>
      <c r="K342" s="5">
        <v>7.4999999999999997E-2</v>
      </c>
      <c r="L342" s="17">
        <v>2152</v>
      </c>
      <c r="M342" s="5">
        <v>0.53200000000000003</v>
      </c>
      <c r="N342" s="6">
        <f t="shared" ref="N342:N347" si="1894">E342*G342</f>
        <v>14.28875</v>
      </c>
      <c r="O342" s="21">
        <f t="shared" ref="O342:O347" si="1895">M342*E342</f>
        <v>47.215000000000003</v>
      </c>
      <c r="P342" s="8">
        <f t="shared" si="1836"/>
        <v>47.285878571428576</v>
      </c>
      <c r="Q342" s="8">
        <f t="shared" ref="Q342:Q347" si="1896">E342-R342</f>
        <v>65.203749999999999</v>
      </c>
      <c r="R342" s="6">
        <f t="shared" ref="R342:R347" si="1897">I342</f>
        <v>23.546250000000004</v>
      </c>
      <c r="S342" s="6">
        <f t="shared" ref="S342:S347" si="1898">K342*E342</f>
        <v>6.65625</v>
      </c>
      <c r="T342" s="6">
        <f t="shared" ref="T342:T347" si="1899">I342-I341</f>
        <v>0.69445000000001045</v>
      </c>
      <c r="U342" s="6">
        <f t="shared" ref="U342:U347" si="1900">N342-N341</f>
        <v>-0.59094999999999942</v>
      </c>
      <c r="V342" s="6">
        <f t="shared" ref="V342:V347" si="1901">E342-E341</f>
        <v>-0.34999999999999432</v>
      </c>
      <c r="W342" s="9">
        <f>Tabla1[[#This Row],[Protein]]/Tabla1[[#This Row],[Peso (Kg)]]</f>
        <v>0.26530985915492961</v>
      </c>
      <c r="X342" s="9">
        <f t="shared" si="1837"/>
        <v>0.26021280270494734</v>
      </c>
      <c r="Y342" s="6">
        <f t="shared" ref="Y342:Y347" si="1902">R342+N342+J342</f>
        <v>41.535000000000011</v>
      </c>
      <c r="Z342" s="6">
        <f t="shared" si="1838"/>
        <v>88.69285714285715</v>
      </c>
      <c r="AA342" s="6">
        <f t="shared" ref="AA342" si="1903">AVERAGE(N336:N342)</f>
        <v>14.685314285714286</v>
      </c>
      <c r="AB342" s="6">
        <f t="shared" ref="AB342" si="1904">AVERAGE(R336:R342)</f>
        <v>23.078807142857141</v>
      </c>
      <c r="AC342" s="6">
        <f t="shared" ref="AC342:AC347" si="1905">100*(AB342/AB341-1)</f>
        <v>-4.0064003405582138E-2</v>
      </c>
      <c r="AD342" s="42">
        <f>Tabla1[[#This Row],[Avg Agua)]]/Tabla1[[#This Row],[Avg Musculo]]</f>
        <v>2.0488874610689525</v>
      </c>
    </row>
    <row r="343" spans="1:31" x14ac:dyDescent="0.3">
      <c r="A343" t="s">
        <v>75</v>
      </c>
      <c r="B343">
        <v>34</v>
      </c>
      <c r="C343" t="s">
        <v>25</v>
      </c>
      <c r="D343" s="4">
        <v>45528</v>
      </c>
      <c r="E343" s="6">
        <v>87.85</v>
      </c>
      <c r="F343" s="7">
        <f t="shared" si="1891"/>
        <v>24.855703938433681</v>
      </c>
      <c r="G343" s="9">
        <v>0.159</v>
      </c>
      <c r="H343" s="6">
        <f t="shared" si="1892"/>
        <v>73.88185</v>
      </c>
      <c r="I343" s="6">
        <f t="shared" si="1893"/>
        <v>23.809199999999997</v>
      </c>
      <c r="J343">
        <v>3.6</v>
      </c>
      <c r="K343" s="5">
        <v>7.0000000000000007E-2</v>
      </c>
      <c r="L343" s="17">
        <v>2131</v>
      </c>
      <c r="M343" s="5">
        <v>0.52900000000000003</v>
      </c>
      <c r="N343" s="6">
        <f t="shared" si="1894"/>
        <v>13.96815</v>
      </c>
      <c r="O343" s="21">
        <f t="shared" si="1895"/>
        <v>46.472650000000002</v>
      </c>
      <c r="P343" s="8">
        <f t="shared" si="1836"/>
        <v>47.147121428571431</v>
      </c>
      <c r="Q343" s="8">
        <f t="shared" si="1896"/>
        <v>64.04079999999999</v>
      </c>
      <c r="R343" s="6">
        <f t="shared" si="1897"/>
        <v>23.809199999999997</v>
      </c>
      <c r="S343" s="6">
        <f t="shared" si="1898"/>
        <v>6.1494999999999997</v>
      </c>
      <c r="T343" s="6">
        <f t="shared" si="1899"/>
        <v>0.26294999999999291</v>
      </c>
      <c r="U343" s="6">
        <f t="shared" si="1900"/>
        <v>-0.32060000000000066</v>
      </c>
      <c r="V343" s="6">
        <f t="shared" si="1901"/>
        <v>-0.90000000000000568</v>
      </c>
      <c r="W343" s="9">
        <f>Tabla1[[#This Row],[Protein]]/Tabla1[[#This Row],[Peso (Kg)]]</f>
        <v>0.27102105862265224</v>
      </c>
      <c r="X343" s="9">
        <f t="shared" si="1837"/>
        <v>0.2616270811903727</v>
      </c>
      <c r="Y343" s="6">
        <f t="shared" si="1902"/>
        <v>41.37735</v>
      </c>
      <c r="Z343" s="6">
        <f t="shared" si="1838"/>
        <v>88.621428571428581</v>
      </c>
      <c r="AA343" s="6">
        <f t="shared" ref="AA343" si="1906">AVERAGE(N337:N343)</f>
        <v>14.661335714285714</v>
      </c>
      <c r="AB343" s="6">
        <f t="shared" ref="AB343" si="1907">AVERAGE(R337:R343)</f>
        <v>23.1844</v>
      </c>
      <c r="AC343" s="6">
        <f t="shared" si="1905"/>
        <v>0.45753169342437339</v>
      </c>
      <c r="AD343" s="42">
        <f>Tabla1[[#This Row],[Avg Agua)]]/Tabla1[[#This Row],[Avg Musculo]]</f>
        <v>2.0335709109820153</v>
      </c>
    </row>
    <row r="344" spans="1:31" x14ac:dyDescent="0.3">
      <c r="A344" t="s">
        <v>75</v>
      </c>
      <c r="B344">
        <v>34</v>
      </c>
      <c r="C344" t="s">
        <v>26</v>
      </c>
      <c r="D344" s="4">
        <v>45529</v>
      </c>
      <c r="E344" s="6">
        <v>87.6</v>
      </c>
      <c r="F344" s="7">
        <f t="shared" si="1891"/>
        <v>24.784970574920777</v>
      </c>
      <c r="G344" s="9">
        <v>0.159</v>
      </c>
      <c r="H344" s="6">
        <f t="shared" si="1892"/>
        <v>73.671599999999998</v>
      </c>
      <c r="I344" s="6">
        <f t="shared" si="1893"/>
        <v>23.555999999999997</v>
      </c>
      <c r="J344">
        <v>3.6</v>
      </c>
      <c r="K344" s="5">
        <v>7.0000000000000007E-2</v>
      </c>
      <c r="L344" s="17">
        <v>2125</v>
      </c>
      <c r="M344" s="5">
        <v>0.53100000000000003</v>
      </c>
      <c r="N344" s="6">
        <f t="shared" si="1894"/>
        <v>13.9284</v>
      </c>
      <c r="O344" s="21">
        <f t="shared" si="1895"/>
        <v>46.515599999999999</v>
      </c>
      <c r="P344" s="8">
        <f t="shared" si="1836"/>
        <v>47.033292857142854</v>
      </c>
      <c r="Q344" s="8">
        <f t="shared" si="1896"/>
        <v>64.043999999999997</v>
      </c>
      <c r="R344" s="6">
        <f t="shared" si="1897"/>
        <v>23.555999999999997</v>
      </c>
      <c r="S344" s="6">
        <f t="shared" si="1898"/>
        <v>6.1320000000000006</v>
      </c>
      <c r="T344" s="6">
        <f t="shared" si="1899"/>
        <v>-0.25319999999999965</v>
      </c>
      <c r="U344" s="6">
        <f t="shared" si="1900"/>
        <v>-3.974999999999973E-2</v>
      </c>
      <c r="V344" s="6">
        <f t="shared" si="1901"/>
        <v>-0.25</v>
      </c>
      <c r="W344" s="9">
        <f>Tabla1[[#This Row],[Protein]]/Tabla1[[#This Row],[Peso (Kg)]]</f>
        <v>0.2689041095890411</v>
      </c>
      <c r="X344" s="9">
        <f t="shared" si="1837"/>
        <v>0.26341796172824605</v>
      </c>
      <c r="Y344" s="6">
        <f t="shared" si="1902"/>
        <v>41.084399999999995</v>
      </c>
      <c r="Z344" s="6">
        <f t="shared" si="1838"/>
        <v>88.478571428571428</v>
      </c>
      <c r="AA344" s="6">
        <f t="shared" ref="AA344" si="1908">AVERAGE(N338:N344)</f>
        <v>14.51205</v>
      </c>
      <c r="AB344" s="6">
        <f t="shared" ref="AB344" si="1909">AVERAGE(R338:R344)</f>
        <v>23.304657142857138</v>
      </c>
      <c r="AC344" s="6">
        <f t="shared" si="1905"/>
        <v>0.51869853374311159</v>
      </c>
      <c r="AD344" s="42">
        <f>Tabla1[[#This Row],[Avg Agua)]]/Tabla1[[#This Row],[Avg Musculo]]</f>
        <v>2.0181928688686384</v>
      </c>
    </row>
    <row r="345" spans="1:31" x14ac:dyDescent="0.3">
      <c r="A345" t="s">
        <v>75</v>
      </c>
      <c r="B345">
        <v>35</v>
      </c>
      <c r="C345" t="s">
        <v>26</v>
      </c>
      <c r="D345" s="4">
        <v>45536</v>
      </c>
      <c r="E345" s="6">
        <v>88.9</v>
      </c>
      <c r="F345" s="7">
        <f t="shared" si="1891"/>
        <v>25.15278406518787</v>
      </c>
      <c r="G345" s="9">
        <v>0.16700000000000001</v>
      </c>
      <c r="H345" s="6">
        <f t="shared" si="1892"/>
        <v>74.053700000000006</v>
      </c>
      <c r="I345" s="6">
        <f t="shared" si="1893"/>
        <v>23.425600000000003</v>
      </c>
      <c r="J345">
        <v>3.6</v>
      </c>
      <c r="K345" s="5">
        <v>7.4999999999999997E-2</v>
      </c>
      <c r="L345" s="17">
        <v>2140</v>
      </c>
      <c r="M345" s="5">
        <v>0.52900000000000003</v>
      </c>
      <c r="N345" s="6">
        <f t="shared" si="1894"/>
        <v>14.846300000000001</v>
      </c>
      <c r="O345" s="21">
        <f t="shared" si="1895"/>
        <v>47.028100000000002</v>
      </c>
      <c r="P345" s="8">
        <f t="shared" si="1836"/>
        <v>47.053407142857147</v>
      </c>
      <c r="Q345" s="8">
        <f t="shared" si="1896"/>
        <v>65.474400000000003</v>
      </c>
      <c r="R345" s="6">
        <f t="shared" si="1897"/>
        <v>23.425600000000003</v>
      </c>
      <c r="S345" s="6">
        <f t="shared" si="1898"/>
        <v>6.6675000000000004</v>
      </c>
      <c r="T345" s="6">
        <f t="shared" si="1899"/>
        <v>-0.13039999999999452</v>
      </c>
      <c r="U345" s="6">
        <f t="shared" si="1900"/>
        <v>0.91790000000000127</v>
      </c>
      <c r="V345" s="6">
        <f t="shared" si="1901"/>
        <v>1.3000000000000114</v>
      </c>
      <c r="W345" s="9">
        <f>Tabla1[[#This Row],[Protein]]/Tabla1[[#This Row],[Peso (Kg)]]</f>
        <v>0.26350506186726663</v>
      </c>
      <c r="X345" s="9">
        <f t="shared" si="1837"/>
        <v>0.2637429851271777</v>
      </c>
      <c r="Y345" s="6">
        <f t="shared" si="1902"/>
        <v>41.871900000000004</v>
      </c>
      <c r="Z345" s="6">
        <f t="shared" si="1838"/>
        <v>88.564285714285717</v>
      </c>
      <c r="AA345" s="6">
        <f t="shared" ref="AA345" si="1910">AVERAGE(N339:N345)</f>
        <v>14.526364285714285</v>
      </c>
      <c r="AB345" s="6">
        <f t="shared" ref="AB345" si="1911">AVERAGE(R339:R345)</f>
        <v>23.355942857142853</v>
      </c>
      <c r="AC345" s="6">
        <f t="shared" si="1905"/>
        <v>0.22006637545162189</v>
      </c>
      <c r="AD345" s="42">
        <f>Tabla1[[#This Row],[Avg Agua)]]/Tabla1[[#This Row],[Avg Musculo]]</f>
        <v>2.0146224637840726</v>
      </c>
      <c r="AE345" t="s">
        <v>100</v>
      </c>
    </row>
    <row r="346" spans="1:31" x14ac:dyDescent="0.3">
      <c r="A346" t="s">
        <v>75</v>
      </c>
      <c r="B346">
        <v>36</v>
      </c>
      <c r="C346" t="s">
        <v>21</v>
      </c>
      <c r="D346" s="4">
        <v>45537</v>
      </c>
      <c r="E346" s="6">
        <v>88.8</v>
      </c>
      <c r="F346" s="7">
        <f t="shared" si="1891"/>
        <v>25.12449071978271</v>
      </c>
      <c r="G346" s="9">
        <v>0.16200000000000001</v>
      </c>
      <c r="H346" s="6">
        <f t="shared" si="1892"/>
        <v>74.414400000000001</v>
      </c>
      <c r="I346" s="6">
        <f t="shared" si="1893"/>
        <v>23.206399999999999</v>
      </c>
      <c r="J346">
        <v>3.7</v>
      </c>
      <c r="K346" s="5">
        <v>7.4999999999999997E-2</v>
      </c>
      <c r="L346" s="17">
        <v>2150</v>
      </c>
      <c r="M346" s="5">
        <v>0.53500000000000003</v>
      </c>
      <c r="N346" s="6">
        <f t="shared" si="1894"/>
        <v>14.3856</v>
      </c>
      <c r="O346" s="21">
        <f t="shared" si="1895"/>
        <v>47.508000000000003</v>
      </c>
      <c r="P346" s="8">
        <f t="shared" si="1836"/>
        <v>47.088978571428569</v>
      </c>
      <c r="Q346" s="8">
        <f t="shared" si="1896"/>
        <v>65.593599999999995</v>
      </c>
      <c r="R346" s="6">
        <f t="shared" si="1897"/>
        <v>23.206399999999999</v>
      </c>
      <c r="S346" s="6">
        <f t="shared" si="1898"/>
        <v>6.6599999999999993</v>
      </c>
      <c r="T346" s="6">
        <f t="shared" si="1899"/>
        <v>-0.21920000000000428</v>
      </c>
      <c r="U346" s="6">
        <f t="shared" si="1900"/>
        <v>-0.460700000000001</v>
      </c>
      <c r="V346" s="6">
        <f t="shared" si="1901"/>
        <v>-0.10000000000000853</v>
      </c>
      <c r="W346" s="9">
        <f>Tabla1[[#This Row],[Protein]]/Tabla1[[#This Row],[Peso (Kg)]]</f>
        <v>0.26133333333333331</v>
      </c>
      <c r="X346" s="9">
        <f t="shared" si="1837"/>
        <v>0.26385480963226066</v>
      </c>
      <c r="Y346" s="6">
        <f t="shared" si="1902"/>
        <v>41.292000000000002</v>
      </c>
      <c r="Z346" s="6">
        <f t="shared" si="1838"/>
        <v>88.535714285714292</v>
      </c>
      <c r="AA346" s="6">
        <f t="shared" ref="AA346" si="1912">AVERAGE(N340:N346)</f>
        <v>14.445449999999999</v>
      </c>
      <c r="AB346" s="6">
        <f t="shared" ref="AB346" si="1913">AVERAGE(R340:R346)</f>
        <v>23.358428571428568</v>
      </c>
      <c r="AC346" s="6">
        <f t="shared" si="1905"/>
        <v>1.0642748618283626E-2</v>
      </c>
      <c r="AD346" s="42">
        <f>Tabla1[[#This Row],[Avg Agua)]]/Tabla1[[#This Row],[Avg Musculo]]</f>
        <v>2.0159309273495651</v>
      </c>
    </row>
    <row r="347" spans="1:31" x14ac:dyDescent="0.3">
      <c r="A347" t="s">
        <v>75</v>
      </c>
      <c r="B347">
        <v>36</v>
      </c>
      <c r="C347" t="s">
        <v>23</v>
      </c>
      <c r="D347" s="4">
        <v>45538</v>
      </c>
      <c r="E347" s="6">
        <v>87.85</v>
      </c>
      <c r="F347" s="7">
        <f t="shared" si="1891"/>
        <v>24.855703938433681</v>
      </c>
      <c r="G347" s="9">
        <v>0.16800000000000001</v>
      </c>
      <c r="H347" s="6">
        <f t="shared" si="1892"/>
        <v>73.091199999999986</v>
      </c>
      <c r="I347" s="6">
        <f t="shared" si="1893"/>
        <v>22.842849999999984</v>
      </c>
      <c r="J347">
        <v>3.6</v>
      </c>
      <c r="K347" s="5">
        <v>7.4999999999999997E-2</v>
      </c>
      <c r="L347" s="17">
        <v>2110</v>
      </c>
      <c r="M347" s="5">
        <v>0.53100000000000003</v>
      </c>
      <c r="N347" s="6">
        <f t="shared" si="1894"/>
        <v>14.758800000000001</v>
      </c>
      <c r="O347" s="21">
        <f t="shared" si="1895"/>
        <v>46.648350000000001</v>
      </c>
      <c r="P347" s="8">
        <f t="shared" si="1836"/>
        <v>47.008028571428568</v>
      </c>
      <c r="Q347" s="8">
        <f t="shared" si="1896"/>
        <v>65.00715000000001</v>
      </c>
      <c r="R347" s="6">
        <f t="shared" si="1897"/>
        <v>22.842849999999984</v>
      </c>
      <c r="S347" s="6">
        <f t="shared" si="1898"/>
        <v>6.5887499999999992</v>
      </c>
      <c r="T347" s="6">
        <f t="shared" si="1899"/>
        <v>-0.36355000000001425</v>
      </c>
      <c r="U347" s="6">
        <f t="shared" si="1900"/>
        <v>0.37320000000000064</v>
      </c>
      <c r="V347" s="6">
        <f t="shared" si="1901"/>
        <v>-0.95000000000000284</v>
      </c>
      <c r="W347" s="9">
        <f>Tabla1[[#This Row],[Protein]]/Tabla1[[#This Row],[Peso (Kg)]]</f>
        <v>0.26002105862265207</v>
      </c>
      <c r="X347" s="9">
        <f t="shared" si="1837"/>
        <v>0.26379544376145242</v>
      </c>
      <c r="Y347" s="6">
        <f t="shared" si="1902"/>
        <v>41.201649999999987</v>
      </c>
      <c r="Z347" s="6">
        <f t="shared" si="1838"/>
        <v>88.407142857142844</v>
      </c>
      <c r="AA347" s="6">
        <f t="shared" ref="AA347" si="1914">AVERAGE(N341:N347)</f>
        <v>14.436528571428571</v>
      </c>
      <c r="AB347" s="6">
        <f t="shared" ref="AB347" si="1915">AVERAGE(R341:R347)</f>
        <v>23.319728571428566</v>
      </c>
      <c r="AC347" s="6">
        <f t="shared" si="1905"/>
        <v>-0.16567895345210859</v>
      </c>
      <c r="AD347" s="42">
        <f>Tabla1[[#This Row],[Avg Agua)]]/Tabla1[[#This Row],[Avg Musculo]]</f>
        <v>2.0158051337279721</v>
      </c>
    </row>
    <row r="348" spans="1:31" x14ac:dyDescent="0.3">
      <c r="A348" t="s">
        <v>75</v>
      </c>
      <c r="B348">
        <v>36</v>
      </c>
      <c r="C348" t="s">
        <v>24</v>
      </c>
      <c r="D348" s="4">
        <v>45539</v>
      </c>
      <c r="E348" s="6">
        <v>87.45</v>
      </c>
      <c r="F348" s="7">
        <f t="shared" ref="F348:F353" si="1916">E348/(1.88^2)</f>
        <v>24.74253055681304</v>
      </c>
      <c r="G348" s="9">
        <v>0.158</v>
      </c>
      <c r="H348" s="6">
        <f t="shared" ref="H348:H353" si="1917">E348-N348</f>
        <v>73.632900000000006</v>
      </c>
      <c r="I348" s="6">
        <f t="shared" ref="I348:I353" si="1918">E348-N348-O348-J348</f>
        <v>23.334600000000002</v>
      </c>
      <c r="J348">
        <v>3.6</v>
      </c>
      <c r="K348" s="5">
        <v>7.0000000000000007E-2</v>
      </c>
      <c r="L348" s="17">
        <v>2125</v>
      </c>
      <c r="M348" s="5">
        <v>0.53400000000000003</v>
      </c>
      <c r="N348" s="6">
        <f t="shared" ref="N348:N353" si="1919">E348*G348</f>
        <v>13.8171</v>
      </c>
      <c r="O348" s="21">
        <f t="shared" ref="O348:O353" si="1920">M348*E348</f>
        <v>46.698300000000003</v>
      </c>
      <c r="P348" s="8">
        <f t="shared" si="1836"/>
        <v>46.869428571428571</v>
      </c>
      <c r="Q348" s="8">
        <f t="shared" ref="Q348:Q353" si="1921">E348-R348</f>
        <v>64.115399999999994</v>
      </c>
      <c r="R348" s="6">
        <f t="shared" ref="R348:R353" si="1922">I348</f>
        <v>23.334600000000002</v>
      </c>
      <c r="S348" s="6">
        <f t="shared" ref="S348:S353" si="1923">K348*E348</f>
        <v>6.1215000000000011</v>
      </c>
      <c r="T348" s="6">
        <f t="shared" ref="T348:T353" si="1924">I348-I347</f>
        <v>0.49175000000001745</v>
      </c>
      <c r="U348" s="6">
        <f t="shared" ref="U348:U353" si="1925">N348-N347</f>
        <v>-0.94170000000000087</v>
      </c>
      <c r="V348" s="6">
        <f t="shared" ref="V348:V353" si="1926">E348-E347</f>
        <v>-0.39999999999999147</v>
      </c>
      <c r="W348" s="9">
        <f>Tabla1[[#This Row],[Protein]]/Tabla1[[#This Row],[Peso (Kg)]]</f>
        <v>0.2668336192109777</v>
      </c>
      <c r="X348" s="9">
        <f t="shared" si="1837"/>
        <v>0.26527544291440758</v>
      </c>
      <c r="Y348" s="6">
        <f t="shared" ref="Y348:Y353" si="1927">R348+N348+J348</f>
        <v>40.751700000000007</v>
      </c>
      <c r="Z348" s="6">
        <f t="shared" si="1838"/>
        <v>88.171428571428578</v>
      </c>
      <c r="AA348" s="6">
        <f t="shared" ref="AA348" si="1928">AVERAGE(N342:N348)</f>
        <v>14.28472857142857</v>
      </c>
      <c r="AB348" s="6">
        <f t="shared" ref="AB348" si="1929">AVERAGE(R342:R348)</f>
        <v>23.3887</v>
      </c>
      <c r="AC348" s="6">
        <f t="shared" ref="AC348:AC353" si="1930">100*(AB348/AB347-1)</f>
        <v>0.29576428542112954</v>
      </c>
      <c r="AD348" s="42">
        <f>Tabla1[[#This Row],[Avg Agua)]]/Tabla1[[#This Row],[Avg Musculo]]</f>
        <v>2.0039347450447682</v>
      </c>
    </row>
    <row r="349" spans="1:31" x14ac:dyDescent="0.3">
      <c r="A349" t="s">
        <v>75</v>
      </c>
      <c r="B349">
        <v>36</v>
      </c>
      <c r="C349" t="s">
        <v>22</v>
      </c>
      <c r="D349" s="4">
        <v>45540</v>
      </c>
      <c r="E349" s="6">
        <v>87.3</v>
      </c>
      <c r="F349" s="7">
        <f t="shared" si="1916"/>
        <v>24.700090538705297</v>
      </c>
      <c r="G349" s="9">
        <v>0.16200000000000001</v>
      </c>
      <c r="H349" s="6">
        <f t="shared" si="1917"/>
        <v>73.157399999999996</v>
      </c>
      <c r="I349" s="6">
        <f t="shared" si="1918"/>
        <v>23.288399999999996</v>
      </c>
      <c r="J349">
        <v>3.6</v>
      </c>
      <c r="K349" s="5">
        <v>7.4999999999999997E-2</v>
      </c>
      <c r="L349" s="17">
        <v>2110</v>
      </c>
      <c r="M349" s="5">
        <v>0.53</v>
      </c>
      <c r="N349" s="6">
        <f t="shared" si="1919"/>
        <v>14.1426</v>
      </c>
      <c r="O349" s="21">
        <f t="shared" si="1920"/>
        <v>46.268999999999998</v>
      </c>
      <c r="P349" s="8">
        <f t="shared" si="1836"/>
        <v>46.734285714285711</v>
      </c>
      <c r="Q349" s="8">
        <f t="shared" si="1921"/>
        <v>64.011600000000001</v>
      </c>
      <c r="R349" s="6">
        <f t="shared" si="1922"/>
        <v>23.288399999999996</v>
      </c>
      <c r="S349" s="6">
        <f t="shared" si="1923"/>
        <v>6.5474999999999994</v>
      </c>
      <c r="T349" s="6">
        <f t="shared" si="1924"/>
        <v>-4.6200000000006014E-2</v>
      </c>
      <c r="U349" s="6">
        <f t="shared" si="1925"/>
        <v>0.3254999999999999</v>
      </c>
      <c r="V349" s="6">
        <f t="shared" si="1926"/>
        <v>-0.15000000000000568</v>
      </c>
      <c r="W349" s="9">
        <f>Tabla1[[#This Row],[Protein]]/Tabla1[[#This Row],[Peso (Kg)]]</f>
        <v>0.26676288659793812</v>
      </c>
      <c r="X349" s="9">
        <f t="shared" si="1837"/>
        <v>0.26548301826340875</v>
      </c>
      <c r="Y349" s="6">
        <f t="shared" si="1927"/>
        <v>41.030999999999999</v>
      </c>
      <c r="Z349" s="6">
        <f t="shared" si="1838"/>
        <v>87.964285714285708</v>
      </c>
      <c r="AA349" s="6">
        <f t="shared" ref="AA349" si="1931">AVERAGE(N343:N349)</f>
        <v>14.26385</v>
      </c>
      <c r="AB349" s="6">
        <f t="shared" ref="AB349" si="1932">AVERAGE(R343:R349)</f>
        <v>23.351864285714282</v>
      </c>
      <c r="AC349" s="6">
        <f t="shared" si="1930"/>
        <v>-0.15749363703719821</v>
      </c>
      <c r="AD349" s="42">
        <f>Tabla1[[#This Row],[Avg Agua)]]/Tabla1[[#This Row],[Avg Musculo]]</f>
        <v>2.0013085526056198</v>
      </c>
    </row>
    <row r="350" spans="1:31" x14ac:dyDescent="0.3">
      <c r="A350" t="s">
        <v>75</v>
      </c>
      <c r="B350">
        <v>36</v>
      </c>
      <c r="C350" t="s">
        <v>20</v>
      </c>
      <c r="D350" s="4">
        <v>45541</v>
      </c>
      <c r="E350" s="6">
        <v>86.8</v>
      </c>
      <c r="F350" s="7">
        <f t="shared" si="1916"/>
        <v>24.558623811679492</v>
      </c>
      <c r="G350" s="9">
        <v>0.157</v>
      </c>
      <c r="H350" s="6">
        <f t="shared" si="1917"/>
        <v>73.172399999999996</v>
      </c>
      <c r="I350" s="6">
        <f t="shared" si="1918"/>
        <v>23.134399999999992</v>
      </c>
      <c r="J350">
        <v>3.6</v>
      </c>
      <c r="K350" s="5">
        <v>7.0000000000000007E-2</v>
      </c>
      <c r="L350" s="17">
        <v>2110</v>
      </c>
      <c r="M350" s="5">
        <v>0.53500000000000003</v>
      </c>
      <c r="N350" s="6">
        <f t="shared" si="1919"/>
        <v>13.627599999999999</v>
      </c>
      <c r="O350" s="21">
        <f t="shared" si="1920"/>
        <v>46.438000000000002</v>
      </c>
      <c r="P350" s="8">
        <f t="shared" si="1836"/>
        <v>46.72933571428571</v>
      </c>
      <c r="Q350" s="8">
        <f t="shared" si="1921"/>
        <v>63.665600000000005</v>
      </c>
      <c r="R350" s="6">
        <f t="shared" si="1922"/>
        <v>23.134399999999992</v>
      </c>
      <c r="S350" s="6">
        <f t="shared" si="1923"/>
        <v>6.0760000000000005</v>
      </c>
      <c r="T350" s="6">
        <f t="shared" si="1924"/>
        <v>-0.15400000000000347</v>
      </c>
      <c r="U350" s="6">
        <f t="shared" si="1925"/>
        <v>-0.51500000000000057</v>
      </c>
      <c r="V350" s="6">
        <f t="shared" si="1926"/>
        <v>-0.5</v>
      </c>
      <c r="W350" s="9">
        <f>Tabla1[[#This Row],[Protein]]/Tabla1[[#This Row],[Peso (Kg)]]</f>
        <v>0.26652534562211971</v>
      </c>
      <c r="X350" s="9">
        <f t="shared" si="1837"/>
        <v>0.26484077354904695</v>
      </c>
      <c r="Y350" s="6">
        <f t="shared" si="1927"/>
        <v>40.361999999999995</v>
      </c>
      <c r="Z350" s="6">
        <f t="shared" si="1838"/>
        <v>87.814285714285703</v>
      </c>
      <c r="AA350" s="6">
        <f t="shared" ref="AA350" si="1933">AVERAGE(N344:N350)</f>
        <v>14.215200000000001</v>
      </c>
      <c r="AB350" s="6">
        <f t="shared" ref="AB350" si="1934">AVERAGE(R344:R350)</f>
        <v>23.255464285714282</v>
      </c>
      <c r="AC350" s="6">
        <f t="shared" si="1930"/>
        <v>-0.41281500620475864</v>
      </c>
      <c r="AD350" s="42">
        <f>Tabla1[[#This Row],[Avg Agua)]]/Tabla1[[#This Row],[Avg Musculo]]</f>
        <v>2.0093916483529988</v>
      </c>
    </row>
    <row r="351" spans="1:31" x14ac:dyDescent="0.3">
      <c r="A351" t="s">
        <v>75</v>
      </c>
      <c r="B351">
        <v>36</v>
      </c>
      <c r="C351" t="s">
        <v>25</v>
      </c>
      <c r="D351" s="4">
        <v>45542</v>
      </c>
      <c r="E351" s="6">
        <v>86.8</v>
      </c>
      <c r="F351" s="7">
        <f t="shared" si="1916"/>
        <v>24.558623811679492</v>
      </c>
      <c r="G351" s="9">
        <v>0.16300000000000001</v>
      </c>
      <c r="H351" s="6">
        <f t="shared" si="1917"/>
        <v>72.651600000000002</v>
      </c>
      <c r="I351" s="6">
        <f t="shared" si="1918"/>
        <v>22.960799999999999</v>
      </c>
      <c r="J351">
        <v>3.6</v>
      </c>
      <c r="K351" s="5">
        <v>7.4999999999999997E-2</v>
      </c>
      <c r="L351" s="17">
        <v>2095</v>
      </c>
      <c r="M351" s="5">
        <v>0.53100000000000003</v>
      </c>
      <c r="N351" s="6">
        <f t="shared" si="1919"/>
        <v>14.148400000000001</v>
      </c>
      <c r="O351" s="21">
        <f t="shared" si="1920"/>
        <v>46.090800000000002</v>
      </c>
      <c r="P351" s="8">
        <f t="shared" si="1836"/>
        <v>46.66865</v>
      </c>
      <c r="Q351" s="8">
        <f t="shared" si="1921"/>
        <v>63.839199999999998</v>
      </c>
      <c r="R351" s="6">
        <f t="shared" si="1922"/>
        <v>22.960799999999999</v>
      </c>
      <c r="S351" s="6">
        <f t="shared" si="1923"/>
        <v>6.51</v>
      </c>
      <c r="T351" s="6">
        <f t="shared" si="1924"/>
        <v>-0.17359999999999332</v>
      </c>
      <c r="U351" s="6">
        <f t="shared" si="1925"/>
        <v>0.52080000000000126</v>
      </c>
      <c r="V351" s="6">
        <f t="shared" si="1926"/>
        <v>0</v>
      </c>
      <c r="W351" s="9">
        <f>Tabla1[[#This Row],[Protein]]/Tabla1[[#This Row],[Peso (Kg)]]</f>
        <v>0.26452534562211982</v>
      </c>
      <c r="X351" s="9">
        <f t="shared" si="1837"/>
        <v>0.26421523583948675</v>
      </c>
      <c r="Y351" s="6">
        <f t="shared" si="1927"/>
        <v>40.709200000000003</v>
      </c>
      <c r="Z351" s="6">
        <f t="shared" si="1838"/>
        <v>87.699999999999974</v>
      </c>
      <c r="AA351" s="6">
        <f t="shared" ref="AA351" si="1935">AVERAGE(N345:N351)</f>
        <v>14.246628571428571</v>
      </c>
      <c r="AB351" s="6">
        <f t="shared" ref="AB351" si="1936">AVERAGE(R345:R351)</f>
        <v>23.170435714285713</v>
      </c>
      <c r="AC351" s="6">
        <f t="shared" si="1930"/>
        <v>-0.36562835462632393</v>
      </c>
      <c r="AD351" s="42">
        <f>Tabla1[[#This Row],[Avg Agua)]]/Tabla1[[#This Row],[Avg Musculo]]</f>
        <v>2.0141464137951659</v>
      </c>
    </row>
    <row r="352" spans="1:31" x14ac:dyDescent="0.3">
      <c r="A352" t="s">
        <v>75</v>
      </c>
      <c r="B352">
        <v>36</v>
      </c>
      <c r="C352" t="s">
        <v>26</v>
      </c>
      <c r="D352" s="4">
        <v>45543</v>
      </c>
      <c r="E352" s="6">
        <v>86.75</v>
      </c>
      <c r="F352" s="7">
        <f t="shared" si="1916"/>
        <v>24.544477138976916</v>
      </c>
      <c r="G352" s="9">
        <v>0.159</v>
      </c>
      <c r="H352" s="6">
        <f t="shared" si="1917"/>
        <v>72.95675</v>
      </c>
      <c r="I352" s="6">
        <f t="shared" si="1918"/>
        <v>23.465999999999994</v>
      </c>
      <c r="J352">
        <v>3.6</v>
      </c>
      <c r="K352" s="5">
        <v>7.0000000000000007E-2</v>
      </c>
      <c r="L352" s="17">
        <v>2105</v>
      </c>
      <c r="M352" s="5">
        <v>0.52900000000000003</v>
      </c>
      <c r="N352" s="6">
        <f t="shared" si="1919"/>
        <v>13.79325</v>
      </c>
      <c r="O352" s="21">
        <f t="shared" si="1920"/>
        <v>45.890750000000004</v>
      </c>
      <c r="P352" s="8">
        <f t="shared" si="1836"/>
        <v>46.506171428571427</v>
      </c>
      <c r="Q352" s="8">
        <f t="shared" si="1921"/>
        <v>63.284000000000006</v>
      </c>
      <c r="R352" s="6">
        <f t="shared" si="1922"/>
        <v>23.465999999999994</v>
      </c>
      <c r="S352" s="6">
        <f t="shared" si="1923"/>
        <v>6.0725000000000007</v>
      </c>
      <c r="T352" s="6">
        <f t="shared" si="1924"/>
        <v>0.50519999999999499</v>
      </c>
      <c r="U352" s="6">
        <f t="shared" si="1925"/>
        <v>-0.35515000000000008</v>
      </c>
      <c r="V352" s="6">
        <f t="shared" si="1926"/>
        <v>-4.9999999999997158E-2</v>
      </c>
      <c r="W352" s="9">
        <f>Tabla1[[#This Row],[Protein]]/Tabla1[[#This Row],[Peso (Kg)]]</f>
        <v>0.27050144092219014</v>
      </c>
      <c r="X352" s="9">
        <f t="shared" si="1837"/>
        <v>0.26521471856161866</v>
      </c>
      <c r="Y352" s="6">
        <f t="shared" si="1927"/>
        <v>40.859249999999996</v>
      </c>
      <c r="Z352" s="6">
        <f t="shared" si="1838"/>
        <v>87.392857142857139</v>
      </c>
      <c r="AA352" s="6">
        <f t="shared" ref="AA352" si="1937">AVERAGE(N346:N352)</f>
        <v>14.096192857142857</v>
      </c>
      <c r="AB352" s="6">
        <f t="shared" ref="AB352" si="1938">AVERAGE(R346:R352)</f>
        <v>23.176207142857145</v>
      </c>
      <c r="AC352" s="6">
        <f t="shared" si="1930"/>
        <v>2.4908588869876347E-2</v>
      </c>
      <c r="AD352" s="42">
        <f>Tabla1[[#This Row],[Avg Agua)]]/Tabla1[[#This Row],[Avg Musculo]]</f>
        <v>2.0066342668543382</v>
      </c>
    </row>
    <row r="353" spans="1:31" x14ac:dyDescent="0.3">
      <c r="A353" t="s">
        <v>75</v>
      </c>
      <c r="B353">
        <v>37</v>
      </c>
      <c r="C353" t="s">
        <v>21</v>
      </c>
      <c r="D353" s="4">
        <v>45544</v>
      </c>
      <c r="E353" s="6">
        <v>86.45</v>
      </c>
      <c r="F353" s="7">
        <f t="shared" si="1916"/>
        <v>24.459597102761432</v>
      </c>
      <c r="G353" s="9">
        <v>0.154</v>
      </c>
      <c r="H353" s="6">
        <f t="shared" si="1917"/>
        <v>73.136700000000005</v>
      </c>
      <c r="I353" s="6">
        <f t="shared" si="1918"/>
        <v>22.940149999999996</v>
      </c>
      <c r="J353">
        <v>3.6</v>
      </c>
      <c r="K353" s="5">
        <v>7.0000000000000007E-2</v>
      </c>
      <c r="L353" s="17">
        <v>2106</v>
      </c>
      <c r="M353" s="5">
        <v>0.53900000000000003</v>
      </c>
      <c r="N353" s="6">
        <f t="shared" si="1919"/>
        <v>13.3133</v>
      </c>
      <c r="O353" s="21">
        <f t="shared" si="1920"/>
        <v>46.596550000000008</v>
      </c>
      <c r="P353" s="8">
        <f t="shared" si="1836"/>
        <v>46.375964285714289</v>
      </c>
      <c r="Q353" s="8">
        <f t="shared" si="1921"/>
        <v>63.509850000000007</v>
      </c>
      <c r="R353" s="6">
        <f t="shared" si="1922"/>
        <v>22.940149999999996</v>
      </c>
      <c r="S353" s="6">
        <f t="shared" si="1923"/>
        <v>6.0515000000000008</v>
      </c>
      <c r="T353" s="6">
        <f t="shared" si="1924"/>
        <v>-0.52584999999999837</v>
      </c>
      <c r="U353" s="6">
        <f t="shared" si="1925"/>
        <v>-0.47995000000000054</v>
      </c>
      <c r="V353" s="6">
        <f t="shared" si="1926"/>
        <v>-0.29999999999999716</v>
      </c>
      <c r="W353" s="9">
        <f>Tabla1[[#This Row],[Protein]]/Tabla1[[#This Row],[Peso (Kg)]]</f>
        <v>0.26535743204164253</v>
      </c>
      <c r="X353" s="9">
        <f t="shared" si="1837"/>
        <v>0.26578958980566292</v>
      </c>
      <c r="Y353" s="6">
        <f t="shared" si="1927"/>
        <v>39.853449999999995</v>
      </c>
      <c r="Z353" s="6">
        <f t="shared" si="1838"/>
        <v>87.057142857142864</v>
      </c>
      <c r="AA353" s="6">
        <f t="shared" ref="AA353" si="1939">AVERAGE(N347:N353)</f>
        <v>13.943007142857143</v>
      </c>
      <c r="AB353" s="6">
        <f t="shared" ref="AB353" si="1940">AVERAGE(R347:R353)</f>
        <v>23.138171428571422</v>
      </c>
      <c r="AC353" s="6">
        <f t="shared" si="1930"/>
        <v>-0.16411535352299778</v>
      </c>
      <c r="AD353" s="42">
        <f>Tabla1[[#This Row],[Avg Agua)]]/Tabla1[[#This Row],[Avg Musculo]]</f>
        <v>2.0043055013607702</v>
      </c>
    </row>
    <row r="354" spans="1:31" x14ac:dyDescent="0.3">
      <c r="A354" t="s">
        <v>75</v>
      </c>
      <c r="B354">
        <v>37</v>
      </c>
      <c r="C354" t="s">
        <v>23</v>
      </c>
      <c r="D354" s="4">
        <v>45545</v>
      </c>
      <c r="E354" s="6">
        <v>86.55</v>
      </c>
      <c r="F354" s="7">
        <f t="shared" ref="F354:F359" si="1941">E354/(1.88^2)</f>
        <v>24.487890448166592</v>
      </c>
      <c r="G354" s="9">
        <v>0.161</v>
      </c>
      <c r="H354" s="6">
        <f t="shared" ref="H354:H359" si="1942">E354-N354</f>
        <v>72.615449999999996</v>
      </c>
      <c r="I354" s="6">
        <f t="shared" ref="I354:I359" si="1943">E354-N354-O354-J354</f>
        <v>22.19189999999999</v>
      </c>
      <c r="J354">
        <v>3.6</v>
      </c>
      <c r="K354" s="5">
        <v>7.0000000000000007E-2</v>
      </c>
      <c r="L354" s="17">
        <v>2092</v>
      </c>
      <c r="M354" s="5">
        <v>0.54100000000000004</v>
      </c>
      <c r="N354" s="6">
        <f t="shared" ref="N354:N359" si="1944">E354*G354</f>
        <v>13.93455</v>
      </c>
      <c r="O354" s="21">
        <f t="shared" ref="O354:O359" si="1945">M354*E354</f>
        <v>46.823550000000004</v>
      </c>
      <c r="P354" s="8">
        <f t="shared" si="1836"/>
        <v>46.40099285714286</v>
      </c>
      <c r="Q354" s="8">
        <f t="shared" ref="Q354:Q359" si="1946">E354-R354</f>
        <v>64.358100000000007</v>
      </c>
      <c r="R354" s="6">
        <f t="shared" ref="R354:R359" si="1947">I354</f>
        <v>22.19189999999999</v>
      </c>
      <c r="S354" s="6">
        <f t="shared" ref="S354:S359" si="1948">K354*E354</f>
        <v>6.0585000000000004</v>
      </c>
      <c r="T354" s="6">
        <f t="shared" ref="T354:T359" si="1949">I354-I353</f>
        <v>-0.74825000000000585</v>
      </c>
      <c r="U354" s="6">
        <f t="shared" ref="U354:U359" si="1950">N354-N353</f>
        <v>0.62124999999999986</v>
      </c>
      <c r="V354" s="6">
        <f t="shared" ref="V354:V359" si="1951">E354-E353</f>
        <v>9.9999999999994316E-2</v>
      </c>
      <c r="W354" s="9">
        <f>Tabla1[[#This Row],[Protein]]/Tabla1[[#This Row],[Peso (Kg)]]</f>
        <v>0.2564055459272096</v>
      </c>
      <c r="X354" s="9">
        <f t="shared" si="1837"/>
        <v>0.26527308799202826</v>
      </c>
      <c r="Y354" s="6">
        <f t="shared" ref="Y354:Y359" si="1952">R354+N354+J354</f>
        <v>39.726449999999993</v>
      </c>
      <c r="Z354" s="6">
        <f t="shared" si="1838"/>
        <v>86.871428571428581</v>
      </c>
      <c r="AA354" s="6">
        <f t="shared" ref="AA354" si="1953">AVERAGE(N348:N354)</f>
        <v>13.825257142857144</v>
      </c>
      <c r="AB354" s="6">
        <f t="shared" ref="AB354" si="1954">AVERAGE(R348:R354)</f>
        <v>23.045178571428568</v>
      </c>
      <c r="AC354" s="6">
        <f t="shared" ref="AC354:AC359" si="1955">100*(AB354/AB353-1)</f>
        <v>-0.40190236047791261</v>
      </c>
      <c r="AD354" s="42">
        <f>Tabla1[[#This Row],[Avg Agua)]]/Tabla1[[#This Row],[Avg Musculo]]</f>
        <v>2.0134794231827238</v>
      </c>
    </row>
    <row r="355" spans="1:31" x14ac:dyDescent="0.3">
      <c r="A355" t="s">
        <v>75</v>
      </c>
      <c r="B355">
        <v>37</v>
      </c>
      <c r="C355" t="s">
        <v>24</v>
      </c>
      <c r="D355" s="4">
        <v>45546</v>
      </c>
      <c r="E355" s="6">
        <v>86.75</v>
      </c>
      <c r="F355" s="7">
        <f t="shared" si="1941"/>
        <v>24.544477138976916</v>
      </c>
      <c r="G355" s="9">
        <v>0.156</v>
      </c>
      <c r="H355" s="6">
        <f t="shared" si="1942"/>
        <v>73.216999999999999</v>
      </c>
      <c r="I355" s="6">
        <f t="shared" si="1943"/>
        <v>22.598499999999994</v>
      </c>
      <c r="J355">
        <v>3.6</v>
      </c>
      <c r="K355" s="5">
        <v>7.0000000000000007E-2</v>
      </c>
      <c r="L355" s="17">
        <v>2111</v>
      </c>
      <c r="M355" s="5">
        <v>0.54200000000000004</v>
      </c>
      <c r="N355" s="6">
        <f t="shared" si="1944"/>
        <v>13.532999999999999</v>
      </c>
      <c r="O355" s="21">
        <f t="shared" si="1945"/>
        <v>47.018500000000003</v>
      </c>
      <c r="P355" s="8">
        <f t="shared" si="1836"/>
        <v>46.446735714285715</v>
      </c>
      <c r="Q355" s="8">
        <f t="shared" si="1946"/>
        <v>64.151499999999999</v>
      </c>
      <c r="R355" s="6">
        <f t="shared" si="1947"/>
        <v>22.598499999999994</v>
      </c>
      <c r="S355" s="6">
        <f t="shared" si="1948"/>
        <v>6.0725000000000007</v>
      </c>
      <c r="T355" s="6">
        <f t="shared" si="1949"/>
        <v>0.40660000000000451</v>
      </c>
      <c r="U355" s="6">
        <f t="shared" si="1950"/>
        <v>-0.4015500000000003</v>
      </c>
      <c r="V355" s="6">
        <f t="shared" si="1951"/>
        <v>0.20000000000000284</v>
      </c>
      <c r="W355" s="9">
        <f>Tabla1[[#This Row],[Protein]]/Tabla1[[#This Row],[Peso (Kg)]]</f>
        <v>0.26050144092219013</v>
      </c>
      <c r="X355" s="9">
        <f t="shared" si="1837"/>
        <v>0.26436849109363003</v>
      </c>
      <c r="Y355" s="6">
        <f t="shared" si="1952"/>
        <v>39.731499999999997</v>
      </c>
      <c r="Z355" s="6">
        <f t="shared" si="1838"/>
        <v>86.771428571428572</v>
      </c>
      <c r="AA355" s="6">
        <f t="shared" ref="AA355" si="1956">AVERAGE(N349:N355)</f>
        <v>13.784671428571428</v>
      </c>
      <c r="AB355" s="6">
        <f t="shared" ref="AB355" si="1957">AVERAGE(R349:R355)</f>
        <v>22.94002142857142</v>
      </c>
      <c r="AC355" s="6">
        <f t="shared" si="1955"/>
        <v>-0.45630864838479557</v>
      </c>
      <c r="AD355" s="42">
        <f>Tabla1[[#This Row],[Avg Agua)]]/Tabla1[[#This Row],[Avg Musculo]]</f>
        <v>2.0247032400953677</v>
      </c>
    </row>
    <row r="356" spans="1:31" x14ac:dyDescent="0.3">
      <c r="A356" t="s">
        <v>75</v>
      </c>
      <c r="B356">
        <v>37</v>
      </c>
      <c r="C356" t="s">
        <v>22</v>
      </c>
      <c r="D356" s="4">
        <v>45547</v>
      </c>
      <c r="E356" s="6">
        <v>86.75</v>
      </c>
      <c r="F356" s="7">
        <f t="shared" si="1941"/>
        <v>24.544477138976916</v>
      </c>
      <c r="G356" s="9">
        <v>0.16400000000000001</v>
      </c>
      <c r="H356" s="6">
        <f t="shared" si="1942"/>
        <v>72.522999999999996</v>
      </c>
      <c r="I356" s="6">
        <f t="shared" si="1943"/>
        <v>21.991249999999994</v>
      </c>
      <c r="J356">
        <v>3.6</v>
      </c>
      <c r="K356" s="5">
        <v>7.4999999999999997E-2</v>
      </c>
      <c r="L356" s="17">
        <v>2093</v>
      </c>
      <c r="M356" s="5">
        <v>0.54100000000000004</v>
      </c>
      <c r="N356" s="6">
        <f t="shared" si="1944"/>
        <v>14.227</v>
      </c>
      <c r="O356" s="21">
        <f t="shared" si="1945"/>
        <v>46.931750000000001</v>
      </c>
      <c r="P356" s="8">
        <f t="shared" si="1836"/>
        <v>46.541414285714289</v>
      </c>
      <c r="Q356" s="8">
        <f t="shared" si="1946"/>
        <v>64.758750000000006</v>
      </c>
      <c r="R356" s="6">
        <f t="shared" si="1947"/>
        <v>21.991249999999994</v>
      </c>
      <c r="S356" s="6">
        <f t="shared" si="1948"/>
        <v>6.5062499999999996</v>
      </c>
      <c r="T356" s="6">
        <f t="shared" si="1949"/>
        <v>-0.60725000000000051</v>
      </c>
      <c r="U356" s="6">
        <f t="shared" si="1950"/>
        <v>0.69400000000000084</v>
      </c>
      <c r="V356" s="6">
        <f t="shared" si="1951"/>
        <v>0</v>
      </c>
      <c r="W356" s="9">
        <f>Tabla1[[#This Row],[Protein]]/Tabla1[[#This Row],[Peso (Kg)]]</f>
        <v>0.25350144092219012</v>
      </c>
      <c r="X356" s="9">
        <f t="shared" si="1837"/>
        <v>0.26247399885423744</v>
      </c>
      <c r="Y356" s="6">
        <f t="shared" si="1952"/>
        <v>39.818249999999999</v>
      </c>
      <c r="Z356" s="6">
        <f t="shared" si="1838"/>
        <v>86.69285714285715</v>
      </c>
      <c r="AA356" s="6">
        <f t="shared" ref="AA356" si="1958">AVERAGE(N350:N356)</f>
        <v>13.796728571428572</v>
      </c>
      <c r="AB356" s="6">
        <f t="shared" ref="AB356" si="1959">AVERAGE(R350:R356)</f>
        <v>22.754714285714279</v>
      </c>
      <c r="AC356" s="6">
        <f t="shared" si="1955"/>
        <v>-0.80778975483581927</v>
      </c>
      <c r="AD356" s="42">
        <f>Tabla1[[#This Row],[Avg Agua)]]/Tabla1[[#This Row],[Avg Musculo]]</f>
        <v>2.0453526113897911</v>
      </c>
    </row>
    <row r="357" spans="1:31" x14ac:dyDescent="0.3">
      <c r="A357" t="s">
        <v>75</v>
      </c>
      <c r="B357">
        <v>37</v>
      </c>
      <c r="C357" t="s">
        <v>20</v>
      </c>
      <c r="D357" s="4">
        <v>45548</v>
      </c>
      <c r="E357" s="6">
        <v>86.45</v>
      </c>
      <c r="F357" s="7">
        <f t="shared" si="1941"/>
        <v>24.459597102761432</v>
      </c>
      <c r="G357" s="9">
        <v>0.155</v>
      </c>
      <c r="H357" s="6">
        <f t="shared" si="1942"/>
        <v>73.050250000000005</v>
      </c>
      <c r="I357" s="6">
        <f t="shared" si="1943"/>
        <v>23.1995</v>
      </c>
      <c r="J357">
        <v>3.6</v>
      </c>
      <c r="K357" s="5">
        <v>7.0000000000000007E-2</v>
      </c>
      <c r="L357" s="17">
        <v>2104</v>
      </c>
      <c r="M357" s="5">
        <v>0.53500000000000003</v>
      </c>
      <c r="N357" s="6">
        <f t="shared" si="1944"/>
        <v>13.399750000000001</v>
      </c>
      <c r="O357" s="21">
        <f t="shared" si="1945"/>
        <v>46.250750000000004</v>
      </c>
      <c r="P357" s="8">
        <f t="shared" si="1836"/>
        <v>46.514664285714289</v>
      </c>
      <c r="Q357" s="8">
        <f t="shared" si="1946"/>
        <v>63.250500000000002</v>
      </c>
      <c r="R357" s="6">
        <f t="shared" si="1947"/>
        <v>23.1995</v>
      </c>
      <c r="S357" s="6">
        <f t="shared" si="1948"/>
        <v>6.0515000000000008</v>
      </c>
      <c r="T357" s="6">
        <f t="shared" si="1949"/>
        <v>1.2082500000000067</v>
      </c>
      <c r="U357" s="6">
        <f t="shared" si="1950"/>
        <v>-0.82724999999999937</v>
      </c>
      <c r="V357" s="6">
        <f t="shared" si="1951"/>
        <v>-0.29999999999999716</v>
      </c>
      <c r="W357" s="9">
        <f>Tabla1[[#This Row],[Protein]]/Tabla1[[#This Row],[Peso (Kg)]]</f>
        <v>0.26835743204164259</v>
      </c>
      <c r="X357" s="9">
        <f t="shared" si="1837"/>
        <v>0.26273572548559787</v>
      </c>
      <c r="Y357" s="6">
        <f t="shared" si="1952"/>
        <v>40.199249999999999</v>
      </c>
      <c r="Z357" s="6">
        <f t="shared" si="1838"/>
        <v>86.642857142857139</v>
      </c>
      <c r="AA357" s="6">
        <f t="shared" ref="AA357" si="1960">AVERAGE(N351:N357)</f>
        <v>13.764178571428571</v>
      </c>
      <c r="AB357" s="6">
        <f t="shared" ref="AB357" si="1961">AVERAGE(R351:R357)</f>
        <v>22.764014285714286</v>
      </c>
      <c r="AC357" s="6">
        <f t="shared" si="1955"/>
        <v>4.0870651607538555E-2</v>
      </c>
      <c r="AD357" s="42">
        <f>Tabla1[[#This Row],[Avg Agua)]]/Tabla1[[#This Row],[Avg Musculo]]</f>
        <v>2.0433419036687606</v>
      </c>
    </row>
    <row r="358" spans="1:31" x14ac:dyDescent="0.3">
      <c r="A358" t="s">
        <v>75</v>
      </c>
      <c r="B358">
        <v>37</v>
      </c>
      <c r="C358" t="s">
        <v>25</v>
      </c>
      <c r="D358" s="4">
        <v>45549</v>
      </c>
      <c r="E358" s="6">
        <v>85.85</v>
      </c>
      <c r="F358" s="7">
        <f t="shared" si="1941"/>
        <v>24.289837030330467</v>
      </c>
      <c r="G358" s="9">
        <v>0.152</v>
      </c>
      <c r="H358" s="6">
        <f t="shared" si="1942"/>
        <v>72.800799999999995</v>
      </c>
      <c r="I358" s="6">
        <f t="shared" si="1943"/>
        <v>23.356899999999996</v>
      </c>
      <c r="J358">
        <v>3.6</v>
      </c>
      <c r="K358" s="5">
        <v>7.0000000000000007E-2</v>
      </c>
      <c r="L358" s="17">
        <v>2094</v>
      </c>
      <c r="M358" s="5">
        <v>0.53400000000000003</v>
      </c>
      <c r="N358" s="6">
        <f t="shared" si="1944"/>
        <v>13.049199999999999</v>
      </c>
      <c r="O358" s="21">
        <f t="shared" si="1945"/>
        <v>45.843899999999998</v>
      </c>
      <c r="P358" s="8">
        <f t="shared" si="1836"/>
        <v>46.479392857142862</v>
      </c>
      <c r="Q358" s="8">
        <f t="shared" si="1946"/>
        <v>62.493099999999998</v>
      </c>
      <c r="R358" s="6">
        <f t="shared" si="1947"/>
        <v>23.356899999999996</v>
      </c>
      <c r="S358" s="6">
        <f t="shared" si="1948"/>
        <v>6.0095000000000001</v>
      </c>
      <c r="T358" s="6">
        <f t="shared" si="1949"/>
        <v>0.15739999999999554</v>
      </c>
      <c r="U358" s="6">
        <f t="shared" si="1950"/>
        <v>-0.35055000000000192</v>
      </c>
      <c r="V358" s="6">
        <f t="shared" si="1951"/>
        <v>-0.60000000000000853</v>
      </c>
      <c r="W358" s="9">
        <f>Tabla1[[#This Row],[Protein]]/Tabla1[[#This Row],[Peso (Kg)]]</f>
        <v>0.27206639487478157</v>
      </c>
      <c r="X358" s="9">
        <f t="shared" si="1837"/>
        <v>0.26381301823597808</v>
      </c>
      <c r="Y358" s="6">
        <f t="shared" si="1952"/>
        <v>40.006099999999996</v>
      </c>
      <c r="Z358" s="6">
        <f t="shared" si="1838"/>
        <v>86.507142857142867</v>
      </c>
      <c r="AA358" s="6">
        <f t="shared" ref="AA358" si="1962">AVERAGE(N352:N358)</f>
        <v>13.607150000000001</v>
      </c>
      <c r="AB358" s="6">
        <f t="shared" ref="AB358" si="1963">AVERAGE(R352:R358)</f>
        <v>22.820599999999995</v>
      </c>
      <c r="AC358" s="6">
        <f t="shared" si="1955"/>
        <v>0.24857528894286496</v>
      </c>
      <c r="AD358" s="42">
        <f>Tabla1[[#This Row],[Avg Agua)]]/Tabla1[[#This Row],[Avg Musculo]]</f>
        <v>2.0367296590423947</v>
      </c>
      <c r="AE358" t="s">
        <v>104</v>
      </c>
    </row>
    <row r="359" spans="1:31" x14ac:dyDescent="0.3">
      <c r="A359" t="s">
        <v>75</v>
      </c>
      <c r="B359">
        <v>37</v>
      </c>
      <c r="C359" t="s">
        <v>26</v>
      </c>
      <c r="D359" s="4">
        <v>45550</v>
      </c>
      <c r="E359" s="6">
        <v>86.7</v>
      </c>
      <c r="F359" s="7">
        <f t="shared" si="1941"/>
        <v>24.530330466274336</v>
      </c>
      <c r="G359" s="9">
        <v>0.161</v>
      </c>
      <c r="H359" s="6">
        <f t="shared" si="1942"/>
        <v>72.741299999999995</v>
      </c>
      <c r="I359" s="6">
        <f t="shared" si="1943"/>
        <v>22.236599999999989</v>
      </c>
      <c r="J359">
        <v>3.6</v>
      </c>
      <c r="K359" s="5">
        <v>7.0000000000000007E-2</v>
      </c>
      <c r="L359" s="17">
        <v>2098</v>
      </c>
      <c r="M359" s="5">
        <v>0.54100000000000004</v>
      </c>
      <c r="N359" s="6">
        <f t="shared" si="1944"/>
        <v>13.9587</v>
      </c>
      <c r="O359" s="21">
        <f t="shared" si="1945"/>
        <v>46.904700000000005</v>
      </c>
      <c r="P359" s="8">
        <f t="shared" si="1836"/>
        <v>46.62424285714286</v>
      </c>
      <c r="Q359" s="8">
        <f t="shared" si="1946"/>
        <v>64.463400000000007</v>
      </c>
      <c r="R359" s="6">
        <f t="shared" si="1947"/>
        <v>22.236599999999989</v>
      </c>
      <c r="S359" s="6">
        <f t="shared" si="1948"/>
        <v>6.0690000000000008</v>
      </c>
      <c r="T359" s="6">
        <f t="shared" si="1949"/>
        <v>-1.1203000000000074</v>
      </c>
      <c r="U359" s="6">
        <f t="shared" si="1950"/>
        <v>0.90950000000000131</v>
      </c>
      <c r="V359" s="6">
        <f t="shared" si="1951"/>
        <v>0.85000000000000853</v>
      </c>
      <c r="W359" s="9">
        <f>Tabla1[[#This Row],[Protein]]/Tabla1[[#This Row],[Peso (Kg)]]</f>
        <v>0.25647750865051888</v>
      </c>
      <c r="X359" s="9">
        <f t="shared" si="1837"/>
        <v>0.26180959934002507</v>
      </c>
      <c r="Y359" s="6">
        <f t="shared" si="1952"/>
        <v>39.79529999999999</v>
      </c>
      <c r="Z359" s="6">
        <f t="shared" si="1838"/>
        <v>86.5</v>
      </c>
      <c r="AA359" s="6">
        <f t="shared" ref="AA359" si="1964">AVERAGE(N353:N359)</f>
        <v>13.630785714285716</v>
      </c>
      <c r="AB359" s="6">
        <f t="shared" ref="AB359" si="1965">AVERAGE(R353:R359)</f>
        <v>22.64497142857142</v>
      </c>
      <c r="AC359" s="6">
        <f t="shared" si="1955"/>
        <v>-0.76960540664389177</v>
      </c>
      <c r="AD359" s="42">
        <f>Tabla1[[#This Row],[Avg Agua)]]/Tabla1[[#This Row],[Avg Musculo]]</f>
        <v>2.058922573791218</v>
      </c>
      <c r="AE359" t="s">
        <v>105</v>
      </c>
    </row>
    <row r="360" spans="1:31" x14ac:dyDescent="0.3">
      <c r="A360" t="s">
        <v>75</v>
      </c>
      <c r="B360">
        <v>38</v>
      </c>
      <c r="C360" t="s">
        <v>24</v>
      </c>
      <c r="D360" s="4">
        <v>45553</v>
      </c>
      <c r="E360" s="6">
        <v>86.25</v>
      </c>
      <c r="F360" s="7">
        <f t="shared" ref="F360:F365" si="1966">E360/(1.88^2)</f>
        <v>24.403010411951112</v>
      </c>
      <c r="G360" s="9">
        <v>0.157</v>
      </c>
      <c r="H360" s="6">
        <f t="shared" ref="H360:H365" si="1967">E360-N360</f>
        <v>72.708749999999995</v>
      </c>
      <c r="I360" s="6">
        <f t="shared" ref="I360:I365" si="1968">E360-N360-O360-J360</f>
        <v>22.533749999999991</v>
      </c>
      <c r="J360">
        <v>3.6</v>
      </c>
      <c r="K360" s="5">
        <v>7.0000000000000007E-2</v>
      </c>
      <c r="L360" s="17">
        <v>2094</v>
      </c>
      <c r="M360" s="5">
        <v>0.54</v>
      </c>
      <c r="N360" s="6">
        <f t="shared" ref="N360:N365" si="1969">E360*G360</f>
        <v>13.54125</v>
      </c>
      <c r="O360" s="21">
        <f t="shared" ref="O360:O365" si="1970">M360*E360</f>
        <v>46.575000000000003</v>
      </c>
      <c r="P360" s="8">
        <f t="shared" si="1836"/>
        <v>46.621164285714279</v>
      </c>
      <c r="Q360" s="8">
        <f t="shared" ref="Q360:Q365" si="1971">E360-R360</f>
        <v>63.716250000000009</v>
      </c>
      <c r="R360" s="6">
        <f t="shared" ref="R360:R365" si="1972">I360</f>
        <v>22.533749999999991</v>
      </c>
      <c r="S360" s="6">
        <f t="shared" ref="S360:S365" si="1973">K360*E360</f>
        <v>6.0375000000000005</v>
      </c>
      <c r="T360" s="6">
        <f t="shared" ref="T360:T365" si="1974">I360-I359</f>
        <v>0.29715000000000202</v>
      </c>
      <c r="U360" s="6">
        <f t="shared" ref="U360:U365" si="1975">N360-N359</f>
        <v>-0.41745000000000054</v>
      </c>
      <c r="V360" s="6">
        <f t="shared" ref="V360:V365" si="1976">E360-E359</f>
        <v>-0.45000000000000284</v>
      </c>
      <c r="W360" s="9">
        <f>Tabla1[[#This Row],[Protein]]/Tabla1[[#This Row],[Peso (Kg)]]</f>
        <v>0.26126086956521727</v>
      </c>
      <c r="X360" s="9">
        <f t="shared" si="1837"/>
        <v>0.26122437612910721</v>
      </c>
      <c r="Y360" s="6">
        <f t="shared" ref="Y360:Y365" si="1977">R360+N360+J360</f>
        <v>39.67499999999999</v>
      </c>
      <c r="Z360" s="6">
        <f t="shared" si="1838"/>
        <v>86.471428571428575</v>
      </c>
      <c r="AA360" s="6">
        <f t="shared" ref="AA360" si="1978">AVERAGE(N354:N360)</f>
        <v>13.663350000000003</v>
      </c>
      <c r="AB360" s="6">
        <f t="shared" ref="AB360" si="1979">AVERAGE(R354:R360)</f>
        <v>22.586914285714279</v>
      </c>
      <c r="AC360" s="6">
        <f t="shared" ref="AC360:AC365" si="1980">100*(AB360/AB359-1)</f>
        <v>-0.25637984591974083</v>
      </c>
      <c r="AD360" s="42">
        <f>Tabla1[[#This Row],[Avg Agua)]]/Tabla1[[#This Row],[Avg Musculo]]</f>
        <v>2.0640785056328448</v>
      </c>
      <c r="AE360" t="s">
        <v>106</v>
      </c>
    </row>
    <row r="361" spans="1:31" x14ac:dyDescent="0.3">
      <c r="A361" t="s">
        <v>75</v>
      </c>
      <c r="B361">
        <v>38</v>
      </c>
      <c r="C361" t="s">
        <v>22</v>
      </c>
      <c r="D361" s="4">
        <v>45554</v>
      </c>
      <c r="E361" s="6">
        <v>86.3</v>
      </c>
      <c r="F361" s="7">
        <f t="shared" si="1966"/>
        <v>24.417157084653692</v>
      </c>
      <c r="G361" s="9">
        <v>0.154</v>
      </c>
      <c r="H361" s="6">
        <f t="shared" si="1967"/>
        <v>73.009799999999998</v>
      </c>
      <c r="I361" s="6">
        <f t="shared" si="1968"/>
        <v>23.584499999999998</v>
      </c>
      <c r="J361">
        <v>3.6</v>
      </c>
      <c r="K361" s="5">
        <v>7.0000000000000007E-2</v>
      </c>
      <c r="L361" s="17">
        <v>2104</v>
      </c>
      <c r="M361" s="5">
        <v>0.53100000000000003</v>
      </c>
      <c r="N361" s="6">
        <f t="shared" si="1969"/>
        <v>13.290199999999999</v>
      </c>
      <c r="O361" s="21">
        <f t="shared" si="1970"/>
        <v>45.825299999999999</v>
      </c>
      <c r="P361" s="8">
        <f t="shared" si="1836"/>
        <v>46.478557142857149</v>
      </c>
      <c r="Q361" s="8">
        <f t="shared" si="1971"/>
        <v>62.715499999999999</v>
      </c>
      <c r="R361" s="6">
        <f t="shared" si="1972"/>
        <v>23.584499999999998</v>
      </c>
      <c r="S361" s="6">
        <f t="shared" si="1973"/>
        <v>6.0410000000000004</v>
      </c>
      <c r="T361" s="6">
        <f t="shared" si="1974"/>
        <v>1.0507500000000078</v>
      </c>
      <c r="U361" s="6">
        <f t="shared" si="1975"/>
        <v>-0.25105000000000111</v>
      </c>
      <c r="V361" s="6">
        <f t="shared" si="1976"/>
        <v>4.9999999999997158E-2</v>
      </c>
      <c r="W361" s="9">
        <f>Tabla1[[#This Row],[Protein]]/Tabla1[[#This Row],[Peso (Kg)]]</f>
        <v>0.27328505214368481</v>
      </c>
      <c r="X361" s="9">
        <f t="shared" si="1837"/>
        <v>0.26363573416003222</v>
      </c>
      <c r="Y361" s="6">
        <f t="shared" si="1977"/>
        <v>40.474699999999999</v>
      </c>
      <c r="Z361" s="6">
        <f t="shared" si="1838"/>
        <v>86.435714285714283</v>
      </c>
      <c r="AA361" s="6">
        <f t="shared" ref="AA361" si="1981">AVERAGE(N355:N361)</f>
        <v>13.571300000000003</v>
      </c>
      <c r="AB361" s="6">
        <f t="shared" ref="AB361" si="1982">AVERAGE(R355:R361)</f>
        <v>22.785857142857136</v>
      </c>
      <c r="AC361" s="6">
        <f t="shared" si="1980"/>
        <v>0.88078811751937103</v>
      </c>
      <c r="AD361" s="42">
        <f>Tabla1[[#This Row],[Avg Agua)]]/Tabla1[[#This Row],[Avg Musculo]]</f>
        <v>2.0397984965611511</v>
      </c>
      <c r="AE361" t="s">
        <v>107</v>
      </c>
    </row>
    <row r="362" spans="1:31" x14ac:dyDescent="0.3">
      <c r="A362" t="s">
        <v>75</v>
      </c>
      <c r="B362">
        <v>38</v>
      </c>
      <c r="C362" t="s">
        <v>26</v>
      </c>
      <c r="D362" s="4">
        <v>45557</v>
      </c>
      <c r="E362" s="6">
        <v>86.85</v>
      </c>
      <c r="F362" s="7">
        <f t="shared" si="1966"/>
        <v>24.572770484382072</v>
      </c>
      <c r="G362" s="9">
        <v>0.16300000000000001</v>
      </c>
      <c r="H362" s="6">
        <f t="shared" si="1967"/>
        <v>72.693449999999999</v>
      </c>
      <c r="I362" s="6">
        <f t="shared" si="1968"/>
        <v>21.760199999999998</v>
      </c>
      <c r="J362">
        <v>3.6</v>
      </c>
      <c r="K362" s="5">
        <v>7.4999999999999997E-2</v>
      </c>
      <c r="L362" s="17">
        <v>2096</v>
      </c>
      <c r="M362" s="5">
        <v>0.54500000000000004</v>
      </c>
      <c r="N362" s="6">
        <f t="shared" si="1969"/>
        <v>14.156549999999999</v>
      </c>
      <c r="O362" s="21">
        <f t="shared" si="1970"/>
        <v>47.33325</v>
      </c>
      <c r="P362" s="8">
        <f t="shared" si="1836"/>
        <v>46.523521428571435</v>
      </c>
      <c r="Q362" s="8">
        <f t="shared" si="1971"/>
        <v>65.089799999999997</v>
      </c>
      <c r="R362" s="6">
        <f t="shared" si="1972"/>
        <v>21.760199999999998</v>
      </c>
      <c r="S362" s="6">
        <f t="shared" si="1973"/>
        <v>6.513749999999999</v>
      </c>
      <c r="T362" s="6">
        <f t="shared" si="1974"/>
        <v>-1.8243000000000009</v>
      </c>
      <c r="U362" s="6">
        <f t="shared" si="1975"/>
        <v>0.86635000000000062</v>
      </c>
      <c r="V362" s="6">
        <f t="shared" si="1976"/>
        <v>0.54999999999999716</v>
      </c>
      <c r="W362" s="9">
        <f>Tabla1[[#This Row],[Protein]]/Tabla1[[#This Row],[Peso (Kg)]]</f>
        <v>0.25054922279792746</v>
      </c>
      <c r="X362" s="9">
        <f t="shared" si="1837"/>
        <v>0.26221398871370899</v>
      </c>
      <c r="Y362" s="6">
        <f t="shared" si="1977"/>
        <v>39.516749999999995</v>
      </c>
      <c r="Z362" s="6">
        <f t="shared" si="1838"/>
        <v>86.45</v>
      </c>
      <c r="AA362" s="6">
        <f t="shared" ref="AA362" si="1983">AVERAGE(N356:N362)</f>
        <v>13.66037857142857</v>
      </c>
      <c r="AB362" s="6">
        <f t="shared" ref="AB362" si="1984">AVERAGE(R356:R362)</f>
        <v>22.666099999999997</v>
      </c>
      <c r="AC362" s="6">
        <f t="shared" si="1980"/>
        <v>-0.52557664215270306</v>
      </c>
      <c r="AD362" s="42">
        <f>Tabla1[[#This Row],[Avg Agua)]]/Tabla1[[#This Row],[Avg Musculo]]</f>
        <v>2.0525596123096359</v>
      </c>
      <c r="AE362" t="s">
        <v>108</v>
      </c>
    </row>
    <row r="363" spans="1:31" x14ac:dyDescent="0.3">
      <c r="A363" t="s">
        <v>109</v>
      </c>
      <c r="B363">
        <v>39</v>
      </c>
      <c r="C363" t="s">
        <v>21</v>
      </c>
      <c r="D363" s="4">
        <v>45558</v>
      </c>
      <c r="E363" s="6">
        <v>86.95</v>
      </c>
      <c r="F363" s="7">
        <f t="shared" si="1966"/>
        <v>24.601063829787236</v>
      </c>
      <c r="G363" s="9">
        <v>0.158</v>
      </c>
      <c r="H363" s="6">
        <f t="shared" si="1967"/>
        <v>73.2119</v>
      </c>
      <c r="I363" s="6">
        <f t="shared" si="1968"/>
        <v>22.398049999999991</v>
      </c>
      <c r="J363">
        <v>3.6</v>
      </c>
      <c r="K363" s="5">
        <v>7.0000000000000007E-2</v>
      </c>
      <c r="L363" s="17">
        <v>2111</v>
      </c>
      <c r="M363" s="5">
        <v>0.54300000000000004</v>
      </c>
      <c r="N363" s="6">
        <f t="shared" si="1969"/>
        <v>13.738100000000001</v>
      </c>
      <c r="O363" s="21">
        <f t="shared" si="1970"/>
        <v>47.213850000000008</v>
      </c>
      <c r="P363" s="8">
        <f t="shared" si="1836"/>
        <v>46.563821428571423</v>
      </c>
      <c r="Q363" s="8">
        <f t="shared" si="1971"/>
        <v>64.551950000000005</v>
      </c>
      <c r="R363" s="6">
        <f t="shared" si="1972"/>
        <v>22.398049999999991</v>
      </c>
      <c r="S363" s="6">
        <f t="shared" si="1973"/>
        <v>6.0865000000000009</v>
      </c>
      <c r="T363" s="6">
        <f t="shared" si="1974"/>
        <v>0.63784999999999314</v>
      </c>
      <c r="U363" s="6">
        <f t="shared" si="1975"/>
        <v>-0.41844999999999821</v>
      </c>
      <c r="V363" s="6">
        <f t="shared" si="1976"/>
        <v>0.10000000000000853</v>
      </c>
      <c r="W363" s="9">
        <f>Tabla1[[#This Row],[Protein]]/Tabla1[[#This Row],[Peso (Kg)]]</f>
        <v>0.2575968947671074</v>
      </c>
      <c r="X363" s="9">
        <f t="shared" si="1837"/>
        <v>0.26279905354869715</v>
      </c>
      <c r="Y363" s="6">
        <f t="shared" si="1977"/>
        <v>39.736149999999995</v>
      </c>
      <c r="Z363" s="6">
        <f t="shared" si="1838"/>
        <v>86.478571428571428</v>
      </c>
      <c r="AA363" s="6">
        <f t="shared" ref="AA363" si="1985">AVERAGE(N357:N363)</f>
        <v>13.590535714285716</v>
      </c>
      <c r="AB363" s="6">
        <f t="shared" ref="AB363" si="1986">AVERAGE(R357:R363)</f>
        <v>22.724214285714279</v>
      </c>
      <c r="AC363" s="6">
        <f t="shared" si="1980"/>
        <v>0.25639296444595061</v>
      </c>
      <c r="AD363" s="42">
        <f>Tabla1[[#This Row],[Avg Agua)]]/Tabla1[[#This Row],[Avg Musculo]]</f>
        <v>2.0490838910036184</v>
      </c>
    </row>
    <row r="364" spans="1:31" x14ac:dyDescent="0.3">
      <c r="A364" t="s">
        <v>109</v>
      </c>
      <c r="B364">
        <v>39</v>
      </c>
      <c r="C364" t="s">
        <v>23</v>
      </c>
      <c r="D364" s="4">
        <v>45559</v>
      </c>
      <c r="E364" s="6">
        <v>86.5</v>
      </c>
      <c r="F364" s="7">
        <f t="shared" si="1966"/>
        <v>24.473743775464012</v>
      </c>
      <c r="G364" s="9">
        <v>0.158</v>
      </c>
      <c r="H364" s="6">
        <f t="shared" si="1967"/>
        <v>72.832999999999998</v>
      </c>
      <c r="I364" s="6">
        <f t="shared" si="1968"/>
        <v>22.782499999999992</v>
      </c>
      <c r="J364">
        <v>3.6</v>
      </c>
      <c r="K364" s="5">
        <v>7.0000000000000007E-2</v>
      </c>
      <c r="L364" s="17">
        <v>2100</v>
      </c>
      <c r="M364" s="5">
        <v>0.53700000000000003</v>
      </c>
      <c r="N364" s="6">
        <f t="shared" si="1969"/>
        <v>13.667</v>
      </c>
      <c r="O364" s="21">
        <f t="shared" si="1970"/>
        <v>46.450500000000005</v>
      </c>
      <c r="P364" s="8">
        <f t="shared" si="1836"/>
        <v>46.592357142857153</v>
      </c>
      <c r="Q364" s="8">
        <f t="shared" si="1971"/>
        <v>63.717500000000008</v>
      </c>
      <c r="R364" s="6">
        <f t="shared" si="1972"/>
        <v>22.782499999999992</v>
      </c>
      <c r="S364" s="6">
        <f t="shared" si="1973"/>
        <v>6.0550000000000006</v>
      </c>
      <c r="T364" s="6">
        <f t="shared" si="1974"/>
        <v>0.38445000000000107</v>
      </c>
      <c r="U364" s="6">
        <f t="shared" si="1975"/>
        <v>-7.1100000000001273E-2</v>
      </c>
      <c r="V364" s="6">
        <f t="shared" si="1976"/>
        <v>-0.45000000000000284</v>
      </c>
      <c r="W364" s="9">
        <f>Tabla1[[#This Row],[Protein]]/Tabla1[[#This Row],[Peso (Kg)]]</f>
        <v>0.26338150289017331</v>
      </c>
      <c r="X364" s="9">
        <f t="shared" si="1837"/>
        <v>0.26208820652705872</v>
      </c>
      <c r="Y364" s="6">
        <f t="shared" si="1977"/>
        <v>40.049499999999995</v>
      </c>
      <c r="Z364" s="6">
        <f t="shared" si="1838"/>
        <v>86.485714285714295</v>
      </c>
      <c r="AA364" s="6">
        <f t="shared" ref="AA364" si="1987">AVERAGE(N358:N364)</f>
        <v>13.628714285714285</v>
      </c>
      <c r="AB364" s="6">
        <f t="shared" ref="AB364" si="1988">AVERAGE(R358:R364)</f>
        <v>22.664642857142848</v>
      </c>
      <c r="AC364" s="6">
        <f t="shared" si="1980"/>
        <v>-0.26214956355555818</v>
      </c>
      <c r="AD364" s="42">
        <f>Tabla1[[#This Row],[Avg Agua)]]/Tabla1[[#This Row],[Avg Musculo]]</f>
        <v>2.0557287152739492</v>
      </c>
    </row>
    <row r="365" spans="1:31" x14ac:dyDescent="0.3">
      <c r="A365" t="s">
        <v>109</v>
      </c>
      <c r="B365">
        <v>39</v>
      </c>
      <c r="C365" t="s">
        <v>24</v>
      </c>
      <c r="D365" s="4">
        <v>45560</v>
      </c>
      <c r="E365" s="6">
        <v>87.5</v>
      </c>
      <c r="F365" s="7">
        <f t="shared" si="1966"/>
        <v>24.756677229515621</v>
      </c>
      <c r="G365" s="9">
        <v>0.16400000000000001</v>
      </c>
      <c r="H365" s="6">
        <f t="shared" si="1967"/>
        <v>73.150000000000006</v>
      </c>
      <c r="I365" s="6">
        <f t="shared" si="1968"/>
        <v>22.300000000000004</v>
      </c>
      <c r="J365">
        <v>3.6</v>
      </c>
      <c r="K365" s="5">
        <v>7.4999999999999997E-2</v>
      </c>
      <c r="L365" s="17">
        <v>2112</v>
      </c>
      <c r="M365" s="5">
        <v>0.54</v>
      </c>
      <c r="N365" s="6">
        <f t="shared" si="1969"/>
        <v>14.350000000000001</v>
      </c>
      <c r="O365" s="21">
        <f t="shared" si="1970"/>
        <v>47.25</v>
      </c>
      <c r="P365" s="8">
        <f t="shared" si="1836"/>
        <v>46.793228571428571</v>
      </c>
      <c r="Q365" s="8">
        <f t="shared" si="1971"/>
        <v>65.199999999999989</v>
      </c>
      <c r="R365" s="6">
        <f t="shared" si="1972"/>
        <v>22.300000000000004</v>
      </c>
      <c r="S365" s="6">
        <f t="shared" si="1973"/>
        <v>6.5625</v>
      </c>
      <c r="T365" s="6">
        <f t="shared" si="1974"/>
        <v>-0.48249999999998749</v>
      </c>
      <c r="U365" s="6">
        <f t="shared" si="1975"/>
        <v>0.68300000000000161</v>
      </c>
      <c r="V365" s="6">
        <f t="shared" si="1976"/>
        <v>1</v>
      </c>
      <c r="W365" s="9">
        <f>Tabla1[[#This Row],[Protein]]/Tabla1[[#This Row],[Peso (Kg)]]</f>
        <v>0.25485714285714289</v>
      </c>
      <c r="X365" s="9">
        <f t="shared" si="1837"/>
        <v>0.25962974195311028</v>
      </c>
      <c r="Y365" s="6">
        <f t="shared" si="1977"/>
        <v>40.250000000000007</v>
      </c>
      <c r="Z365" s="6">
        <f t="shared" si="1838"/>
        <v>86.721428571428561</v>
      </c>
      <c r="AA365" s="6">
        <f t="shared" ref="AA365" si="1989">AVERAGE(N359:N365)</f>
        <v>13.814542857142856</v>
      </c>
      <c r="AB365" s="6">
        <f t="shared" ref="AB365" si="1990">AVERAGE(R359:R365)</f>
        <v>22.513657142857138</v>
      </c>
      <c r="AC365" s="6">
        <f t="shared" si="1980"/>
        <v>-0.66617292510359194</v>
      </c>
      <c r="AD365" s="42">
        <f>Tabla1[[#This Row],[Avg Agua)]]/Tabla1[[#This Row],[Avg Musculo]]</f>
        <v>2.0784374690663956</v>
      </c>
      <c r="AE365" t="s">
        <v>110</v>
      </c>
    </row>
    <row r="366" spans="1:31" x14ac:dyDescent="0.3">
      <c r="A366" t="s">
        <v>109</v>
      </c>
      <c r="B366">
        <v>39</v>
      </c>
      <c r="C366" t="s">
        <v>22</v>
      </c>
      <c r="D366" s="4">
        <v>45561</v>
      </c>
      <c r="E366" s="6">
        <v>87</v>
      </c>
      <c r="F366" s="7">
        <f t="shared" ref="F366:F371" si="1991">E366/(1.88^2)</f>
        <v>24.615210502489816</v>
      </c>
      <c r="G366" s="9">
        <v>0.158</v>
      </c>
      <c r="H366" s="6">
        <f t="shared" ref="H366:H371" si="1992">E366-N366</f>
        <v>73.254000000000005</v>
      </c>
      <c r="I366" s="6">
        <f t="shared" ref="I366:I371" si="1993">E366-N366-O366-J366</f>
        <v>23.195999999999998</v>
      </c>
      <c r="J366">
        <v>3.6</v>
      </c>
      <c r="K366" s="5">
        <v>7.0000000000000007E-2</v>
      </c>
      <c r="L366" s="17">
        <v>2112</v>
      </c>
      <c r="M366" s="5">
        <v>0.53400000000000003</v>
      </c>
      <c r="N366" s="6">
        <f t="shared" ref="N366:N371" si="1994">E366*G366</f>
        <v>13.746</v>
      </c>
      <c r="O366" s="21">
        <f t="shared" ref="O366:O371" si="1995">M366*E366</f>
        <v>46.458000000000006</v>
      </c>
      <c r="P366" s="8">
        <f t="shared" si="1836"/>
        <v>46.729414285714299</v>
      </c>
      <c r="Q366" s="8">
        <f t="shared" ref="Q366:Q371" si="1996">E366-R366</f>
        <v>63.804000000000002</v>
      </c>
      <c r="R366" s="6">
        <f t="shared" ref="R366:R371" si="1997">I366</f>
        <v>23.195999999999998</v>
      </c>
      <c r="S366" s="6">
        <f t="shared" ref="S366:S371" si="1998">K366*E366</f>
        <v>6.0900000000000007</v>
      </c>
      <c r="T366" s="6">
        <f t="shared" ref="T366:T371" si="1999">I366-I365</f>
        <v>0.89599999999999369</v>
      </c>
      <c r="U366" s="6">
        <f t="shared" ref="U366:U371" si="2000">N366-N365</f>
        <v>-0.60400000000000098</v>
      </c>
      <c r="V366" s="6">
        <f t="shared" ref="V366:V371" si="2001">E366-E365</f>
        <v>-0.5</v>
      </c>
      <c r="W366" s="9">
        <f>Tabla1[[#This Row],[Protein]]/Tabla1[[#This Row],[Peso (Kg)]]</f>
        <v>0.26662068965517238</v>
      </c>
      <c r="X366" s="9">
        <f t="shared" si="1837"/>
        <v>0.26107876781091793</v>
      </c>
      <c r="Y366" s="6">
        <f t="shared" ref="Y366:Y371" si="2002">R366+N366+J366</f>
        <v>40.542000000000002</v>
      </c>
      <c r="Z366" s="6">
        <f t="shared" si="1838"/>
        <v>86.764285714285705</v>
      </c>
      <c r="AA366" s="6">
        <f t="shared" ref="AA366" si="2003">AVERAGE(N360:N366)</f>
        <v>13.784157142857142</v>
      </c>
      <c r="AB366" s="6">
        <f t="shared" ref="AB366" si="2004">AVERAGE(R360:R366)</f>
        <v>22.650714285714283</v>
      </c>
      <c r="AC366" s="6">
        <f t="shared" ref="AC366:AC371" si="2005">100*(AB366/AB365-1)</f>
        <v>0.60877334138771388</v>
      </c>
      <c r="AD366" s="42">
        <f>Tabla1[[#This Row],[Avg Agua)]]/Tabla1[[#This Row],[Avg Musculo]]</f>
        <v>2.063043738765729</v>
      </c>
    </row>
    <row r="367" spans="1:31" x14ac:dyDescent="0.3">
      <c r="A367" t="s">
        <v>109</v>
      </c>
      <c r="B367">
        <v>39</v>
      </c>
      <c r="C367" t="s">
        <v>20</v>
      </c>
      <c r="D367" s="4">
        <v>45562</v>
      </c>
      <c r="E367" s="6">
        <v>86.5</v>
      </c>
      <c r="F367" s="7">
        <f t="shared" si="1991"/>
        <v>24.473743775464012</v>
      </c>
      <c r="G367" s="9">
        <v>0.154</v>
      </c>
      <c r="H367" s="6">
        <f t="shared" si="1992"/>
        <v>73.179000000000002</v>
      </c>
      <c r="I367" s="6">
        <f t="shared" si="1993"/>
        <v>23.647500000000001</v>
      </c>
      <c r="J367">
        <v>3.6</v>
      </c>
      <c r="K367" s="5">
        <v>7.0000000000000007E-2</v>
      </c>
      <c r="L367" s="17">
        <v>2111</v>
      </c>
      <c r="M367" s="5">
        <v>0.53100000000000003</v>
      </c>
      <c r="N367" s="6">
        <f t="shared" si="1994"/>
        <v>13.321</v>
      </c>
      <c r="O367" s="21">
        <f t="shared" si="1995"/>
        <v>45.9315</v>
      </c>
      <c r="P367" s="8">
        <f t="shared" si="1836"/>
        <v>46.637485714285717</v>
      </c>
      <c r="Q367" s="8">
        <f t="shared" si="1996"/>
        <v>62.852499999999999</v>
      </c>
      <c r="R367" s="6">
        <f t="shared" si="1997"/>
        <v>23.647500000000001</v>
      </c>
      <c r="S367" s="6">
        <f t="shared" si="1998"/>
        <v>6.0550000000000006</v>
      </c>
      <c r="T367" s="6">
        <f t="shared" si="1999"/>
        <v>0.4515000000000029</v>
      </c>
      <c r="U367" s="6">
        <f t="shared" si="2000"/>
        <v>-0.42500000000000071</v>
      </c>
      <c r="V367" s="6">
        <f t="shared" si="2001"/>
        <v>-0.5</v>
      </c>
      <c r="W367" s="9">
        <f>Tabla1[[#This Row],[Protein]]/Tabla1[[#This Row],[Peso (Kg)]]</f>
        <v>0.27338150289017343</v>
      </c>
      <c r="X367" s="9">
        <f t="shared" si="1837"/>
        <v>0.26281028685734026</v>
      </c>
      <c r="Y367" s="6">
        <f t="shared" si="2002"/>
        <v>40.5685</v>
      </c>
      <c r="Z367" s="6">
        <f t="shared" si="1838"/>
        <v>86.799999999999983</v>
      </c>
      <c r="AA367" s="6">
        <f t="shared" ref="AA367" si="2006">AVERAGE(N361:N367)</f>
        <v>13.752692857142858</v>
      </c>
      <c r="AB367" s="6">
        <f t="shared" ref="AB367" si="2007">AVERAGE(R361:R367)</f>
        <v>22.809821428571428</v>
      </c>
      <c r="AC367" s="6">
        <f t="shared" si="2005"/>
        <v>0.70243763993567132</v>
      </c>
      <c r="AD367" s="42">
        <f>Tabla1[[#This Row],[Avg Agua)]]/Tabla1[[#This Row],[Avg Musculo]]</f>
        <v>2.0446230085724353</v>
      </c>
    </row>
    <row r="368" spans="1:31" x14ac:dyDescent="0.3">
      <c r="A368" t="s">
        <v>109</v>
      </c>
      <c r="B368">
        <v>39</v>
      </c>
      <c r="C368" t="s">
        <v>25</v>
      </c>
      <c r="D368" s="4">
        <v>45563</v>
      </c>
      <c r="E368" s="6">
        <v>85.95</v>
      </c>
      <c r="F368" s="7">
        <f t="shared" si="1991"/>
        <v>24.318130375735631</v>
      </c>
      <c r="G368" s="9">
        <v>0.161</v>
      </c>
      <c r="H368" s="6">
        <f t="shared" si="1992"/>
        <v>72.112049999999996</v>
      </c>
      <c r="I368" s="6">
        <f t="shared" si="1993"/>
        <v>23.474249999999991</v>
      </c>
      <c r="J368">
        <v>3.6</v>
      </c>
      <c r="K368" s="5">
        <v>7.0000000000000007E-2</v>
      </c>
      <c r="L368" s="17">
        <v>2079</v>
      </c>
      <c r="M368" s="5">
        <v>0.52400000000000002</v>
      </c>
      <c r="N368" s="6">
        <f t="shared" si="1994"/>
        <v>13.837950000000001</v>
      </c>
      <c r="O368" s="21">
        <f t="shared" si="1995"/>
        <v>45.037800000000004</v>
      </c>
      <c r="P368" s="8">
        <f t="shared" si="1836"/>
        <v>46.524985714285719</v>
      </c>
      <c r="Q368" s="8">
        <f t="shared" si="1996"/>
        <v>62.475750000000012</v>
      </c>
      <c r="R368" s="6">
        <f t="shared" si="1997"/>
        <v>23.474249999999991</v>
      </c>
      <c r="S368" s="6">
        <f t="shared" si="1998"/>
        <v>6.0165000000000006</v>
      </c>
      <c r="T368" s="6">
        <f t="shared" si="1999"/>
        <v>-0.17325000000001012</v>
      </c>
      <c r="U368" s="6">
        <f t="shared" si="2000"/>
        <v>0.51695000000000135</v>
      </c>
      <c r="V368" s="6">
        <f t="shared" si="2001"/>
        <v>-0.54999999999999716</v>
      </c>
      <c r="W368" s="9">
        <f>Tabla1[[#This Row],[Protein]]/Tabla1[[#This Row],[Peso (Kg)]]</f>
        <v>0.2731151832460732</v>
      </c>
      <c r="X368" s="9">
        <f t="shared" si="1837"/>
        <v>0.26278601987196715</v>
      </c>
      <c r="Y368" s="6">
        <f t="shared" si="2002"/>
        <v>40.912199999999991</v>
      </c>
      <c r="Z368" s="6">
        <f t="shared" si="1838"/>
        <v>86.75</v>
      </c>
      <c r="AA368" s="6">
        <f t="shared" ref="AA368" si="2008">AVERAGE(N362:N368)</f>
        <v>13.830942857142858</v>
      </c>
      <c r="AB368" s="6">
        <f t="shared" ref="AB368" si="2009">AVERAGE(R362:R368)</f>
        <v>22.794071428571424</v>
      </c>
      <c r="AC368" s="6">
        <f t="shared" si="2005"/>
        <v>-6.9049203428994677E-2</v>
      </c>
      <c r="AD368" s="42">
        <f>Tabla1[[#This Row],[Avg Agua)]]/Tabla1[[#This Row],[Avg Musculo]]</f>
        <v>2.0411002861019631</v>
      </c>
    </row>
    <row r="369" spans="1:31" x14ac:dyDescent="0.3">
      <c r="A369" t="s">
        <v>109</v>
      </c>
      <c r="B369">
        <v>39</v>
      </c>
      <c r="C369" t="s">
        <v>26</v>
      </c>
      <c r="D369" s="4">
        <v>45564</v>
      </c>
      <c r="E369" s="6">
        <v>86.4</v>
      </c>
      <c r="F369" s="7">
        <f t="shared" si="1991"/>
        <v>24.445450430058852</v>
      </c>
      <c r="G369" s="9">
        <v>0.159</v>
      </c>
      <c r="H369" s="6">
        <f t="shared" si="1992"/>
        <v>72.662400000000005</v>
      </c>
      <c r="I369" s="6">
        <f t="shared" si="1993"/>
        <v>22.924799999999998</v>
      </c>
      <c r="J369">
        <v>3.6</v>
      </c>
      <c r="K369" s="5">
        <v>7.0000000000000007E-2</v>
      </c>
      <c r="L369" s="17">
        <v>2095</v>
      </c>
      <c r="M369" s="5">
        <v>0.53400000000000003</v>
      </c>
      <c r="N369" s="6">
        <f t="shared" si="1994"/>
        <v>13.7376</v>
      </c>
      <c r="O369" s="21">
        <f t="shared" si="1995"/>
        <v>46.137600000000006</v>
      </c>
      <c r="P369" s="8">
        <f t="shared" si="1836"/>
        <v>46.354178571428577</v>
      </c>
      <c r="Q369" s="8">
        <f t="shared" si="1996"/>
        <v>63.475200000000008</v>
      </c>
      <c r="R369" s="6">
        <f t="shared" si="1997"/>
        <v>22.924799999999998</v>
      </c>
      <c r="S369" s="6">
        <f t="shared" si="1998"/>
        <v>6.0480000000000009</v>
      </c>
      <c r="T369" s="6">
        <f t="shared" si="1999"/>
        <v>-0.54944999999999311</v>
      </c>
      <c r="U369" s="6">
        <f t="shared" si="2000"/>
        <v>-0.10035000000000061</v>
      </c>
      <c r="V369" s="6">
        <f t="shared" si="2001"/>
        <v>0.45000000000000284</v>
      </c>
      <c r="W369" s="9">
        <f>Tabla1[[#This Row],[Protein]]/Tabla1[[#This Row],[Peso (Kg)]]</f>
        <v>0.26533333333333331</v>
      </c>
      <c r="X369" s="9">
        <f t="shared" si="1837"/>
        <v>0.2648980356627394</v>
      </c>
      <c r="Y369" s="6">
        <f t="shared" si="2002"/>
        <v>40.2624</v>
      </c>
      <c r="Z369" s="6">
        <f t="shared" si="1838"/>
        <v>86.685714285714283</v>
      </c>
      <c r="AA369" s="6">
        <f t="shared" ref="AA369" si="2010">AVERAGE(N363:N369)</f>
        <v>13.771092857142859</v>
      </c>
      <c r="AB369" s="6">
        <f t="shared" ref="AB369" si="2011">AVERAGE(R363:R369)</f>
        <v>22.960442857142855</v>
      </c>
      <c r="AC369" s="6">
        <f t="shared" si="2005"/>
        <v>0.72988903756303625</v>
      </c>
      <c r="AD369" s="42">
        <f>Tabla1[[#This Row],[Avg Agua)]]/Tabla1[[#This Row],[Avg Musculo]]</f>
        <v>2.0188712761264562</v>
      </c>
    </row>
    <row r="370" spans="1:31" x14ac:dyDescent="0.3">
      <c r="A370" t="s">
        <v>109</v>
      </c>
      <c r="B370">
        <v>40</v>
      </c>
      <c r="C370" t="s">
        <v>21</v>
      </c>
      <c r="D370" s="4">
        <v>45565</v>
      </c>
      <c r="E370" s="6">
        <v>86.5</v>
      </c>
      <c r="F370" s="7">
        <f t="shared" si="1991"/>
        <v>24.473743775464012</v>
      </c>
      <c r="G370" s="9">
        <v>0.157</v>
      </c>
      <c r="H370" s="6">
        <f t="shared" si="1992"/>
        <v>72.919499999999999</v>
      </c>
      <c r="I370" s="6">
        <f t="shared" si="1993"/>
        <v>22.868999999999993</v>
      </c>
      <c r="J370">
        <v>3.6</v>
      </c>
      <c r="K370" s="5">
        <v>7.0000000000000007E-2</v>
      </c>
      <c r="L370" s="17">
        <v>2102</v>
      </c>
      <c r="M370" s="5">
        <v>0.53700000000000003</v>
      </c>
      <c r="N370" s="6">
        <f t="shared" si="1994"/>
        <v>13.580500000000001</v>
      </c>
      <c r="O370" s="21">
        <f t="shared" si="1995"/>
        <v>46.450500000000005</v>
      </c>
      <c r="P370" s="8">
        <f t="shared" si="1836"/>
        <v>46.245128571428573</v>
      </c>
      <c r="Q370" s="8">
        <f t="shared" si="1996"/>
        <v>63.631000000000007</v>
      </c>
      <c r="R370" s="6">
        <f t="shared" si="1997"/>
        <v>22.868999999999993</v>
      </c>
      <c r="S370" s="6">
        <f t="shared" si="1998"/>
        <v>6.0550000000000006</v>
      </c>
      <c r="T370" s="6">
        <f t="shared" si="1999"/>
        <v>-5.5800000000004957E-2</v>
      </c>
      <c r="U370" s="6">
        <f t="shared" si="2000"/>
        <v>-0.1570999999999998</v>
      </c>
      <c r="V370" s="6">
        <f t="shared" si="2001"/>
        <v>9.9999999999994316E-2</v>
      </c>
      <c r="W370" s="9">
        <f>Tabla1[[#This Row],[Protein]]/Tabla1[[#This Row],[Peso (Kg)]]</f>
        <v>0.26438150289017331</v>
      </c>
      <c r="X370" s="9">
        <f t="shared" si="1837"/>
        <v>0.26586726539460598</v>
      </c>
      <c r="Y370" s="6">
        <f t="shared" si="2002"/>
        <v>40.049499999999995</v>
      </c>
      <c r="Z370" s="6">
        <f t="shared" si="1838"/>
        <v>86.621428571428581</v>
      </c>
      <c r="AA370" s="6">
        <f t="shared" ref="AA370" si="2012">AVERAGE(N364:N370)</f>
        <v>13.748578571428572</v>
      </c>
      <c r="AB370" s="6">
        <f t="shared" ref="AB370" si="2013">AVERAGE(R364:R370)</f>
        <v>23.027721428571425</v>
      </c>
      <c r="AC370" s="6">
        <f t="shared" si="2005"/>
        <v>0.29301948506468278</v>
      </c>
      <c r="AD370" s="42">
        <f>Tabla1[[#This Row],[Avg Agua)]]/Tabla1[[#This Row],[Avg Musculo]]</f>
        <v>2.0082372767481185</v>
      </c>
    </row>
    <row r="371" spans="1:31" x14ac:dyDescent="0.3">
      <c r="A371" t="s">
        <v>109</v>
      </c>
      <c r="B371">
        <v>40</v>
      </c>
      <c r="C371" t="s">
        <v>23</v>
      </c>
      <c r="D371" s="4">
        <v>45566</v>
      </c>
      <c r="E371" s="6">
        <v>86.15</v>
      </c>
      <c r="F371" s="7">
        <f t="shared" si="1991"/>
        <v>24.374717066545951</v>
      </c>
      <c r="G371" s="9">
        <v>0.156</v>
      </c>
      <c r="H371" s="6">
        <f t="shared" si="1992"/>
        <v>72.710599999999999</v>
      </c>
      <c r="I371" s="6">
        <f t="shared" si="1993"/>
        <v>22.675749999999994</v>
      </c>
      <c r="J371">
        <v>3.6</v>
      </c>
      <c r="K371" s="5">
        <v>7.0000000000000007E-2</v>
      </c>
      <c r="L371" s="17">
        <v>2095</v>
      </c>
      <c r="M371" s="5">
        <v>0.53900000000000003</v>
      </c>
      <c r="N371" s="6">
        <f t="shared" si="1994"/>
        <v>13.439400000000001</v>
      </c>
      <c r="O371" s="21">
        <f t="shared" si="1995"/>
        <v>46.434850000000004</v>
      </c>
      <c r="P371" s="8">
        <f t="shared" si="1836"/>
        <v>46.242892857142856</v>
      </c>
      <c r="Q371" s="8">
        <f t="shared" si="1996"/>
        <v>63.474250000000012</v>
      </c>
      <c r="R371" s="6">
        <f t="shared" si="1997"/>
        <v>22.675749999999994</v>
      </c>
      <c r="S371" s="6">
        <f t="shared" si="1998"/>
        <v>6.0305000000000009</v>
      </c>
      <c r="T371" s="6">
        <f t="shared" si="1999"/>
        <v>-0.19324999999999903</v>
      </c>
      <c r="U371" s="6">
        <f t="shared" si="2000"/>
        <v>-0.14109999999999978</v>
      </c>
      <c r="V371" s="6">
        <f t="shared" si="2001"/>
        <v>-0.34999999999999432</v>
      </c>
      <c r="W371" s="9">
        <f>Tabla1[[#This Row],[Protein]]/Tabla1[[#This Row],[Peso (Kg)]]</f>
        <v>0.26321242019733015</v>
      </c>
      <c r="X371" s="9">
        <f t="shared" si="1837"/>
        <v>0.2658431107241998</v>
      </c>
      <c r="Y371" s="6">
        <f t="shared" si="2002"/>
        <v>39.715149999999994</v>
      </c>
      <c r="Z371" s="6">
        <f t="shared" si="1838"/>
        <v>86.571428571428569</v>
      </c>
      <c r="AA371" s="6">
        <f t="shared" ref="AA371" si="2014">AVERAGE(N365:N371)</f>
        <v>13.716064285714285</v>
      </c>
      <c r="AB371" s="6">
        <f t="shared" ref="AB371" si="2015">AVERAGE(R365:R371)</f>
        <v>23.012471428571427</v>
      </c>
      <c r="AC371" s="6">
        <f t="shared" si="2005"/>
        <v>-6.6224528758962453E-2</v>
      </c>
      <c r="AD371" s="42">
        <f>Tabla1[[#This Row],[Avg Agua)]]/Tabla1[[#This Row],[Avg Musculo]]</f>
        <v>2.0094709514654476</v>
      </c>
    </row>
    <row r="372" spans="1:31" x14ac:dyDescent="0.3">
      <c r="A372" t="s">
        <v>109</v>
      </c>
      <c r="B372">
        <v>40</v>
      </c>
      <c r="C372" t="s">
        <v>24</v>
      </c>
      <c r="D372" s="4">
        <v>45567</v>
      </c>
      <c r="E372" s="6">
        <v>85.85</v>
      </c>
      <c r="F372" s="7">
        <f t="shared" ref="F372:F377" si="2016">E372/(1.88^2)</f>
        <v>24.289837030330467</v>
      </c>
      <c r="G372" s="9">
        <v>0.152</v>
      </c>
      <c r="H372" s="6">
        <f t="shared" ref="H372:H377" si="2017">E372-N372</f>
        <v>72.800799999999995</v>
      </c>
      <c r="I372" s="6">
        <f t="shared" ref="I372:I377" si="2018">E372-N372-O372-J372</f>
        <v>23.185199999999995</v>
      </c>
      <c r="J372">
        <v>3.6</v>
      </c>
      <c r="K372" s="5">
        <v>7.0000000000000007E-2</v>
      </c>
      <c r="L372" s="17">
        <v>2097</v>
      </c>
      <c r="M372" s="5">
        <v>0.53600000000000003</v>
      </c>
      <c r="N372" s="6">
        <f t="shared" ref="N372:N377" si="2019">E372*G372</f>
        <v>13.049199999999999</v>
      </c>
      <c r="O372" s="21">
        <f t="shared" ref="O372:O377" si="2020">M372*E372</f>
        <v>46.015599999999999</v>
      </c>
      <c r="P372" s="8">
        <f t="shared" si="1836"/>
        <v>46.066550000000007</v>
      </c>
      <c r="Q372" s="8">
        <f t="shared" ref="Q372:Q377" si="2021">E372-R372</f>
        <v>62.6648</v>
      </c>
      <c r="R372" s="6">
        <f t="shared" ref="R372:R377" si="2022">I372</f>
        <v>23.185199999999995</v>
      </c>
      <c r="S372" s="6">
        <f t="shared" ref="S372:S377" si="2023">K372*E372</f>
        <v>6.0095000000000001</v>
      </c>
      <c r="T372" s="6">
        <f t="shared" ref="T372:T377" si="2024">I372-I371</f>
        <v>0.50945000000000107</v>
      </c>
      <c r="U372" s="6">
        <f t="shared" ref="U372:U377" si="2025">N372-N371</f>
        <v>-0.39020000000000188</v>
      </c>
      <c r="V372" s="6">
        <f t="shared" ref="V372:V377" si="2026">E372-E371</f>
        <v>-0.30000000000001137</v>
      </c>
      <c r="W372" s="9">
        <f>Tabla1[[#This Row],[Protein]]/Tabla1[[#This Row],[Peso (Kg)]]</f>
        <v>0.27006639487478157</v>
      </c>
      <c r="X372" s="9">
        <f t="shared" si="1837"/>
        <v>0.26801586101243391</v>
      </c>
      <c r="Y372" s="6">
        <f t="shared" ref="Y372:Y377" si="2027">R372+N372+J372</f>
        <v>39.834399999999995</v>
      </c>
      <c r="Z372" s="6">
        <f t="shared" si="1838"/>
        <v>86.335714285714289</v>
      </c>
      <c r="AA372" s="6">
        <f t="shared" ref="AA372" si="2028">AVERAGE(N366:N372)</f>
        <v>13.530235714285714</v>
      </c>
      <c r="AB372" s="6">
        <f t="shared" ref="AB372" si="2029">AVERAGE(R366:R372)</f>
        <v>23.138928571428568</v>
      </c>
      <c r="AC372" s="6">
        <f t="shared" ref="AC372:AC377" si="2030">100*(AB372/AB371-1)</f>
        <v>0.54951569738892481</v>
      </c>
      <c r="AD372" s="42">
        <f>Tabla1[[#This Row],[Avg Agua)]]/Tabla1[[#This Row],[Avg Musculo]]</f>
        <v>1.9908678942413069</v>
      </c>
    </row>
    <row r="373" spans="1:31" x14ac:dyDescent="0.3">
      <c r="A373" t="s">
        <v>109</v>
      </c>
      <c r="B373">
        <v>40</v>
      </c>
      <c r="C373" t="s">
        <v>22</v>
      </c>
      <c r="D373" s="4">
        <v>45568</v>
      </c>
      <c r="E373" s="6">
        <v>85.8</v>
      </c>
      <c r="F373" s="7">
        <f t="shared" si="2016"/>
        <v>24.275690357627887</v>
      </c>
      <c r="G373" s="9">
        <v>0.152</v>
      </c>
      <c r="H373" s="6">
        <f t="shared" si="2017"/>
        <v>72.758399999999995</v>
      </c>
      <c r="I373" s="6">
        <f t="shared" si="2018"/>
        <v>23.426999999999992</v>
      </c>
      <c r="J373">
        <v>3.6</v>
      </c>
      <c r="K373" s="5">
        <v>7.0000000000000007E-2</v>
      </c>
      <c r="L373" s="17">
        <v>2096</v>
      </c>
      <c r="M373" s="5">
        <v>0.53300000000000003</v>
      </c>
      <c r="N373" s="6">
        <f t="shared" si="2019"/>
        <v>13.041599999999999</v>
      </c>
      <c r="O373" s="21">
        <f t="shared" si="2020"/>
        <v>45.731400000000001</v>
      </c>
      <c r="P373" s="8">
        <f t="shared" si="1836"/>
        <v>45.962750000000007</v>
      </c>
      <c r="Q373" s="8">
        <f t="shared" si="2021"/>
        <v>62.373000000000005</v>
      </c>
      <c r="R373" s="6">
        <f t="shared" si="2022"/>
        <v>23.426999999999992</v>
      </c>
      <c r="S373" s="6">
        <f t="shared" si="2023"/>
        <v>6.0060000000000002</v>
      </c>
      <c r="T373" s="6">
        <f t="shared" si="2024"/>
        <v>0.24179999999999779</v>
      </c>
      <c r="U373" s="6">
        <f t="shared" si="2025"/>
        <v>-7.6000000000000512E-3</v>
      </c>
      <c r="V373" s="6">
        <f t="shared" si="2026"/>
        <v>-4.9999999999997158E-2</v>
      </c>
      <c r="W373" s="9">
        <f>Tabla1[[#This Row],[Protein]]/Tabla1[[#This Row],[Peso (Kg)]]</f>
        <v>0.27304195804195797</v>
      </c>
      <c r="X373" s="9">
        <f t="shared" si="1837"/>
        <v>0.26893318506768898</v>
      </c>
      <c r="Y373" s="6">
        <f t="shared" si="2027"/>
        <v>40.068599999999996</v>
      </c>
      <c r="Z373" s="6">
        <f t="shared" si="1838"/>
        <v>86.164285714285711</v>
      </c>
      <c r="AA373" s="6">
        <f t="shared" ref="AA373" si="2031">AVERAGE(N367:N373)</f>
        <v>13.429607142857146</v>
      </c>
      <c r="AB373" s="6">
        <f t="shared" ref="AB373" si="2032">AVERAGE(R367:R373)</f>
        <v>23.17192857142857</v>
      </c>
      <c r="AC373" s="6">
        <f t="shared" si="2030"/>
        <v>0.14261680223495166</v>
      </c>
      <c r="AD373" s="42">
        <f>Tabla1[[#This Row],[Avg Agua)]]/Tabla1[[#This Row],[Avg Musculo]]</f>
        <v>1.9835530675971855</v>
      </c>
    </row>
    <row r="374" spans="1:31" x14ac:dyDescent="0.3">
      <c r="A374" t="s">
        <v>109</v>
      </c>
      <c r="B374">
        <v>40</v>
      </c>
      <c r="C374" t="s">
        <v>20</v>
      </c>
      <c r="D374" s="4">
        <v>45569</v>
      </c>
      <c r="E374" s="6">
        <v>85.75</v>
      </c>
      <c r="F374" s="7">
        <f t="shared" si="2016"/>
        <v>24.261543684925307</v>
      </c>
      <c r="G374" s="9">
        <v>0.155</v>
      </c>
      <c r="H374" s="6">
        <f t="shared" si="2017"/>
        <v>72.458749999999995</v>
      </c>
      <c r="I374" s="6">
        <f t="shared" si="2018"/>
        <v>22.725249999999988</v>
      </c>
      <c r="J374">
        <v>3.6</v>
      </c>
      <c r="K374" s="5">
        <v>7.0000000000000007E-2</v>
      </c>
      <c r="L374" s="17">
        <v>2086</v>
      </c>
      <c r="M374" s="5">
        <v>0.53800000000000003</v>
      </c>
      <c r="N374" s="6">
        <f t="shared" si="2019"/>
        <v>13.29125</v>
      </c>
      <c r="O374" s="21">
        <f t="shared" si="2020"/>
        <v>46.133500000000005</v>
      </c>
      <c r="P374" s="8">
        <f t="shared" si="1836"/>
        <v>45.991607142857148</v>
      </c>
      <c r="Q374" s="8">
        <f t="shared" si="2021"/>
        <v>63.024750000000012</v>
      </c>
      <c r="R374" s="6">
        <f t="shared" si="2022"/>
        <v>22.725249999999988</v>
      </c>
      <c r="S374" s="6">
        <f t="shared" si="2023"/>
        <v>6.0025000000000004</v>
      </c>
      <c r="T374" s="6">
        <f t="shared" si="2024"/>
        <v>-0.70175000000000409</v>
      </c>
      <c r="U374" s="6">
        <f t="shared" si="2025"/>
        <v>0.24965000000000082</v>
      </c>
      <c r="V374" s="6">
        <f t="shared" si="2026"/>
        <v>-4.9999999999997158E-2</v>
      </c>
      <c r="W374" s="9">
        <f>Tabla1[[#This Row],[Protein]]/Tabla1[[#This Row],[Peso (Kg)]]</f>
        <v>0.26501749271137015</v>
      </c>
      <c r="X374" s="9">
        <f t="shared" si="1837"/>
        <v>0.2677383264707171</v>
      </c>
      <c r="Y374" s="6">
        <f t="shared" si="2027"/>
        <v>39.616499999999988</v>
      </c>
      <c r="Z374" s="6">
        <f t="shared" si="1838"/>
        <v>86.05714285714285</v>
      </c>
      <c r="AA374" s="6">
        <f t="shared" ref="AA374" si="2033">AVERAGE(N368:N374)</f>
        <v>13.425357142857143</v>
      </c>
      <c r="AB374" s="6">
        <f t="shared" ref="AB374" si="2034">AVERAGE(R368:R374)</f>
        <v>23.040178571428566</v>
      </c>
      <c r="AC374" s="6">
        <f t="shared" si="2030"/>
        <v>-0.56857589386174467</v>
      </c>
      <c r="AD374" s="42">
        <f>Tabla1[[#This Row],[Avg Agua)]]/Tabla1[[#This Row],[Avg Musculo]]</f>
        <v>1.9961480333268753</v>
      </c>
    </row>
    <row r="375" spans="1:31" x14ac:dyDescent="0.3">
      <c r="A375" t="s">
        <v>109</v>
      </c>
      <c r="B375">
        <v>40</v>
      </c>
      <c r="C375" t="s">
        <v>25</v>
      </c>
      <c r="D375" s="4">
        <v>45570</v>
      </c>
      <c r="E375" s="6">
        <v>85.6</v>
      </c>
      <c r="F375" s="7">
        <f t="shared" si="2016"/>
        <v>24.219103666817563</v>
      </c>
      <c r="G375" s="9">
        <v>0.14899999999999999</v>
      </c>
      <c r="H375" s="6">
        <f t="shared" si="2017"/>
        <v>72.84559999999999</v>
      </c>
      <c r="I375" s="6">
        <f t="shared" si="2018"/>
        <v>23.021599999999992</v>
      </c>
      <c r="J375">
        <v>3.6</v>
      </c>
      <c r="K375" s="5">
        <v>6.5000000000000002E-2</v>
      </c>
      <c r="L375" s="17">
        <v>2096</v>
      </c>
      <c r="M375" s="5">
        <v>0.54</v>
      </c>
      <c r="N375" s="6">
        <f t="shared" si="2019"/>
        <v>12.754399999999999</v>
      </c>
      <c r="O375" s="21">
        <f t="shared" si="2020"/>
        <v>46.223999999999997</v>
      </c>
      <c r="P375" s="8">
        <f t="shared" si="1836"/>
        <v>46.161064285714289</v>
      </c>
      <c r="Q375" s="8">
        <f t="shared" si="2021"/>
        <v>62.578400000000002</v>
      </c>
      <c r="R375" s="6">
        <f t="shared" si="2022"/>
        <v>23.021599999999992</v>
      </c>
      <c r="S375" s="6">
        <f t="shared" si="2023"/>
        <v>5.5640000000000001</v>
      </c>
      <c r="T375" s="6">
        <f t="shared" si="2024"/>
        <v>0.29635000000000389</v>
      </c>
      <c r="U375" s="6">
        <f t="shared" si="2025"/>
        <v>-0.53685000000000116</v>
      </c>
      <c r="V375" s="6">
        <f t="shared" si="2026"/>
        <v>-0.15000000000000568</v>
      </c>
      <c r="W375" s="9">
        <f>Tabla1[[#This Row],[Protein]]/Tabla1[[#This Row],[Peso (Kg)]]</f>
        <v>0.2689439252336448</v>
      </c>
      <c r="X375" s="9">
        <f t="shared" si="1837"/>
        <v>0.26714243246894159</v>
      </c>
      <c r="Y375" s="6">
        <f t="shared" si="2027"/>
        <v>39.375999999999991</v>
      </c>
      <c r="Z375" s="6">
        <f t="shared" si="1838"/>
        <v>86.007142857142867</v>
      </c>
      <c r="AA375" s="6">
        <f t="shared" ref="AA375" si="2035">AVERAGE(N369:N375)</f>
        <v>13.270564285714286</v>
      </c>
      <c r="AB375" s="6">
        <f t="shared" ref="AB375" si="2036">AVERAGE(R369:R375)</f>
        <v>22.975514285714276</v>
      </c>
      <c r="AC375" s="6">
        <f t="shared" si="2030"/>
        <v>-0.28065878705678671</v>
      </c>
      <c r="AD375" s="42">
        <f>Tabla1[[#This Row],[Avg Agua)]]/Tabla1[[#This Row],[Avg Musculo]]</f>
        <v>2.0091417198184911</v>
      </c>
    </row>
    <row r="376" spans="1:31" x14ac:dyDescent="0.3">
      <c r="A376" t="s">
        <v>109</v>
      </c>
      <c r="B376">
        <v>40</v>
      </c>
      <c r="C376" t="s">
        <v>26</v>
      </c>
      <c r="D376" s="4">
        <v>45571</v>
      </c>
      <c r="E376" s="6">
        <v>85.35</v>
      </c>
      <c r="F376" s="7">
        <f t="shared" si="2016"/>
        <v>24.148370303304663</v>
      </c>
      <c r="G376" s="9">
        <v>0.151</v>
      </c>
      <c r="H376" s="6">
        <f t="shared" si="2017"/>
        <v>72.462149999999994</v>
      </c>
      <c r="I376" s="6">
        <f t="shared" si="2018"/>
        <v>22.773149999999994</v>
      </c>
      <c r="J376">
        <v>3.6</v>
      </c>
      <c r="K376" s="5">
        <v>7.0000000000000007E-2</v>
      </c>
      <c r="L376" s="17">
        <v>2084</v>
      </c>
      <c r="M376" s="5">
        <v>0.54</v>
      </c>
      <c r="N376" s="6">
        <f t="shared" si="2019"/>
        <v>12.887849999999998</v>
      </c>
      <c r="O376" s="21">
        <f t="shared" si="2020"/>
        <v>46.088999999999999</v>
      </c>
      <c r="P376" s="8">
        <f t="shared" si="1836"/>
        <v>46.154121428571436</v>
      </c>
      <c r="Q376" s="8">
        <f t="shared" si="2021"/>
        <v>62.57685</v>
      </c>
      <c r="R376" s="6">
        <f t="shared" si="2022"/>
        <v>22.773149999999994</v>
      </c>
      <c r="S376" s="6">
        <f t="shared" si="2023"/>
        <v>5.9744999999999999</v>
      </c>
      <c r="T376" s="6">
        <f t="shared" si="2024"/>
        <v>-0.24844999999999828</v>
      </c>
      <c r="U376" s="6">
        <f t="shared" si="2025"/>
        <v>0.13344999999999985</v>
      </c>
      <c r="V376" s="6">
        <f t="shared" si="2026"/>
        <v>-0.25</v>
      </c>
      <c r="W376" s="9">
        <f>Tabla1[[#This Row],[Protein]]/Tabla1[[#This Row],[Peso (Kg)]]</f>
        <v>0.26682073813708257</v>
      </c>
      <c r="X376" s="9">
        <f t="shared" si="1837"/>
        <v>0.26735491886947721</v>
      </c>
      <c r="Y376" s="6">
        <f t="shared" si="2027"/>
        <v>39.260999999999996</v>
      </c>
      <c r="Z376" s="6">
        <f t="shared" si="1838"/>
        <v>85.857142857142861</v>
      </c>
      <c r="AA376" s="6">
        <f t="shared" ref="AA376" si="2037">AVERAGE(N370:N376)</f>
        <v>13.14917142857143</v>
      </c>
      <c r="AB376" s="6">
        <f t="shared" ref="AB376" si="2038">AVERAGE(R370:R376)</f>
        <v>22.953849999999989</v>
      </c>
      <c r="AC376" s="6">
        <f t="shared" si="2030"/>
        <v>-9.4292930486250537E-2</v>
      </c>
      <c r="AD376" s="42">
        <f>Tabla1[[#This Row],[Avg Agua)]]/Tabla1[[#This Row],[Avg Musculo]]</f>
        <v>2.0107355162019207</v>
      </c>
    </row>
    <row r="377" spans="1:31" x14ac:dyDescent="0.3">
      <c r="A377" t="s">
        <v>109</v>
      </c>
      <c r="B377">
        <v>41</v>
      </c>
      <c r="C377" t="s">
        <v>21</v>
      </c>
      <c r="D377" s="4">
        <v>45572</v>
      </c>
      <c r="E377" s="6">
        <v>85.5</v>
      </c>
      <c r="F377" s="7">
        <f t="shared" si="2016"/>
        <v>24.190810321412407</v>
      </c>
      <c r="G377" s="9">
        <v>0.151</v>
      </c>
      <c r="H377" s="6">
        <f t="shared" si="2017"/>
        <v>72.589500000000001</v>
      </c>
      <c r="I377" s="6">
        <f t="shared" si="2018"/>
        <v>22.819499999999998</v>
      </c>
      <c r="J377">
        <v>3.6</v>
      </c>
      <c r="K377" s="5">
        <v>7.0000000000000007E-2</v>
      </c>
      <c r="L377" s="17">
        <v>2089</v>
      </c>
      <c r="M377" s="5">
        <v>0.54</v>
      </c>
      <c r="N377" s="6">
        <f t="shared" si="2019"/>
        <v>12.910499999999999</v>
      </c>
      <c r="O377" s="21">
        <f t="shared" si="2020"/>
        <v>46.17</v>
      </c>
      <c r="P377" s="8">
        <f t="shared" si="1836"/>
        <v>46.114049999999999</v>
      </c>
      <c r="Q377" s="8">
        <f t="shared" si="2021"/>
        <v>62.680500000000002</v>
      </c>
      <c r="R377" s="6">
        <f t="shared" si="2022"/>
        <v>22.819499999999998</v>
      </c>
      <c r="S377" s="6">
        <f t="shared" si="2023"/>
        <v>5.9850000000000003</v>
      </c>
      <c r="T377" s="6">
        <f t="shared" si="2024"/>
        <v>4.6350000000003888E-2</v>
      </c>
      <c r="U377" s="6">
        <f t="shared" si="2025"/>
        <v>2.2650000000000503E-2</v>
      </c>
      <c r="V377" s="6">
        <f t="shared" si="2026"/>
        <v>0.15000000000000568</v>
      </c>
      <c r="W377" s="9">
        <f>Tabla1[[#This Row],[Protein]]/Tabla1[[#This Row],[Peso (Kg)]]</f>
        <v>0.26689473684210524</v>
      </c>
      <c r="X377" s="9">
        <f t="shared" si="1837"/>
        <v>0.26771395229118178</v>
      </c>
      <c r="Y377" s="6">
        <f t="shared" si="2027"/>
        <v>39.33</v>
      </c>
      <c r="Z377" s="6">
        <f t="shared" si="1838"/>
        <v>85.714285714285708</v>
      </c>
      <c r="AA377" s="6">
        <f t="shared" ref="AA377" si="2039">AVERAGE(N371:N377)</f>
        <v>13.053457142857141</v>
      </c>
      <c r="AB377" s="6">
        <f t="shared" ref="AB377" si="2040">AVERAGE(R371:R377)</f>
        <v>22.946778571428563</v>
      </c>
      <c r="AC377" s="6">
        <f t="shared" si="2030"/>
        <v>-3.0807156844825379E-2</v>
      </c>
      <c r="AD377" s="42">
        <f>Tabla1[[#This Row],[Avg Agua)]]/Tabla1[[#This Row],[Avg Musculo]]</f>
        <v>2.0096088806738832</v>
      </c>
    </row>
    <row r="378" spans="1:31" x14ac:dyDescent="0.3">
      <c r="A378" t="s">
        <v>109</v>
      </c>
      <c r="B378">
        <v>41</v>
      </c>
      <c r="C378" t="s">
        <v>23</v>
      </c>
      <c r="D378" s="4">
        <v>45573</v>
      </c>
      <c r="E378" s="6">
        <v>84.8</v>
      </c>
      <c r="F378" s="7">
        <f t="shared" ref="F378:F383" si="2041">E378/(1.88^2)</f>
        <v>23.992756903576279</v>
      </c>
      <c r="G378" s="9">
        <v>0.14899999999999999</v>
      </c>
      <c r="H378" s="6">
        <f t="shared" ref="H378:H383" si="2042">E378-N378</f>
        <v>72.1648</v>
      </c>
      <c r="I378" s="6">
        <f t="shared" ref="I378:I383" si="2043">E378-N378-O378-J378</f>
        <v>22.5184</v>
      </c>
      <c r="J378">
        <v>3.6</v>
      </c>
      <c r="K378" s="5">
        <v>6.5000000000000002E-2</v>
      </c>
      <c r="L378" s="17">
        <v>2075</v>
      </c>
      <c r="M378" s="5">
        <v>0.54300000000000004</v>
      </c>
      <c r="N378" s="6">
        <f t="shared" ref="N378:N383" si="2044">E378*G378</f>
        <v>12.635199999999999</v>
      </c>
      <c r="O378" s="21">
        <f t="shared" ref="O378:O383" si="2045">M378*E378</f>
        <v>46.046399999999998</v>
      </c>
      <c r="P378" s="8">
        <f t="shared" si="1836"/>
        <v>46.05855714285714</v>
      </c>
      <c r="Q378" s="8">
        <f t="shared" ref="Q378:Q383" si="2046">E378-R378</f>
        <v>62.281599999999997</v>
      </c>
      <c r="R378" s="6">
        <f t="shared" ref="R378:R383" si="2047">I378</f>
        <v>22.5184</v>
      </c>
      <c r="S378" s="6">
        <f t="shared" ref="S378:S383" si="2048">K378*E378</f>
        <v>5.5119999999999996</v>
      </c>
      <c r="T378" s="6">
        <f t="shared" ref="T378:T383" si="2049">I378-I377</f>
        <v>-0.30109999999999815</v>
      </c>
      <c r="U378" s="6">
        <f t="shared" ref="U378:U383" si="2050">N378-N377</f>
        <v>-0.27529999999999966</v>
      </c>
      <c r="V378" s="6">
        <f t="shared" ref="V378:V383" si="2051">E378-E377</f>
        <v>-0.70000000000000284</v>
      </c>
      <c r="W378" s="9">
        <f>Tabla1[[#This Row],[Protein]]/Tabla1[[#This Row],[Peso (Kg)]]</f>
        <v>0.26554716981132076</v>
      </c>
      <c r="X378" s="9">
        <f t="shared" si="1837"/>
        <v>0.26804748795032329</v>
      </c>
      <c r="Y378" s="6">
        <f t="shared" ref="Y378:Y383" si="2052">R378+N378+J378</f>
        <v>38.753599999999999</v>
      </c>
      <c r="Z378" s="6">
        <f t="shared" si="1838"/>
        <v>85.521428571428572</v>
      </c>
      <c r="AA378" s="6">
        <f t="shared" ref="AA378" si="2053">AVERAGE(N372:N378)</f>
        <v>12.938571428571427</v>
      </c>
      <c r="AB378" s="6">
        <f t="shared" ref="AB378" si="2054">AVERAGE(R372:R378)</f>
        <v>22.924299999999992</v>
      </c>
      <c r="AC378" s="6">
        <f t="shared" ref="AC378:AC383" si="2055">100*(AB378/AB377-1)</f>
        <v>-9.7959595324459414E-2</v>
      </c>
      <c r="AD378" s="42">
        <f>Tabla1[[#This Row],[Avg Agua)]]/Tabla1[[#This Row],[Avg Musculo]]</f>
        <v>2.0091587155488786</v>
      </c>
    </row>
    <row r="379" spans="1:31" x14ac:dyDescent="0.3">
      <c r="A379" t="s">
        <v>109</v>
      </c>
      <c r="B379">
        <v>41</v>
      </c>
      <c r="C379" t="s">
        <v>24</v>
      </c>
      <c r="D379" s="4">
        <v>45574</v>
      </c>
      <c r="E379" s="6">
        <v>85.2</v>
      </c>
      <c r="F379" s="7">
        <f t="shared" si="2041"/>
        <v>24.105930285196923</v>
      </c>
      <c r="G379" s="9">
        <v>0.14599999999999999</v>
      </c>
      <c r="H379" s="6">
        <f t="shared" si="2042"/>
        <v>72.760800000000003</v>
      </c>
      <c r="I379" s="6">
        <f t="shared" si="2043"/>
        <v>22.556399999999996</v>
      </c>
      <c r="J379">
        <v>3.6</v>
      </c>
      <c r="K379" s="5">
        <v>6.5000000000000002E-2</v>
      </c>
      <c r="L379" s="17">
        <v>2092</v>
      </c>
      <c r="M379" s="5">
        <v>0.54700000000000004</v>
      </c>
      <c r="N379" s="6">
        <f t="shared" si="2044"/>
        <v>12.4392</v>
      </c>
      <c r="O379" s="21">
        <f t="shared" si="2045"/>
        <v>46.604400000000005</v>
      </c>
      <c r="P379" s="8">
        <f t="shared" si="1836"/>
        <v>46.142671428571425</v>
      </c>
      <c r="Q379" s="8">
        <f t="shared" si="2046"/>
        <v>62.643600000000006</v>
      </c>
      <c r="R379" s="6">
        <f t="shared" si="2047"/>
        <v>22.556399999999996</v>
      </c>
      <c r="S379" s="6">
        <f t="shared" si="2048"/>
        <v>5.5380000000000003</v>
      </c>
      <c r="T379" s="6">
        <f t="shared" si="2049"/>
        <v>3.7999999999996703E-2</v>
      </c>
      <c r="U379" s="6">
        <f t="shared" si="2050"/>
        <v>-0.19599999999999973</v>
      </c>
      <c r="V379" s="6">
        <f t="shared" si="2051"/>
        <v>0.40000000000000568</v>
      </c>
      <c r="W379" s="9">
        <f>Tabla1[[#This Row],[Protein]]/Tabla1[[#This Row],[Peso (Kg)]]</f>
        <v>0.26474647887323938</v>
      </c>
      <c r="X379" s="9">
        <f t="shared" si="1837"/>
        <v>0.26728749995010298</v>
      </c>
      <c r="Y379" s="6">
        <f t="shared" si="2052"/>
        <v>38.595599999999997</v>
      </c>
      <c r="Z379" s="6">
        <f t="shared" si="1838"/>
        <v>85.428571428571431</v>
      </c>
      <c r="AA379" s="6">
        <f t="shared" ref="AA379" si="2056">AVERAGE(N373:N379)</f>
        <v>12.851428571428571</v>
      </c>
      <c r="AB379" s="6">
        <f t="shared" ref="AB379" si="2057">AVERAGE(R373:R379)</f>
        <v>22.834471428571426</v>
      </c>
      <c r="AC379" s="6">
        <f t="shared" si="2055"/>
        <v>-0.39184869953964307</v>
      </c>
      <c r="AD379" s="42">
        <f>Tabla1[[#This Row],[Avg Agua)]]/Tabla1[[#This Row],[Avg Musculo]]</f>
        <v>2.0207462026397436</v>
      </c>
    </row>
    <row r="380" spans="1:31" x14ac:dyDescent="0.3">
      <c r="A380" t="s">
        <v>109</v>
      </c>
      <c r="B380">
        <v>41</v>
      </c>
      <c r="C380" t="s">
        <v>22</v>
      </c>
      <c r="D380" s="4">
        <v>45575</v>
      </c>
      <c r="E380" s="6">
        <v>85.55</v>
      </c>
      <c r="F380" s="7">
        <f t="shared" si="2041"/>
        <v>24.204956994114983</v>
      </c>
      <c r="G380" s="9">
        <v>0.14799999999999999</v>
      </c>
      <c r="H380" s="6">
        <f t="shared" si="2042"/>
        <v>72.888599999999997</v>
      </c>
      <c r="I380" s="6">
        <f t="shared" si="2043"/>
        <v>22.834949999999992</v>
      </c>
      <c r="J380">
        <v>3.6</v>
      </c>
      <c r="K380" s="5">
        <v>6.5000000000000002E-2</v>
      </c>
      <c r="L380" s="17">
        <v>2096</v>
      </c>
      <c r="M380" s="5">
        <v>0.54300000000000004</v>
      </c>
      <c r="N380" s="6">
        <f t="shared" si="2044"/>
        <v>12.661399999999999</v>
      </c>
      <c r="O380" s="21">
        <f t="shared" si="2045"/>
        <v>46.453650000000003</v>
      </c>
      <c r="P380" s="8">
        <f t="shared" si="1836"/>
        <v>46.245850000000004</v>
      </c>
      <c r="Q380" s="8">
        <f t="shared" si="2046"/>
        <v>62.715050000000005</v>
      </c>
      <c r="R380" s="6">
        <f t="shared" si="2047"/>
        <v>22.834949999999992</v>
      </c>
      <c r="S380" s="6">
        <f t="shared" si="2048"/>
        <v>5.5607499999999996</v>
      </c>
      <c r="T380" s="6">
        <f t="shared" si="2049"/>
        <v>0.27854999999999563</v>
      </c>
      <c r="U380" s="6">
        <f t="shared" si="2050"/>
        <v>0.22219999999999906</v>
      </c>
      <c r="V380" s="6">
        <f t="shared" si="2051"/>
        <v>0.34999999999999432</v>
      </c>
      <c r="W380" s="9">
        <f>Tabla1[[#This Row],[Protein]]/Tabla1[[#This Row],[Peso (Kg)]]</f>
        <v>0.26691934541203965</v>
      </c>
      <c r="X380" s="9">
        <f t="shared" si="1837"/>
        <v>0.26641284100297186</v>
      </c>
      <c r="Y380" s="6">
        <f t="shared" si="2052"/>
        <v>39.096349999999994</v>
      </c>
      <c r="Z380" s="6">
        <f t="shared" si="1838"/>
        <v>85.392857142857139</v>
      </c>
      <c r="AA380" s="6">
        <f t="shared" ref="AA380" si="2058">AVERAGE(N374:N380)</f>
        <v>12.797114285714285</v>
      </c>
      <c r="AB380" s="6">
        <f t="shared" ref="AB380" si="2059">AVERAGE(R374:R380)</f>
        <v>22.74989285714285</v>
      </c>
      <c r="AC380" s="6">
        <f t="shared" si="2055"/>
        <v>-0.37039863915022675</v>
      </c>
      <c r="AD380" s="42">
        <f>Tabla1[[#This Row],[Avg Agua)]]/Tabla1[[#This Row],[Avg Musculo]]</f>
        <v>2.0327941889836225</v>
      </c>
    </row>
    <row r="381" spans="1:31" x14ac:dyDescent="0.3">
      <c r="A381" t="s">
        <v>109</v>
      </c>
      <c r="B381">
        <v>41</v>
      </c>
      <c r="C381" t="s">
        <v>20</v>
      </c>
      <c r="D381" s="4">
        <v>45576</v>
      </c>
      <c r="E381" s="6">
        <v>84.95</v>
      </c>
      <c r="F381" s="7">
        <f t="shared" si="2041"/>
        <v>24.035196921684022</v>
      </c>
      <c r="G381" s="9">
        <v>0.14599999999999999</v>
      </c>
      <c r="H381" s="6">
        <f t="shared" si="2042"/>
        <v>72.547300000000007</v>
      </c>
      <c r="I381" s="6">
        <f t="shared" si="2043"/>
        <v>22.904400000000003</v>
      </c>
      <c r="J381">
        <v>3.6</v>
      </c>
      <c r="K381" s="5">
        <v>6.5000000000000002E-2</v>
      </c>
      <c r="L381" s="17">
        <v>2085</v>
      </c>
      <c r="M381" s="5">
        <v>0.54200000000000004</v>
      </c>
      <c r="N381" s="6">
        <f t="shared" si="2044"/>
        <v>12.402699999999999</v>
      </c>
      <c r="O381" s="21">
        <f t="shared" si="2045"/>
        <v>46.042900000000003</v>
      </c>
      <c r="P381" s="8">
        <f t="shared" si="1836"/>
        <v>46.232907142857144</v>
      </c>
      <c r="Q381" s="8">
        <f t="shared" si="2046"/>
        <v>62.0456</v>
      </c>
      <c r="R381" s="6">
        <f t="shared" si="2047"/>
        <v>22.904400000000003</v>
      </c>
      <c r="S381" s="6">
        <f t="shared" si="2048"/>
        <v>5.5217499999999999</v>
      </c>
      <c r="T381" s="6">
        <f t="shared" si="2049"/>
        <v>6.9450000000010448E-2</v>
      </c>
      <c r="U381" s="6">
        <f t="shared" si="2050"/>
        <v>-0.25869999999999926</v>
      </c>
      <c r="V381" s="6">
        <f t="shared" si="2051"/>
        <v>-0.59999999999999432</v>
      </c>
      <c r="W381" s="9">
        <f>Tabla1[[#This Row],[Protein]]/Tabla1[[#This Row],[Peso (Kg)]]</f>
        <v>0.26962213066509716</v>
      </c>
      <c r="X381" s="9">
        <f t="shared" si="1837"/>
        <v>0.26707064642493283</v>
      </c>
      <c r="Y381" s="6">
        <f t="shared" si="2052"/>
        <v>38.907100000000007</v>
      </c>
      <c r="Z381" s="6">
        <f t="shared" si="1838"/>
        <v>85.278571428571439</v>
      </c>
      <c r="AA381" s="6">
        <f t="shared" ref="AA381" si="2060">AVERAGE(N375:N381)</f>
        <v>12.670178571428568</v>
      </c>
      <c r="AB381" s="6">
        <f t="shared" ref="AB381" si="2061">AVERAGE(R375:R381)</f>
        <v>22.775485714285711</v>
      </c>
      <c r="AC381" s="6">
        <f t="shared" si="2055"/>
        <v>0.11249660516456927</v>
      </c>
      <c r="AD381" s="42">
        <f>Tabla1[[#This Row],[Avg Agua)]]/Tabla1[[#This Row],[Avg Musculo]]</f>
        <v>2.0299416540591264</v>
      </c>
    </row>
    <row r="382" spans="1:31" x14ac:dyDescent="0.3">
      <c r="A382" t="s">
        <v>109</v>
      </c>
      <c r="B382">
        <v>42</v>
      </c>
      <c r="C382" t="s">
        <v>21</v>
      </c>
      <c r="D382" s="4">
        <v>45579</v>
      </c>
      <c r="E382" s="6">
        <v>86.4</v>
      </c>
      <c r="F382" s="7">
        <f t="shared" si="2041"/>
        <v>24.445450430058852</v>
      </c>
      <c r="G382" s="9">
        <v>0.154</v>
      </c>
      <c r="H382" s="6">
        <f t="shared" si="2042"/>
        <v>73.094400000000007</v>
      </c>
      <c r="I382" s="6">
        <f t="shared" si="2043"/>
        <v>22.492800000000003</v>
      </c>
      <c r="J382">
        <v>3.6</v>
      </c>
      <c r="K382" s="5">
        <v>7.0000000000000007E-2</v>
      </c>
      <c r="L382" s="17">
        <v>2107</v>
      </c>
      <c r="M382" s="5">
        <v>0.54400000000000004</v>
      </c>
      <c r="N382" s="6">
        <f t="shared" si="2044"/>
        <v>13.3056</v>
      </c>
      <c r="O382" s="21">
        <f t="shared" si="2045"/>
        <v>47.001600000000003</v>
      </c>
      <c r="P382" s="8">
        <f t="shared" si="1836"/>
        <v>46.343992857142851</v>
      </c>
      <c r="Q382" s="8">
        <f t="shared" si="2046"/>
        <v>63.907200000000003</v>
      </c>
      <c r="R382" s="6">
        <f t="shared" si="2047"/>
        <v>22.492800000000003</v>
      </c>
      <c r="S382" s="6">
        <f t="shared" si="2048"/>
        <v>6.0480000000000009</v>
      </c>
      <c r="T382" s="6">
        <f t="shared" si="2049"/>
        <v>-0.41159999999999997</v>
      </c>
      <c r="U382" s="6">
        <f t="shared" si="2050"/>
        <v>0.9029000000000007</v>
      </c>
      <c r="V382" s="6">
        <f t="shared" si="2051"/>
        <v>1.4500000000000028</v>
      </c>
      <c r="W382" s="9">
        <f>Tabla1[[#This Row],[Protein]]/Tabla1[[#This Row],[Peso (Kg)]]</f>
        <v>0.26033333333333336</v>
      </c>
      <c r="X382" s="9">
        <f t="shared" si="1837"/>
        <v>0.26584056186774546</v>
      </c>
      <c r="Y382" s="6">
        <f t="shared" si="2052"/>
        <v>39.398400000000002</v>
      </c>
      <c r="Z382" s="6">
        <f t="shared" si="1838"/>
        <v>85.392857142857139</v>
      </c>
      <c r="AA382" s="6">
        <f t="shared" ref="AA382" si="2062">AVERAGE(N376:N382)</f>
        <v>12.748921428571427</v>
      </c>
      <c r="AB382" s="6">
        <f t="shared" ref="AB382" si="2063">AVERAGE(R376:R382)</f>
        <v>22.699942857142851</v>
      </c>
      <c r="AC382" s="6">
        <f t="shared" si="2055"/>
        <v>-0.33168494446411678</v>
      </c>
      <c r="AD382" s="42">
        <f>Tabla1[[#This Row],[Avg Agua)]]/Tabla1[[#This Row],[Avg Musculo]]</f>
        <v>2.0415907277299632</v>
      </c>
      <c r="AE382" t="s">
        <v>111</v>
      </c>
    </row>
    <row r="383" spans="1:31" x14ac:dyDescent="0.3">
      <c r="A383" t="s">
        <v>109</v>
      </c>
      <c r="B383">
        <v>42</v>
      </c>
      <c r="C383" t="s">
        <v>23</v>
      </c>
      <c r="D383" s="4">
        <v>45580</v>
      </c>
      <c r="E383" s="6">
        <v>85.75</v>
      </c>
      <c r="F383" s="7">
        <f t="shared" si="2041"/>
        <v>24.261543684925307</v>
      </c>
      <c r="G383" s="9">
        <v>0.152</v>
      </c>
      <c r="H383" s="6">
        <f t="shared" si="2042"/>
        <v>72.716000000000008</v>
      </c>
      <c r="I383" s="6">
        <f t="shared" si="2043"/>
        <v>22.296500000000002</v>
      </c>
      <c r="J383">
        <v>3.6</v>
      </c>
      <c r="K383" s="5">
        <v>7.0000000000000007E-2</v>
      </c>
      <c r="L383" s="17">
        <v>2094</v>
      </c>
      <c r="M383" s="5">
        <v>0.54600000000000004</v>
      </c>
      <c r="N383" s="6">
        <f t="shared" si="2044"/>
        <v>13.033999999999999</v>
      </c>
      <c r="O383" s="21">
        <f t="shared" si="2045"/>
        <v>46.819500000000005</v>
      </c>
      <c r="P383" s="8">
        <f t="shared" si="1836"/>
        <v>46.448350000000005</v>
      </c>
      <c r="Q383" s="8">
        <f t="shared" si="2046"/>
        <v>63.453499999999998</v>
      </c>
      <c r="R383" s="6">
        <f t="shared" si="2047"/>
        <v>22.296500000000002</v>
      </c>
      <c r="S383" s="6">
        <f t="shared" si="2048"/>
        <v>6.0025000000000004</v>
      </c>
      <c r="T383" s="6">
        <f t="shared" si="2049"/>
        <v>-0.19630000000000081</v>
      </c>
      <c r="U383" s="6">
        <f t="shared" si="2050"/>
        <v>-0.27160000000000117</v>
      </c>
      <c r="V383" s="6">
        <f t="shared" si="2051"/>
        <v>-0.65000000000000568</v>
      </c>
      <c r="W383" s="9">
        <f>Tabla1[[#This Row],[Protein]]/Tabla1[[#This Row],[Peso (Kg)]]</f>
        <v>0.26001749271137026</v>
      </c>
      <c r="X383" s="9">
        <f t="shared" si="1837"/>
        <v>0.26486866966407224</v>
      </c>
      <c r="Y383" s="6">
        <f t="shared" si="2052"/>
        <v>38.930500000000002</v>
      </c>
      <c r="Z383" s="6">
        <f t="shared" si="1838"/>
        <v>85.45</v>
      </c>
      <c r="AA383" s="6">
        <f t="shared" ref="AA383" si="2064">AVERAGE(N377:N383)</f>
        <v>12.7698</v>
      </c>
      <c r="AB383" s="6">
        <f t="shared" ref="AB383" si="2065">AVERAGE(R377:R383)</f>
        <v>22.631849999999996</v>
      </c>
      <c r="AC383" s="6">
        <f t="shared" si="2055"/>
        <v>-0.29996928878359697</v>
      </c>
      <c r="AD383" s="42">
        <f>Tabla1[[#This Row],[Avg Agua)]]/Tabla1[[#This Row],[Avg Musculo]]</f>
        <v>2.0523443730848343</v>
      </c>
    </row>
    <row r="384" spans="1:31" x14ac:dyDescent="0.3">
      <c r="A384" t="s">
        <v>109</v>
      </c>
      <c r="B384">
        <v>42</v>
      </c>
      <c r="C384" t="s">
        <v>24</v>
      </c>
      <c r="D384" s="4">
        <v>45581</v>
      </c>
      <c r="E384" s="6">
        <v>84.95</v>
      </c>
      <c r="F384" s="7">
        <f t="shared" ref="F384:F389" si="2066">E384/(1.88^2)</f>
        <v>24.035196921684022</v>
      </c>
      <c r="G384" s="9">
        <v>0.14799999999999999</v>
      </c>
      <c r="H384" s="6">
        <f t="shared" ref="H384:H389" si="2067">E384-N384</f>
        <v>72.377400000000009</v>
      </c>
      <c r="I384" s="6">
        <f t="shared" ref="I384:I389" si="2068">E384-N384-O384-J384</f>
        <v>22.989350000000002</v>
      </c>
      <c r="J384">
        <v>3.6</v>
      </c>
      <c r="K384" s="5">
        <v>6.5000000000000002E-2</v>
      </c>
      <c r="L384" s="17">
        <v>2081</v>
      </c>
      <c r="M384" s="5">
        <v>0.53900000000000003</v>
      </c>
      <c r="N384" s="6">
        <f t="shared" ref="N384:N389" si="2069">E384*G384</f>
        <v>12.5726</v>
      </c>
      <c r="O384" s="21">
        <f t="shared" ref="O384:O389" si="2070">M384*E384</f>
        <v>45.788050000000005</v>
      </c>
      <c r="P384" s="8">
        <f t="shared" si="1836"/>
        <v>46.39378571428572</v>
      </c>
      <c r="Q384" s="8">
        <f t="shared" ref="Q384:Q389" si="2071">E384-R384</f>
        <v>61.960650000000001</v>
      </c>
      <c r="R384" s="6">
        <f t="shared" ref="R384:R389" si="2072">I384</f>
        <v>22.989350000000002</v>
      </c>
      <c r="S384" s="6">
        <f t="shared" ref="S384:S389" si="2073">K384*E384</f>
        <v>5.5217499999999999</v>
      </c>
      <c r="T384" s="6">
        <f t="shared" ref="T384:T389" si="2074">I384-I383</f>
        <v>0.69284999999999997</v>
      </c>
      <c r="U384" s="6">
        <f t="shared" ref="U384:U389" si="2075">N384-N383</f>
        <v>-0.46139999999999937</v>
      </c>
      <c r="V384" s="6">
        <f t="shared" ref="V384:V389" si="2076">E384-E383</f>
        <v>-0.79999999999999716</v>
      </c>
      <c r="W384" s="9">
        <f>Tabla1[[#This Row],[Protein]]/Tabla1[[#This Row],[Peso (Kg)]]</f>
        <v>0.2706221306650971</v>
      </c>
      <c r="X384" s="9">
        <f t="shared" si="1837"/>
        <v>0.26540115449592822</v>
      </c>
      <c r="Y384" s="6">
        <f t="shared" ref="Y384:Y389" si="2077">R384+N384+J384</f>
        <v>39.161950000000004</v>
      </c>
      <c r="Z384" s="6">
        <f t="shared" si="1838"/>
        <v>85.371428571428581</v>
      </c>
      <c r="AA384" s="6">
        <f t="shared" ref="AA384" si="2078">AVERAGE(N378:N384)</f>
        <v>12.721528571428568</v>
      </c>
      <c r="AB384" s="6">
        <f t="shared" ref="AB384" si="2079">AVERAGE(R378:R384)</f>
        <v>22.656114285714285</v>
      </c>
      <c r="AC384" s="6">
        <f t="shared" ref="AC384:AC389" si="2080">100*(AB384/AB383-1)</f>
        <v>0.10721300165159597</v>
      </c>
      <c r="AD384" s="42">
        <f>Tabla1[[#This Row],[Avg Agua)]]/Tabla1[[#This Row],[Avg Musculo]]</f>
        <v>2.0477379805388396</v>
      </c>
    </row>
    <row r="385" spans="1:31" x14ac:dyDescent="0.3">
      <c r="A385" t="s">
        <v>109</v>
      </c>
      <c r="B385">
        <v>42</v>
      </c>
      <c r="C385" t="s">
        <v>22</v>
      </c>
      <c r="D385" s="4">
        <v>45582</v>
      </c>
      <c r="E385" s="6">
        <v>84.75</v>
      </c>
      <c r="F385" s="7">
        <f t="shared" si="2066"/>
        <v>23.978610230873699</v>
      </c>
      <c r="G385" s="9">
        <v>0.14599999999999999</v>
      </c>
      <c r="H385" s="6">
        <f t="shared" si="2067"/>
        <v>72.376499999999993</v>
      </c>
      <c r="I385" s="6">
        <f t="shared" si="2068"/>
        <v>23.011499999999991</v>
      </c>
      <c r="J385">
        <v>3.6</v>
      </c>
      <c r="K385" s="5">
        <v>6.5000000000000002E-2</v>
      </c>
      <c r="L385" s="17">
        <v>2079</v>
      </c>
      <c r="M385" s="5">
        <v>0.54</v>
      </c>
      <c r="N385" s="6">
        <f t="shared" si="2069"/>
        <v>12.3735</v>
      </c>
      <c r="O385" s="21">
        <f t="shared" si="2070"/>
        <v>45.765000000000001</v>
      </c>
      <c r="P385" s="8">
        <f t="shared" si="1836"/>
        <v>46.353585714285714</v>
      </c>
      <c r="Q385" s="8">
        <f t="shared" si="2071"/>
        <v>61.738500000000009</v>
      </c>
      <c r="R385" s="6">
        <f t="shared" si="2072"/>
        <v>23.011499999999991</v>
      </c>
      <c r="S385" s="6">
        <f t="shared" si="2073"/>
        <v>5.50875</v>
      </c>
      <c r="T385" s="6">
        <f t="shared" si="2074"/>
        <v>2.2149999999989234E-2</v>
      </c>
      <c r="U385" s="6">
        <f t="shared" si="2075"/>
        <v>-0.19909999999999961</v>
      </c>
      <c r="V385" s="6">
        <f t="shared" si="2076"/>
        <v>-0.20000000000000284</v>
      </c>
      <c r="W385" s="9">
        <f>Tabla1[[#This Row],[Protein]]/Tabla1[[#This Row],[Peso (Kg)]]</f>
        <v>0.2715221238938052</v>
      </c>
      <c r="X385" s="9">
        <f t="shared" si="1837"/>
        <v>0.26625471936485462</v>
      </c>
      <c r="Y385" s="6">
        <f t="shared" si="2077"/>
        <v>38.984999999999992</v>
      </c>
      <c r="Z385" s="6">
        <f t="shared" si="1838"/>
        <v>85.364285714285728</v>
      </c>
      <c r="AA385" s="6">
        <f t="shared" ref="AA385" si="2081">AVERAGE(N379:N385)</f>
        <v>12.684142857142856</v>
      </c>
      <c r="AB385" s="6">
        <f t="shared" ref="AB385" si="2082">AVERAGE(R379:R385)</f>
        <v>22.726557142857139</v>
      </c>
      <c r="AC385" s="6">
        <f t="shared" si="2080"/>
        <v>0.31092205951341878</v>
      </c>
      <c r="AD385" s="42">
        <f>Tabla1[[#This Row],[Avg Agua)]]/Tabla1[[#This Row],[Avg Musculo]]</f>
        <v>2.0396219903838118</v>
      </c>
    </row>
    <row r="386" spans="1:31" x14ac:dyDescent="0.3">
      <c r="A386" t="s">
        <v>109</v>
      </c>
      <c r="B386">
        <v>42</v>
      </c>
      <c r="C386" t="s">
        <v>20</v>
      </c>
      <c r="D386" s="4">
        <v>45583</v>
      </c>
      <c r="E386" s="6">
        <v>85</v>
      </c>
      <c r="F386" s="7">
        <f t="shared" si="2066"/>
        <v>24.049343594386603</v>
      </c>
      <c r="G386" s="9">
        <v>0.14399999999999999</v>
      </c>
      <c r="H386" s="6">
        <f t="shared" si="2067"/>
        <v>72.760000000000005</v>
      </c>
      <c r="I386" s="6">
        <f t="shared" si="2068"/>
        <v>23.090000000000003</v>
      </c>
      <c r="J386">
        <v>3.6</v>
      </c>
      <c r="K386" s="5">
        <v>6.5000000000000002E-2</v>
      </c>
      <c r="L386" s="17">
        <v>2091</v>
      </c>
      <c r="M386" s="5">
        <v>0.54200000000000004</v>
      </c>
      <c r="N386" s="6">
        <f t="shared" si="2069"/>
        <v>12.239999999999998</v>
      </c>
      <c r="O386" s="21">
        <f t="shared" si="2070"/>
        <v>46.07</v>
      </c>
      <c r="P386" s="8">
        <f t="shared" si="1836"/>
        <v>46.277242857142859</v>
      </c>
      <c r="Q386" s="8">
        <f t="shared" si="2071"/>
        <v>61.91</v>
      </c>
      <c r="R386" s="6">
        <f t="shared" si="2072"/>
        <v>23.090000000000003</v>
      </c>
      <c r="S386" s="6">
        <f t="shared" si="2073"/>
        <v>5.5250000000000004</v>
      </c>
      <c r="T386" s="6">
        <f t="shared" si="2074"/>
        <v>7.8500000000012449E-2</v>
      </c>
      <c r="U386" s="6">
        <f t="shared" si="2075"/>
        <v>-0.13350000000000151</v>
      </c>
      <c r="V386" s="6">
        <f t="shared" si="2076"/>
        <v>0.25</v>
      </c>
      <c r="W386" s="9">
        <f>Tabla1[[#This Row],[Protein]]/Tabla1[[#This Row],[Peso (Kg)]]</f>
        <v>0.27164705882352946</v>
      </c>
      <c r="X386" s="9">
        <f t="shared" si="1837"/>
        <v>0.26724051650061031</v>
      </c>
      <c r="Y386" s="6">
        <f t="shared" si="2077"/>
        <v>38.93</v>
      </c>
      <c r="Z386" s="6">
        <f t="shared" si="1838"/>
        <v>85.335714285714275</v>
      </c>
      <c r="AA386" s="6">
        <f t="shared" ref="AA386" si="2083">AVERAGE(N380:N386)</f>
        <v>12.655685714285712</v>
      </c>
      <c r="AB386" s="6">
        <f t="shared" ref="AB386" si="2084">AVERAGE(R380:R386)</f>
        <v>22.802785714285712</v>
      </c>
      <c r="AC386" s="6">
        <f t="shared" si="2080"/>
        <v>0.33541627510671468</v>
      </c>
      <c r="AD386" s="42">
        <f>Tabla1[[#This Row],[Avg Agua)]]/Tabla1[[#This Row],[Avg Musculo]]</f>
        <v>2.0294556742753866</v>
      </c>
    </row>
    <row r="387" spans="1:31" x14ac:dyDescent="0.3">
      <c r="A387" t="s">
        <v>109</v>
      </c>
      <c r="B387">
        <v>42</v>
      </c>
      <c r="C387" t="s">
        <v>25</v>
      </c>
      <c r="D387" s="4">
        <v>45584</v>
      </c>
      <c r="E387" s="6">
        <v>84.55</v>
      </c>
      <c r="F387" s="7">
        <f t="shared" si="2066"/>
        <v>23.922023540063378</v>
      </c>
      <c r="G387" s="9">
        <v>0.152</v>
      </c>
      <c r="H387" s="6">
        <f t="shared" si="2067"/>
        <v>71.698399999999992</v>
      </c>
      <c r="I387" s="6">
        <f t="shared" si="2068"/>
        <v>23.04869999999999</v>
      </c>
      <c r="J387">
        <v>3.5</v>
      </c>
      <c r="K387" s="5">
        <v>7.0000000000000007E-2</v>
      </c>
      <c r="L387" s="17">
        <v>2062</v>
      </c>
      <c r="M387" s="5">
        <v>0.53400000000000003</v>
      </c>
      <c r="N387" s="6">
        <f t="shared" si="2069"/>
        <v>12.851599999999999</v>
      </c>
      <c r="O387" s="21">
        <f t="shared" si="2070"/>
        <v>45.149700000000003</v>
      </c>
      <c r="P387" s="8">
        <f t="shared" si="1836"/>
        <v>46.090964285714286</v>
      </c>
      <c r="Q387" s="8">
        <f t="shared" si="2071"/>
        <v>61.501300000000008</v>
      </c>
      <c r="R387" s="6">
        <f t="shared" si="2072"/>
        <v>23.04869999999999</v>
      </c>
      <c r="S387" s="6">
        <f t="shared" si="2073"/>
        <v>5.9185000000000008</v>
      </c>
      <c r="T387" s="6">
        <f t="shared" si="2074"/>
        <v>-4.1300000000013881E-2</v>
      </c>
      <c r="U387" s="6">
        <f t="shared" si="2075"/>
        <v>0.61160000000000103</v>
      </c>
      <c r="V387" s="6">
        <f t="shared" si="2076"/>
        <v>-0.45000000000000284</v>
      </c>
      <c r="W387" s="9">
        <f>Tabla1[[#This Row],[Protein]]/Tabla1[[#This Row],[Peso (Kg)]]</f>
        <v>0.27260437610881122</v>
      </c>
      <c r="X387" s="9">
        <f t="shared" si="1837"/>
        <v>0.26805266374300624</v>
      </c>
      <c r="Y387" s="6">
        <f t="shared" si="2077"/>
        <v>39.400299999999987</v>
      </c>
      <c r="Z387" s="6">
        <f t="shared" si="1838"/>
        <v>85.19285714285715</v>
      </c>
      <c r="AA387" s="6">
        <f t="shared" ref="AA387" si="2085">AVERAGE(N381:N387)</f>
        <v>12.682857142857143</v>
      </c>
      <c r="AB387" s="6">
        <f t="shared" ref="AB387:AB388" si="2086">AVERAGE(R381:R387)</f>
        <v>22.833321428571427</v>
      </c>
      <c r="AC387" s="6">
        <f t="shared" si="2080"/>
        <v>0.13391220997434061</v>
      </c>
      <c r="AD387" s="42">
        <f>Tabla1[[#This Row],[Avg Agua)]]/Tabla1[[#This Row],[Avg Musculo]]</f>
        <v>2.018583429918368</v>
      </c>
    </row>
    <row r="388" spans="1:31" x14ac:dyDescent="0.3">
      <c r="A388" t="s">
        <v>109</v>
      </c>
      <c r="B388">
        <v>42</v>
      </c>
      <c r="C388" t="s">
        <v>26</v>
      </c>
      <c r="D388" s="4">
        <v>45585</v>
      </c>
      <c r="E388" s="6">
        <v>85.2</v>
      </c>
      <c r="F388" s="7">
        <f t="shared" si="2066"/>
        <v>24.105930285196923</v>
      </c>
      <c r="G388" s="9">
        <v>0.14699999999999999</v>
      </c>
      <c r="H388" s="6">
        <f t="shared" si="2067"/>
        <v>72.675600000000003</v>
      </c>
      <c r="I388" s="6">
        <f t="shared" si="2068"/>
        <v>22.556399999999996</v>
      </c>
      <c r="J388">
        <v>3.6</v>
      </c>
      <c r="K388" s="5">
        <v>6.5000000000000002E-2</v>
      </c>
      <c r="L388" s="17">
        <v>2090</v>
      </c>
      <c r="M388" s="5">
        <v>0.54600000000000004</v>
      </c>
      <c r="N388" s="6">
        <f t="shared" si="2069"/>
        <v>12.5244</v>
      </c>
      <c r="O388" s="21">
        <f t="shared" si="2070"/>
        <v>46.519200000000005</v>
      </c>
      <c r="P388" s="8">
        <f t="shared" si="1836"/>
        <v>46.159007142857142</v>
      </c>
      <c r="Q388" s="8">
        <f t="shared" si="2071"/>
        <v>62.643600000000006</v>
      </c>
      <c r="R388" s="6">
        <f t="shared" si="2072"/>
        <v>22.556399999999996</v>
      </c>
      <c r="S388" s="6">
        <f t="shared" si="2073"/>
        <v>5.5380000000000003</v>
      </c>
      <c r="T388" s="6">
        <f t="shared" si="2074"/>
        <v>-0.49229999999999308</v>
      </c>
      <c r="U388" s="6">
        <f t="shared" si="2075"/>
        <v>-0.32719999999999949</v>
      </c>
      <c r="V388" s="6">
        <f t="shared" si="2076"/>
        <v>0.65000000000000568</v>
      </c>
      <c r="W388" s="9">
        <f>Tabla1[[#This Row],[Protein]]/Tabla1[[#This Row],[Peso (Kg)]]</f>
        <v>0.26474647887323938</v>
      </c>
      <c r="X388" s="9">
        <f t="shared" si="1837"/>
        <v>0.2673561420584552</v>
      </c>
      <c r="Y388" s="6">
        <f t="shared" si="2077"/>
        <v>38.680799999999998</v>
      </c>
      <c r="Z388" s="6">
        <f t="shared" si="1838"/>
        <v>85.228571428571428</v>
      </c>
      <c r="AA388" s="6">
        <f t="shared" ref="AA388" si="2087">AVERAGE(N382:N388)</f>
        <v>12.700242857142857</v>
      </c>
      <c r="AB388" s="6">
        <f t="shared" si="2086"/>
        <v>22.783607142857139</v>
      </c>
      <c r="AC388" s="6">
        <f t="shared" si="2080"/>
        <v>-0.21772691226638052</v>
      </c>
      <c r="AD388" s="42">
        <f>Tabla1[[#This Row],[Avg Agua)]]/Tabla1[[#This Row],[Avg Musculo]]</f>
        <v>2.025974502344261</v>
      </c>
    </row>
    <row r="389" spans="1:31" x14ac:dyDescent="0.3">
      <c r="A389" t="s">
        <v>109</v>
      </c>
      <c r="B389">
        <v>43</v>
      </c>
      <c r="C389" t="s">
        <v>25</v>
      </c>
      <c r="D389" s="4">
        <v>45591</v>
      </c>
      <c r="E389" s="6">
        <v>87</v>
      </c>
      <c r="F389" s="7">
        <f t="shared" si="2066"/>
        <v>24.615210502489816</v>
      </c>
      <c r="G389" s="9">
        <v>0.161</v>
      </c>
      <c r="H389" s="6">
        <f t="shared" si="2067"/>
        <v>72.992999999999995</v>
      </c>
      <c r="I389" s="6">
        <f t="shared" si="2068"/>
        <v>21.803999999999988</v>
      </c>
      <c r="J389">
        <v>3.6</v>
      </c>
      <c r="K389" s="5">
        <v>7.0000000000000007E-2</v>
      </c>
      <c r="L389" s="17">
        <v>2106</v>
      </c>
      <c r="M389" s="5">
        <v>0.54700000000000004</v>
      </c>
      <c r="N389" s="6">
        <f t="shared" si="2069"/>
        <v>14.007</v>
      </c>
      <c r="O389" s="21">
        <f t="shared" si="2070"/>
        <v>47.589000000000006</v>
      </c>
      <c r="P389" s="8">
        <f t="shared" si="1836"/>
        <v>46.242921428571428</v>
      </c>
      <c r="Q389" s="8">
        <f t="shared" si="2071"/>
        <v>65.196000000000012</v>
      </c>
      <c r="R389" s="6">
        <f t="shared" si="2072"/>
        <v>21.803999999999988</v>
      </c>
      <c r="S389" s="6">
        <f t="shared" si="2073"/>
        <v>6.0900000000000007</v>
      </c>
      <c r="T389" s="6">
        <f t="shared" si="2074"/>
        <v>-0.75240000000000862</v>
      </c>
      <c r="U389" s="6">
        <f t="shared" si="2075"/>
        <v>1.4825999999999997</v>
      </c>
      <c r="V389" s="6">
        <f t="shared" si="2076"/>
        <v>1.7999999999999972</v>
      </c>
      <c r="W389" s="9">
        <f>Tabla1[[#This Row],[Protein]]/Tabla1[[#This Row],[Peso (Kg)]]</f>
        <v>0.25062068965517226</v>
      </c>
      <c r="X389" s="9">
        <f t="shared" si="1837"/>
        <v>0.2659686215330036</v>
      </c>
      <c r="Y389" s="6">
        <f t="shared" si="2077"/>
        <v>39.410999999999987</v>
      </c>
      <c r="Z389" s="6">
        <f t="shared" si="1838"/>
        <v>85.314285714285717</v>
      </c>
      <c r="AA389" s="6">
        <f t="shared" ref="AA389" si="2088">AVERAGE(N383:N389)</f>
        <v>12.800442857142858</v>
      </c>
      <c r="AB389" s="6">
        <f t="shared" ref="AB389" si="2089">AVERAGE(R383:R389)</f>
        <v>22.685207142857141</v>
      </c>
      <c r="AC389" s="6">
        <f t="shared" si="2080"/>
        <v>-0.43188946940233564</v>
      </c>
      <c r="AD389" s="42">
        <f>Tabla1[[#This Row],[Avg Agua)]]/Tabla1[[#This Row],[Avg Musculo]]</f>
        <v>2.0384615021305579</v>
      </c>
      <c r="AE389" t="s">
        <v>113</v>
      </c>
    </row>
    <row r="390" spans="1:31" x14ac:dyDescent="0.3">
      <c r="A390" t="s">
        <v>109</v>
      </c>
      <c r="B390">
        <v>43</v>
      </c>
      <c r="C390" t="s">
        <v>26</v>
      </c>
      <c r="D390" s="4">
        <v>45592</v>
      </c>
      <c r="E390" s="6">
        <v>86.6</v>
      </c>
      <c r="F390" s="7">
        <f t="shared" ref="F390:F395" si="2090">E390/(1.88^2)</f>
        <v>24.502037120869172</v>
      </c>
      <c r="G390" s="9">
        <v>0.157</v>
      </c>
      <c r="H390" s="6">
        <f t="shared" ref="H390:H395" si="2091">E390-N390</f>
        <v>73.003799999999998</v>
      </c>
      <c r="I390" s="6">
        <f t="shared" ref="I390:I395" si="2092">E390-N390-O390-J390</f>
        <v>22.379999999999995</v>
      </c>
      <c r="J390">
        <v>3.6</v>
      </c>
      <c r="K390" s="5">
        <v>7.0000000000000007E-2</v>
      </c>
      <c r="L390" s="17">
        <v>2105</v>
      </c>
      <c r="M390" s="5">
        <v>0.54300000000000004</v>
      </c>
      <c r="N390" s="6">
        <f t="shared" ref="N390:N395" si="2093">E390*G390</f>
        <v>13.5962</v>
      </c>
      <c r="O390" s="21">
        <f t="shared" ref="O390:O395" si="2094">M390*E390</f>
        <v>47.023800000000001</v>
      </c>
      <c r="P390" s="8">
        <f t="shared" si="1836"/>
        <v>46.272107142857145</v>
      </c>
      <c r="Q390" s="8">
        <f t="shared" ref="Q390:Q395" si="2095">E390-R390</f>
        <v>64.22</v>
      </c>
      <c r="R390" s="6">
        <f t="shared" ref="R390:R395" si="2096">I390</f>
        <v>22.379999999999995</v>
      </c>
      <c r="S390" s="6">
        <f t="shared" ref="S390:S395" si="2097">K390*E390</f>
        <v>6.0620000000000003</v>
      </c>
      <c r="T390" s="6">
        <f t="shared" ref="T390:T395" si="2098">I390-I389</f>
        <v>0.57600000000000762</v>
      </c>
      <c r="U390" s="6">
        <f t="shared" ref="U390:U395" si="2099">N390-N389</f>
        <v>-0.41080000000000005</v>
      </c>
      <c r="V390" s="6">
        <f t="shared" ref="V390:V395" si="2100">E390-E389</f>
        <v>-0.40000000000000568</v>
      </c>
      <c r="W390" s="9">
        <f>Tabla1[[#This Row],[Protein]]/Tabla1[[#This Row],[Peso (Kg)]]</f>
        <v>0.25842956120092375</v>
      </c>
      <c r="X390" s="9">
        <f t="shared" si="1837"/>
        <v>0.26574177417436834</v>
      </c>
      <c r="Y390" s="6">
        <f t="shared" ref="Y390:Y395" si="2101">R390+N390+J390</f>
        <v>39.576199999999993</v>
      </c>
      <c r="Z390" s="6">
        <f t="shared" si="1838"/>
        <v>85.435714285714283</v>
      </c>
      <c r="AA390" s="6">
        <f t="shared" ref="AA390" si="2102">AVERAGE(N384:N390)</f>
        <v>12.88075714285714</v>
      </c>
      <c r="AB390" s="6">
        <f t="shared" ref="AB390" si="2103">AVERAGE(R384:R390)</f>
        <v>22.697135714285707</v>
      </c>
      <c r="AC390" s="6">
        <f t="shared" ref="AC390:AC395" si="2104">100*(AB390/AB389-1)</f>
        <v>5.2583039482279048E-2</v>
      </c>
      <c r="AD390" s="42">
        <f>Tabla1[[#This Row],[Avg Agua)]]/Tabla1[[#This Row],[Avg Musculo]]</f>
        <v>2.0386760569851647</v>
      </c>
    </row>
    <row r="391" spans="1:31" x14ac:dyDescent="0.3">
      <c r="A391" t="s">
        <v>109</v>
      </c>
      <c r="B391">
        <v>44</v>
      </c>
      <c r="C391" t="s">
        <v>21</v>
      </c>
      <c r="D391" s="4">
        <v>45593</v>
      </c>
      <c r="E391" s="6">
        <v>86.25</v>
      </c>
      <c r="F391" s="7">
        <f t="shared" si="2090"/>
        <v>24.403010411951112</v>
      </c>
      <c r="G391" s="9">
        <v>0.151</v>
      </c>
      <c r="H391" s="6">
        <f t="shared" si="2091"/>
        <v>73.226249999999993</v>
      </c>
      <c r="I391" s="6">
        <f t="shared" si="2092"/>
        <v>22.70624999999999</v>
      </c>
      <c r="J391">
        <v>3.6</v>
      </c>
      <c r="K391" s="5">
        <v>7.0000000000000007E-2</v>
      </c>
      <c r="L391" s="17">
        <v>2109</v>
      </c>
      <c r="M391" s="5">
        <v>0.54400000000000004</v>
      </c>
      <c r="N391" s="6">
        <f t="shared" si="2093"/>
        <v>13.02375</v>
      </c>
      <c r="O391" s="21">
        <f t="shared" si="2094"/>
        <v>46.92</v>
      </c>
      <c r="P391" s="8">
        <f t="shared" si="1836"/>
        <v>46.433814285714291</v>
      </c>
      <c r="Q391" s="8">
        <f t="shared" si="2095"/>
        <v>63.54375000000001</v>
      </c>
      <c r="R391" s="6">
        <f t="shared" si="2096"/>
        <v>22.70624999999999</v>
      </c>
      <c r="S391" s="6">
        <f t="shared" si="2097"/>
        <v>6.0375000000000005</v>
      </c>
      <c r="T391" s="6">
        <f t="shared" si="2098"/>
        <v>0.3262499999999946</v>
      </c>
      <c r="U391" s="6">
        <f t="shared" si="2099"/>
        <v>-0.5724499999999999</v>
      </c>
      <c r="V391" s="6">
        <f t="shared" si="2100"/>
        <v>-0.34999999999999432</v>
      </c>
      <c r="W391" s="9">
        <f>Tabla1[[#This Row],[Protein]]/Tabla1[[#This Row],[Peso (Kg)]]</f>
        <v>0.26326086956521727</v>
      </c>
      <c r="X391" s="9">
        <f t="shared" si="1837"/>
        <v>0.26469016544581409</v>
      </c>
      <c r="Y391" s="6">
        <f t="shared" si="2101"/>
        <v>39.329999999999991</v>
      </c>
      <c r="Z391" s="6">
        <f t="shared" si="1838"/>
        <v>85.621428571428581</v>
      </c>
      <c r="AA391" s="6">
        <f t="shared" ref="AA391" si="2105">AVERAGE(N385:N391)</f>
        <v>12.945207142857141</v>
      </c>
      <c r="AB391" s="6">
        <f t="shared" ref="AB391" si="2106">AVERAGE(R385:R391)</f>
        <v>22.656692857142847</v>
      </c>
      <c r="AC391" s="6">
        <f t="shared" si="2104"/>
        <v>-0.17818484963019188</v>
      </c>
      <c r="AD391" s="42">
        <f>Tabla1[[#This Row],[Avg Agua)]]/Tabla1[[#This Row],[Avg Musculo]]</f>
        <v>2.0494524323780716</v>
      </c>
    </row>
    <row r="392" spans="1:31" x14ac:dyDescent="0.3">
      <c r="A392" t="s">
        <v>109</v>
      </c>
      <c r="B392">
        <v>44</v>
      </c>
      <c r="C392" t="s">
        <v>23</v>
      </c>
      <c r="D392" s="4">
        <v>45594</v>
      </c>
      <c r="E392" s="6">
        <v>85.85</v>
      </c>
      <c r="F392" s="7">
        <f t="shared" si="2090"/>
        <v>24.289837030330467</v>
      </c>
      <c r="G392" s="9">
        <v>0.14499999999999999</v>
      </c>
      <c r="H392" s="6">
        <f t="shared" si="2091"/>
        <v>73.401749999999993</v>
      </c>
      <c r="I392" s="6">
        <f t="shared" si="2092"/>
        <v>23.185199999999988</v>
      </c>
      <c r="J392">
        <v>3.6</v>
      </c>
      <c r="K392" s="5">
        <v>6.5000000000000002E-2</v>
      </c>
      <c r="L392" s="17">
        <v>2113</v>
      </c>
      <c r="M392" s="5">
        <v>0.54300000000000004</v>
      </c>
      <c r="N392" s="6">
        <f t="shared" si="2093"/>
        <v>12.448249999999998</v>
      </c>
      <c r="O392" s="21">
        <f t="shared" si="2094"/>
        <v>46.616550000000004</v>
      </c>
      <c r="P392" s="8">
        <f t="shared" si="1836"/>
        <v>46.555464285714287</v>
      </c>
      <c r="Q392" s="8">
        <f t="shared" si="2095"/>
        <v>62.664800000000007</v>
      </c>
      <c r="R392" s="6">
        <f t="shared" si="2096"/>
        <v>23.185199999999988</v>
      </c>
      <c r="S392" s="6">
        <f t="shared" si="2097"/>
        <v>5.5802499999999995</v>
      </c>
      <c r="T392" s="6">
        <f t="shared" si="2098"/>
        <v>0.47894999999999754</v>
      </c>
      <c r="U392" s="6">
        <f t="shared" si="2099"/>
        <v>-0.57550000000000168</v>
      </c>
      <c r="V392" s="6">
        <f t="shared" si="2100"/>
        <v>-0.40000000000000568</v>
      </c>
      <c r="W392" s="9">
        <f>Tabla1[[#This Row],[Protein]]/Tabla1[[#This Row],[Peso (Kg)]]</f>
        <v>0.27006639487478146</v>
      </c>
      <c r="X392" s="9">
        <f t="shared" si="1837"/>
        <v>0.26448220415738211</v>
      </c>
      <c r="Y392" s="6">
        <f t="shared" si="2101"/>
        <v>39.233449999999984</v>
      </c>
      <c r="Z392" s="6">
        <f t="shared" si="1838"/>
        <v>85.778571428571439</v>
      </c>
      <c r="AA392" s="6">
        <f t="shared" ref="AA392" si="2107">AVERAGE(N386:N392)</f>
        <v>12.955885714285715</v>
      </c>
      <c r="AB392" s="6">
        <f t="shared" ref="AB392" si="2108">AVERAGE(R386:R392)</f>
        <v>22.681507142857136</v>
      </c>
      <c r="AC392" s="6">
        <f t="shared" si="2104"/>
        <v>0.10952298232911328</v>
      </c>
      <c r="AD392" s="42">
        <f>Tabla1[[#This Row],[Avg Agua)]]/Tabla1[[#This Row],[Avg Musculo]]</f>
        <v>2.0525736668418677</v>
      </c>
    </row>
    <row r="393" spans="1:31" x14ac:dyDescent="0.3">
      <c r="A393" t="s">
        <v>109</v>
      </c>
      <c r="B393">
        <v>44</v>
      </c>
      <c r="C393" t="s">
        <v>24</v>
      </c>
      <c r="D393" s="4">
        <v>45595</v>
      </c>
      <c r="E393" s="6">
        <v>85.85</v>
      </c>
      <c r="F393" s="7">
        <f t="shared" si="2090"/>
        <v>24.289837030330467</v>
      </c>
      <c r="G393" s="9">
        <v>0.14899999999999999</v>
      </c>
      <c r="H393" s="6">
        <f t="shared" si="2091"/>
        <v>73.05834999999999</v>
      </c>
      <c r="I393" s="6">
        <f t="shared" si="2092"/>
        <v>22.58424999999999</v>
      </c>
      <c r="J393">
        <v>3.6</v>
      </c>
      <c r="K393" s="5">
        <v>7.0000000000000007E-2</v>
      </c>
      <c r="L393" s="17">
        <v>2103</v>
      </c>
      <c r="M393" s="5">
        <v>0.54600000000000004</v>
      </c>
      <c r="N393" s="6">
        <f t="shared" si="2093"/>
        <v>12.791649999999999</v>
      </c>
      <c r="O393" s="21">
        <f t="shared" si="2094"/>
        <v>46.874099999999999</v>
      </c>
      <c r="P393" s="8">
        <f t="shared" ref="P393:P456" si="2109">AVERAGE(O387:O393)</f>
        <v>46.67033571428572</v>
      </c>
      <c r="Q393" s="8">
        <f t="shared" si="2095"/>
        <v>63.265750000000004</v>
      </c>
      <c r="R393" s="6">
        <f t="shared" si="2096"/>
        <v>22.58424999999999</v>
      </c>
      <c r="S393" s="6">
        <f t="shared" si="2097"/>
        <v>6.0095000000000001</v>
      </c>
      <c r="T393" s="6">
        <f t="shared" si="2098"/>
        <v>-0.60094999999999743</v>
      </c>
      <c r="U393" s="6">
        <f t="shared" si="2099"/>
        <v>0.34340000000000082</v>
      </c>
      <c r="V393" s="6">
        <f t="shared" si="2100"/>
        <v>0</v>
      </c>
      <c r="W393" s="9">
        <f>Tabla1[[#This Row],[Protein]]/Tabla1[[#This Row],[Peso (Kg)]]</f>
        <v>0.26306639487478151</v>
      </c>
      <c r="X393" s="9">
        <f t="shared" ref="X393:X456" si="2110">AVERAGE(W387:W393)</f>
        <v>0.26325639502184667</v>
      </c>
      <c r="Y393" s="6">
        <f t="shared" si="2101"/>
        <v>38.975899999999989</v>
      </c>
      <c r="Z393" s="6">
        <f t="shared" ref="Z393:Z456" si="2111">AVERAGE(E387:E393)</f>
        <v>85.9</v>
      </c>
      <c r="AA393" s="6">
        <f t="shared" ref="AA393" si="2112">AVERAGE(N387:N393)</f>
        <v>13.034692857142858</v>
      </c>
      <c r="AB393" s="6">
        <f t="shared" ref="AB393" si="2113">AVERAGE(R387:R393)</f>
        <v>22.609257142857132</v>
      </c>
      <c r="AC393" s="6">
        <f t="shared" si="2104"/>
        <v>-0.31854144235189397</v>
      </c>
      <c r="AD393" s="42">
        <f>Tabla1[[#This Row],[Avg Agua)]]/Tabla1[[#This Row],[Avg Musculo]]</f>
        <v>2.0642135838164912</v>
      </c>
    </row>
    <row r="394" spans="1:31" x14ac:dyDescent="0.3">
      <c r="A394" t="s">
        <v>109</v>
      </c>
      <c r="B394">
        <v>44</v>
      </c>
      <c r="C394" t="s">
        <v>22</v>
      </c>
      <c r="D394" s="4">
        <v>45596</v>
      </c>
      <c r="E394" s="6">
        <v>86.95</v>
      </c>
      <c r="F394" s="7">
        <f t="shared" si="2090"/>
        <v>24.601063829787236</v>
      </c>
      <c r="G394" s="9">
        <v>0.157</v>
      </c>
      <c r="H394" s="6">
        <f t="shared" si="2091"/>
        <v>73.298850000000002</v>
      </c>
      <c r="I394" s="6">
        <f t="shared" si="2092"/>
        <v>22.311099999999996</v>
      </c>
      <c r="J394">
        <v>3.6</v>
      </c>
      <c r="K394" s="5">
        <v>7.0000000000000007E-2</v>
      </c>
      <c r="L394" s="17">
        <v>2114</v>
      </c>
      <c r="M394" s="5">
        <v>0.54500000000000004</v>
      </c>
      <c r="N394" s="6">
        <f t="shared" si="2093"/>
        <v>13.651150000000001</v>
      </c>
      <c r="O394" s="21">
        <f t="shared" si="2094"/>
        <v>47.387750000000004</v>
      </c>
      <c r="P394" s="8">
        <f t="shared" si="2109"/>
        <v>46.990057142857147</v>
      </c>
      <c r="Q394" s="8">
        <f t="shared" si="2095"/>
        <v>64.638900000000007</v>
      </c>
      <c r="R394" s="6">
        <f t="shared" si="2096"/>
        <v>22.311099999999996</v>
      </c>
      <c r="S394" s="6">
        <f t="shared" si="2097"/>
        <v>6.0865000000000009</v>
      </c>
      <c r="T394" s="6">
        <f t="shared" si="2098"/>
        <v>-0.27314999999999401</v>
      </c>
      <c r="U394" s="6">
        <f t="shared" si="2099"/>
        <v>0.85950000000000237</v>
      </c>
      <c r="V394" s="6">
        <f t="shared" si="2100"/>
        <v>1.1000000000000085</v>
      </c>
      <c r="W394" s="9">
        <f>Tabla1[[#This Row],[Protein]]/Tabla1[[#This Row],[Peso (Kg)]]</f>
        <v>0.25659689476710745</v>
      </c>
      <c r="X394" s="9">
        <f t="shared" si="2110"/>
        <v>0.26096961197303187</v>
      </c>
      <c r="Y394" s="6">
        <f t="shared" si="2101"/>
        <v>39.562249999999999</v>
      </c>
      <c r="Z394" s="6">
        <f t="shared" si="2111"/>
        <v>86.242857142857147</v>
      </c>
      <c r="AA394" s="6">
        <f t="shared" ref="AA394" si="2114">AVERAGE(N388:N394)</f>
        <v>13.148914285714286</v>
      </c>
      <c r="AB394" s="6">
        <f t="shared" ref="AB394" si="2115">AVERAGE(R388:R394)</f>
        <v>22.503885714285705</v>
      </c>
      <c r="AC394" s="6">
        <f t="shared" si="2104"/>
        <v>-0.46605435952908891</v>
      </c>
      <c r="AD394" s="42">
        <f>Tabla1[[#This Row],[Avg Agua)]]/Tabla1[[#This Row],[Avg Musculo]]</f>
        <v>2.0880863749244587</v>
      </c>
      <c r="AE394" t="s">
        <v>114</v>
      </c>
    </row>
    <row r="395" spans="1:31" x14ac:dyDescent="0.3">
      <c r="A395" t="s">
        <v>109</v>
      </c>
      <c r="B395">
        <v>44</v>
      </c>
      <c r="C395" t="s">
        <v>20</v>
      </c>
      <c r="D395" s="4">
        <v>45597</v>
      </c>
      <c r="E395" s="6">
        <v>86.3</v>
      </c>
      <c r="F395" s="7">
        <f t="shared" si="2090"/>
        <v>24.417157084653692</v>
      </c>
      <c r="G395" s="9">
        <v>0.14699999999999999</v>
      </c>
      <c r="H395" s="6">
        <f t="shared" si="2091"/>
        <v>73.613900000000001</v>
      </c>
      <c r="I395" s="6">
        <f t="shared" si="2092"/>
        <v>22.980399999999996</v>
      </c>
      <c r="J395">
        <v>3.6</v>
      </c>
      <c r="K395" s="5">
        <v>6.5000000000000002E-2</v>
      </c>
      <c r="L395" s="17">
        <v>2117</v>
      </c>
      <c r="M395" s="5">
        <v>0.54500000000000004</v>
      </c>
      <c r="N395" s="6">
        <f t="shared" si="2093"/>
        <v>12.6861</v>
      </c>
      <c r="O395" s="21">
        <f t="shared" si="2094"/>
        <v>47.033500000000004</v>
      </c>
      <c r="P395" s="8">
        <f t="shared" si="2109"/>
        <v>47.06352857142857</v>
      </c>
      <c r="Q395" s="8">
        <f t="shared" si="2095"/>
        <v>63.319600000000001</v>
      </c>
      <c r="R395" s="6">
        <f t="shared" si="2096"/>
        <v>22.980399999999996</v>
      </c>
      <c r="S395" s="6">
        <f t="shared" si="2097"/>
        <v>5.6094999999999997</v>
      </c>
      <c r="T395" s="6">
        <f t="shared" si="2098"/>
        <v>0.66929999999999978</v>
      </c>
      <c r="U395" s="6">
        <f t="shared" si="2099"/>
        <v>-0.96505000000000152</v>
      </c>
      <c r="V395" s="6">
        <f t="shared" si="2100"/>
        <v>-0.65000000000000568</v>
      </c>
      <c r="W395" s="9">
        <f>Tabla1[[#This Row],[Protein]]/Tabla1[[#This Row],[Peso (Kg)]]</f>
        <v>0.26628505214368481</v>
      </c>
      <c r="X395" s="9">
        <f t="shared" si="2110"/>
        <v>0.26118940815452413</v>
      </c>
      <c r="Y395" s="6">
        <f t="shared" si="2101"/>
        <v>39.266500000000001</v>
      </c>
      <c r="Z395" s="6">
        <f t="shared" si="2111"/>
        <v>86.4</v>
      </c>
      <c r="AA395" s="6">
        <f t="shared" ref="AA395" si="2116">AVERAGE(N389:N395)</f>
        <v>13.172014285714285</v>
      </c>
      <c r="AB395" s="6">
        <f t="shared" ref="AB395" si="2117">AVERAGE(R389:R395)</f>
        <v>22.564457142857133</v>
      </c>
      <c r="AC395" s="6">
        <f t="shared" si="2104"/>
        <v>0.26915986572477735</v>
      </c>
      <c r="AD395" s="42">
        <f>Tabla1[[#This Row],[Avg Agua)]]/Tabla1[[#This Row],[Avg Musculo]]</f>
        <v>2.0857372403628469</v>
      </c>
    </row>
    <row r="396" spans="1:31" x14ac:dyDescent="0.3">
      <c r="A396" t="s">
        <v>109</v>
      </c>
      <c r="B396">
        <v>44</v>
      </c>
      <c r="C396" t="s">
        <v>25</v>
      </c>
      <c r="D396" s="4">
        <v>45598</v>
      </c>
      <c r="E396" s="6">
        <v>85.95</v>
      </c>
      <c r="F396" s="7">
        <f t="shared" ref="F396:F401" si="2118">E396/(1.88^2)</f>
        <v>24.318130375735631</v>
      </c>
      <c r="G396" s="9">
        <v>0.14799999999999999</v>
      </c>
      <c r="H396" s="6">
        <f t="shared" ref="H396:H401" si="2119">E396-N396</f>
        <v>73.229399999999998</v>
      </c>
      <c r="I396" s="6">
        <f t="shared" ref="I396:I401" si="2120">E396-N396-O396-J396</f>
        <v>22.442849999999993</v>
      </c>
      <c r="J396">
        <v>3.6</v>
      </c>
      <c r="K396" s="5">
        <v>6.5000000000000002E-2</v>
      </c>
      <c r="L396" s="17">
        <v>2107</v>
      </c>
      <c r="M396" s="5">
        <v>0.54900000000000004</v>
      </c>
      <c r="N396" s="6">
        <f t="shared" ref="N396:N401" si="2121">E396*G396</f>
        <v>12.720599999999999</v>
      </c>
      <c r="O396" s="21">
        <f t="shared" ref="O396:O401" si="2122">M396*E396</f>
        <v>47.186550000000004</v>
      </c>
      <c r="P396" s="8">
        <f t="shared" si="2109"/>
        <v>47.006035714285723</v>
      </c>
      <c r="Q396" s="8">
        <f t="shared" ref="Q396:Q401" si="2123">E396-R396</f>
        <v>63.50715000000001</v>
      </c>
      <c r="R396" s="6">
        <f t="shared" ref="R396:R401" si="2124">I396</f>
        <v>22.442849999999993</v>
      </c>
      <c r="S396" s="6">
        <f t="shared" ref="S396:S401" si="2125">K396*E396</f>
        <v>5.5867500000000003</v>
      </c>
      <c r="T396" s="6">
        <f t="shared" ref="T396:T401" si="2126">I396-I395</f>
        <v>-0.53755000000000308</v>
      </c>
      <c r="U396" s="6">
        <f t="shared" ref="U396:U401" si="2127">N396-N395</f>
        <v>3.4499999999999531E-2</v>
      </c>
      <c r="V396" s="6">
        <f t="shared" ref="V396:V401" si="2128">E396-E395</f>
        <v>-0.34999999999999432</v>
      </c>
      <c r="W396" s="9">
        <f>Tabla1[[#This Row],[Protein]]/Tabla1[[#This Row],[Peso (Kg)]]</f>
        <v>0.26111518324607319</v>
      </c>
      <c r="X396" s="9">
        <f t="shared" si="2110"/>
        <v>0.26268862152465278</v>
      </c>
      <c r="Y396" s="6">
        <f t="shared" ref="Y396:Y401" si="2129">R396+N396+J396</f>
        <v>38.763449999999992</v>
      </c>
      <c r="Z396" s="6">
        <f t="shared" si="2111"/>
        <v>86.25</v>
      </c>
      <c r="AA396" s="6">
        <f t="shared" ref="AA396" si="2130">AVERAGE(N390:N396)</f>
        <v>12.988242857142856</v>
      </c>
      <c r="AB396" s="6">
        <f t="shared" ref="AB396" si="2131">AVERAGE(R390:R396)</f>
        <v>22.655721428571418</v>
      </c>
      <c r="AC396" s="6">
        <f t="shared" ref="AC396:AC401" si="2132">100*(AB396/AB395-1)</f>
        <v>0.40446036497348015</v>
      </c>
      <c r="AD396" s="42">
        <f>Tabla1[[#This Row],[Avg Agua)]]/Tabla1[[#This Row],[Avg Musculo]]</f>
        <v>2.0747975676910388</v>
      </c>
    </row>
    <row r="397" spans="1:31" x14ac:dyDescent="0.3">
      <c r="A397" t="s">
        <v>109</v>
      </c>
      <c r="B397">
        <v>44</v>
      </c>
      <c r="C397" t="s">
        <v>26</v>
      </c>
      <c r="D397" s="4">
        <v>45599</v>
      </c>
      <c r="E397" s="6">
        <v>86</v>
      </c>
      <c r="F397" s="7">
        <f t="shared" si="2118"/>
        <v>24.332277048438208</v>
      </c>
      <c r="G397" s="9">
        <v>0.154</v>
      </c>
      <c r="H397" s="6">
        <f t="shared" si="2119"/>
        <v>72.756</v>
      </c>
      <c r="I397" s="6">
        <f t="shared" si="2120"/>
        <v>21.597999999999992</v>
      </c>
      <c r="J397">
        <v>3.6</v>
      </c>
      <c r="K397" s="5">
        <v>7.0000000000000007E-2</v>
      </c>
      <c r="L397" s="17">
        <v>2096</v>
      </c>
      <c r="M397" s="5">
        <v>0.55300000000000005</v>
      </c>
      <c r="N397" s="6">
        <f t="shared" si="2121"/>
        <v>13.244</v>
      </c>
      <c r="O397" s="21">
        <f t="shared" si="2122"/>
        <v>47.558000000000007</v>
      </c>
      <c r="P397" s="8">
        <f t="shared" si="2109"/>
        <v>47.082350000000005</v>
      </c>
      <c r="Q397" s="8">
        <f t="shared" si="2123"/>
        <v>64.402000000000015</v>
      </c>
      <c r="R397" s="6">
        <f t="shared" si="2124"/>
        <v>21.597999999999992</v>
      </c>
      <c r="S397" s="6">
        <f t="shared" si="2125"/>
        <v>6.0200000000000005</v>
      </c>
      <c r="T397" s="6">
        <f t="shared" si="2126"/>
        <v>-0.84485000000000099</v>
      </c>
      <c r="U397" s="6">
        <f t="shared" si="2127"/>
        <v>0.52340000000000053</v>
      </c>
      <c r="V397" s="6">
        <f t="shared" si="2128"/>
        <v>4.9999999999997158E-2</v>
      </c>
      <c r="W397" s="9">
        <f>Tabla1[[#This Row],[Protein]]/Tabla1[[#This Row],[Peso (Kg)]]</f>
        <v>0.25113953488372082</v>
      </c>
      <c r="X397" s="9">
        <f t="shared" si="2110"/>
        <v>0.26164718919362379</v>
      </c>
      <c r="Y397" s="6">
        <f t="shared" si="2129"/>
        <v>38.441999999999993</v>
      </c>
      <c r="Z397" s="6">
        <f t="shared" si="2111"/>
        <v>86.164285714285711</v>
      </c>
      <c r="AA397" s="6">
        <f t="shared" ref="AA397" si="2133">AVERAGE(N391:N397)</f>
        <v>12.937928571428571</v>
      </c>
      <c r="AB397" s="6">
        <f t="shared" ref="AB397" si="2134">AVERAGE(R391:R397)</f>
        <v>22.544007142857133</v>
      </c>
      <c r="AC397" s="6">
        <f t="shared" si="2132"/>
        <v>-0.49309524777878533</v>
      </c>
      <c r="AD397" s="42">
        <f>Tabla1[[#This Row],[Avg Agua)]]/Tabla1[[#This Row],[Avg Musculo]]</f>
        <v>2.0884641182753363</v>
      </c>
      <c r="AE397" t="s">
        <v>115</v>
      </c>
    </row>
    <row r="398" spans="1:31" x14ac:dyDescent="0.3">
      <c r="A398" t="s">
        <v>109</v>
      </c>
      <c r="B398">
        <v>45</v>
      </c>
      <c r="C398" t="s">
        <v>21</v>
      </c>
      <c r="D398" s="4">
        <v>45600</v>
      </c>
      <c r="E398" s="6">
        <v>86.1</v>
      </c>
      <c r="F398" s="7">
        <f t="shared" si="2118"/>
        <v>24.360570393843368</v>
      </c>
      <c r="G398" s="9">
        <v>0.14599999999999999</v>
      </c>
      <c r="H398" s="6">
        <f t="shared" si="2119"/>
        <v>73.529399999999995</v>
      </c>
      <c r="I398" s="6">
        <f t="shared" si="2120"/>
        <v>22.402199999999993</v>
      </c>
      <c r="J398">
        <v>3.6</v>
      </c>
      <c r="K398" s="5">
        <v>6.5000000000000002E-2</v>
      </c>
      <c r="L398" s="17">
        <v>2117</v>
      </c>
      <c r="M398" s="5">
        <v>0.55200000000000005</v>
      </c>
      <c r="N398" s="6">
        <f t="shared" si="2121"/>
        <v>12.570599999999999</v>
      </c>
      <c r="O398" s="21">
        <f t="shared" si="2122"/>
        <v>47.527200000000001</v>
      </c>
      <c r="P398" s="8">
        <f t="shared" si="2109"/>
        <v>47.169092857142857</v>
      </c>
      <c r="Q398" s="8">
        <f t="shared" si="2123"/>
        <v>63.697800000000001</v>
      </c>
      <c r="R398" s="6">
        <f t="shared" si="2124"/>
        <v>22.402199999999993</v>
      </c>
      <c r="S398" s="6">
        <f t="shared" si="2125"/>
        <v>5.5964999999999998</v>
      </c>
      <c r="T398" s="6">
        <f t="shared" si="2126"/>
        <v>0.80420000000000158</v>
      </c>
      <c r="U398" s="6">
        <f t="shared" si="2127"/>
        <v>-0.67340000000000089</v>
      </c>
      <c r="V398" s="6">
        <f t="shared" si="2128"/>
        <v>9.9999999999994316E-2</v>
      </c>
      <c r="W398" s="9">
        <f>Tabla1[[#This Row],[Protein]]/Tabla1[[#This Row],[Peso (Kg)]]</f>
        <v>0.26018815331010448</v>
      </c>
      <c r="X398" s="9">
        <f t="shared" si="2110"/>
        <v>0.26120822972860769</v>
      </c>
      <c r="Y398" s="6">
        <f t="shared" si="2129"/>
        <v>38.572799999999994</v>
      </c>
      <c r="Z398" s="6">
        <f t="shared" si="2111"/>
        <v>86.142857142857139</v>
      </c>
      <c r="AA398" s="6">
        <f t="shared" ref="AA398" si="2135">AVERAGE(N392:N398)</f>
        <v>12.873192857142858</v>
      </c>
      <c r="AB398" s="6">
        <f t="shared" ref="AB398" si="2136">AVERAGE(R392:R398)</f>
        <v>22.500571428571419</v>
      </c>
      <c r="AC398" s="6">
        <f t="shared" si="2132"/>
        <v>-0.19267077946910627</v>
      </c>
      <c r="AD398" s="42">
        <f>Tabla1[[#This Row],[Avg Agua)]]/Tabla1[[#This Row],[Avg Musculo]]</f>
        <v>2.0963508863266975</v>
      </c>
    </row>
    <row r="399" spans="1:31" x14ac:dyDescent="0.3">
      <c r="A399" t="s">
        <v>109</v>
      </c>
      <c r="B399">
        <v>45</v>
      </c>
      <c r="C399" t="s">
        <v>23</v>
      </c>
      <c r="D399" s="4">
        <v>45601</v>
      </c>
      <c r="E399" s="6">
        <v>85.85</v>
      </c>
      <c r="F399" s="7">
        <f t="shared" si="2118"/>
        <v>24.289837030330467</v>
      </c>
      <c r="G399" s="9">
        <v>0.152</v>
      </c>
      <c r="H399" s="6">
        <f t="shared" si="2119"/>
        <v>72.800799999999995</v>
      </c>
      <c r="I399" s="6">
        <f t="shared" si="2120"/>
        <v>22.154999999999994</v>
      </c>
      <c r="J399">
        <v>3.6</v>
      </c>
      <c r="K399" s="5">
        <v>7.0000000000000007E-2</v>
      </c>
      <c r="L399" s="17">
        <v>2096</v>
      </c>
      <c r="M399" s="5">
        <v>0.54800000000000004</v>
      </c>
      <c r="N399" s="6">
        <f t="shared" si="2121"/>
        <v>13.049199999999999</v>
      </c>
      <c r="O399" s="21">
        <f t="shared" si="2122"/>
        <v>47.0458</v>
      </c>
      <c r="P399" s="8">
        <f t="shared" si="2109"/>
        <v>47.230414285714289</v>
      </c>
      <c r="Q399" s="8">
        <f t="shared" si="2123"/>
        <v>63.695</v>
      </c>
      <c r="R399" s="6">
        <f t="shared" si="2124"/>
        <v>22.154999999999994</v>
      </c>
      <c r="S399" s="6">
        <f t="shared" si="2125"/>
        <v>6.0095000000000001</v>
      </c>
      <c r="T399" s="6">
        <f t="shared" si="2126"/>
        <v>-0.24719999999999942</v>
      </c>
      <c r="U399" s="6">
        <f t="shared" si="2127"/>
        <v>0.47860000000000014</v>
      </c>
      <c r="V399" s="6">
        <f t="shared" si="2128"/>
        <v>-0.25</v>
      </c>
      <c r="W399" s="9">
        <f>Tabla1[[#This Row],[Protein]]/Tabla1[[#This Row],[Peso (Kg)]]</f>
        <v>0.25806639487478156</v>
      </c>
      <c r="X399" s="9">
        <f t="shared" si="2110"/>
        <v>0.25949394401432196</v>
      </c>
      <c r="Y399" s="6">
        <f t="shared" si="2129"/>
        <v>38.804199999999994</v>
      </c>
      <c r="Z399" s="6">
        <f t="shared" si="2111"/>
        <v>86.142857142857139</v>
      </c>
      <c r="AA399" s="6">
        <f t="shared" ref="AA399" si="2137">AVERAGE(N393:N399)</f>
        <v>12.959042857142858</v>
      </c>
      <c r="AB399" s="6">
        <f t="shared" ref="AB399" si="2138">AVERAGE(R393:R399)</f>
        <v>22.353399999999993</v>
      </c>
      <c r="AC399" s="6">
        <f t="shared" si="2132"/>
        <v>-0.65407862657455018</v>
      </c>
      <c r="AD399" s="42">
        <f>Tabla1[[#This Row],[Avg Agua)]]/Tabla1[[#This Row],[Avg Musculo]]</f>
        <v>2.1128962164911962</v>
      </c>
    </row>
    <row r="400" spans="1:31" x14ac:dyDescent="0.3">
      <c r="A400" t="s">
        <v>109</v>
      </c>
      <c r="B400">
        <v>45</v>
      </c>
      <c r="C400" t="s">
        <v>24</v>
      </c>
      <c r="D400" s="4">
        <v>45602</v>
      </c>
      <c r="E400" s="6">
        <v>85.55</v>
      </c>
      <c r="F400" s="7">
        <f t="shared" si="2118"/>
        <v>24.204956994114983</v>
      </c>
      <c r="G400" s="9">
        <v>0.14899999999999999</v>
      </c>
      <c r="H400" s="6">
        <f t="shared" si="2119"/>
        <v>72.803049999999999</v>
      </c>
      <c r="I400" s="6">
        <f t="shared" si="2120"/>
        <v>22.578299999999999</v>
      </c>
      <c r="J400">
        <v>3.6</v>
      </c>
      <c r="K400" s="5">
        <v>6.5000000000000002E-2</v>
      </c>
      <c r="L400" s="17">
        <v>2094</v>
      </c>
      <c r="M400" s="5">
        <v>0.54500000000000004</v>
      </c>
      <c r="N400" s="6">
        <f t="shared" si="2121"/>
        <v>12.746949999999998</v>
      </c>
      <c r="O400" s="21">
        <f t="shared" si="2122"/>
        <v>46.624749999999999</v>
      </c>
      <c r="P400" s="8">
        <f t="shared" si="2109"/>
        <v>47.194792857142865</v>
      </c>
      <c r="Q400" s="8">
        <f t="shared" si="2123"/>
        <v>62.971699999999998</v>
      </c>
      <c r="R400" s="6">
        <f t="shared" si="2124"/>
        <v>22.578299999999999</v>
      </c>
      <c r="S400" s="6">
        <f t="shared" si="2125"/>
        <v>5.5607499999999996</v>
      </c>
      <c r="T400" s="6">
        <f t="shared" si="2126"/>
        <v>0.42330000000000467</v>
      </c>
      <c r="U400" s="6">
        <f t="shared" si="2127"/>
        <v>-0.3022500000000008</v>
      </c>
      <c r="V400" s="6">
        <f t="shared" si="2128"/>
        <v>-0.29999999999999716</v>
      </c>
      <c r="W400" s="9">
        <f>Tabla1[[#This Row],[Protein]]/Tabla1[[#This Row],[Peso (Kg)]]</f>
        <v>0.26391934541203976</v>
      </c>
      <c r="X400" s="9">
        <f t="shared" si="2110"/>
        <v>0.25961579409107316</v>
      </c>
      <c r="Y400" s="6">
        <f t="shared" si="2129"/>
        <v>38.925249999999998</v>
      </c>
      <c r="Z400" s="6">
        <f t="shared" si="2111"/>
        <v>86.1</v>
      </c>
      <c r="AA400" s="6">
        <f t="shared" ref="AA400" si="2139">AVERAGE(N394:N400)</f>
        <v>12.952657142857143</v>
      </c>
      <c r="AB400" s="6">
        <f t="shared" ref="AB400" si="2140">AVERAGE(R394:R400)</f>
        <v>22.35254999999999</v>
      </c>
      <c r="AC400" s="6">
        <f t="shared" si="2132"/>
        <v>-3.8025535265440169E-3</v>
      </c>
      <c r="AD400" s="42">
        <f>Tabla1[[#This Row],[Avg Agua)]]/Tabla1[[#This Row],[Avg Musculo]]</f>
        <v>2.111382945442148</v>
      </c>
    </row>
    <row r="401" spans="1:31" x14ac:dyDescent="0.3">
      <c r="A401" t="s">
        <v>109</v>
      </c>
      <c r="B401">
        <v>45</v>
      </c>
      <c r="C401" t="s">
        <v>20</v>
      </c>
      <c r="D401" s="4">
        <v>45604</v>
      </c>
      <c r="E401" s="6">
        <v>85.75</v>
      </c>
      <c r="F401" s="7">
        <f t="shared" si="2118"/>
        <v>24.261543684925307</v>
      </c>
      <c r="G401" s="9">
        <v>0.14899999999999999</v>
      </c>
      <c r="H401" s="6">
        <f t="shared" si="2119"/>
        <v>72.973250000000007</v>
      </c>
      <c r="I401" s="6">
        <f t="shared" si="2120"/>
        <v>22.382249999999999</v>
      </c>
      <c r="J401">
        <v>3.6</v>
      </c>
      <c r="K401" s="5">
        <v>7.0000000000000007E-2</v>
      </c>
      <c r="L401" s="17">
        <v>2099</v>
      </c>
      <c r="M401" s="5">
        <v>0.54800000000000004</v>
      </c>
      <c r="N401" s="6">
        <f t="shared" si="2121"/>
        <v>12.77675</v>
      </c>
      <c r="O401" s="21">
        <f t="shared" si="2122"/>
        <v>46.991000000000007</v>
      </c>
      <c r="P401" s="8">
        <f t="shared" si="2109"/>
        <v>47.138114285714281</v>
      </c>
      <c r="Q401" s="8">
        <f t="shared" si="2123"/>
        <v>63.367750000000001</v>
      </c>
      <c r="R401" s="6">
        <f t="shared" si="2124"/>
        <v>22.382249999999999</v>
      </c>
      <c r="S401" s="6">
        <f t="shared" si="2125"/>
        <v>6.0025000000000004</v>
      </c>
      <c r="T401" s="6">
        <f t="shared" si="2126"/>
        <v>-0.19604999999999961</v>
      </c>
      <c r="U401" s="6">
        <f t="shared" si="2127"/>
        <v>2.9800000000001603E-2</v>
      </c>
      <c r="V401" s="6">
        <f t="shared" si="2128"/>
        <v>0.20000000000000284</v>
      </c>
      <c r="W401" s="9">
        <f>Tabla1[[#This Row],[Protein]]/Tabla1[[#This Row],[Peso (Kg)]]</f>
        <v>0.26101749271137026</v>
      </c>
      <c r="X401" s="9">
        <f t="shared" si="2110"/>
        <v>0.2602473080831107</v>
      </c>
      <c r="Y401" s="6">
        <f t="shared" si="2129"/>
        <v>38.759</v>
      </c>
      <c r="Z401" s="6">
        <f t="shared" si="2111"/>
        <v>85.928571428571431</v>
      </c>
      <c r="AA401" s="6">
        <f t="shared" ref="AA401" si="2141">AVERAGE(N395:N401)</f>
        <v>12.827742857142855</v>
      </c>
      <c r="AB401" s="6">
        <f t="shared" ref="AB401" si="2142">AVERAGE(R395:R401)</f>
        <v>22.362714285714283</v>
      </c>
      <c r="AC401" s="6">
        <f t="shared" si="2132"/>
        <v>4.5472600281803999E-2</v>
      </c>
      <c r="AD401" s="42">
        <f>Tabla1[[#This Row],[Avg Agua)]]/Tabla1[[#This Row],[Avg Musculo]]</f>
        <v>2.1078887689329817</v>
      </c>
      <c r="AE401" t="s">
        <v>44</v>
      </c>
    </row>
    <row r="402" spans="1:31" x14ac:dyDescent="0.3">
      <c r="A402" t="s">
        <v>109</v>
      </c>
      <c r="B402">
        <v>45</v>
      </c>
      <c r="C402" t="s">
        <v>25</v>
      </c>
      <c r="D402" s="4">
        <v>45605</v>
      </c>
      <c r="E402" s="6">
        <v>85.5</v>
      </c>
      <c r="F402" s="7">
        <f t="shared" ref="F402:F407" si="2143">E402/(1.88^2)</f>
        <v>24.190810321412407</v>
      </c>
      <c r="G402" s="9">
        <v>0.14499999999999999</v>
      </c>
      <c r="H402" s="6">
        <f t="shared" ref="H402:H407" si="2144">E402-N402</f>
        <v>73.102500000000006</v>
      </c>
      <c r="I402" s="6">
        <f t="shared" ref="I402:I407" si="2145">E402-N402-O402-J402</f>
        <v>22.648499999999999</v>
      </c>
      <c r="J402">
        <v>3.6</v>
      </c>
      <c r="K402" s="5">
        <v>6.5000000000000002E-2</v>
      </c>
      <c r="L402" s="17">
        <v>2103</v>
      </c>
      <c r="M402" s="5">
        <v>0.54800000000000004</v>
      </c>
      <c r="N402" s="6">
        <f t="shared" ref="N402:N407" si="2146">E402*G402</f>
        <v>12.397499999999999</v>
      </c>
      <c r="O402" s="21">
        <f t="shared" ref="O402:O407" si="2147">M402*E402</f>
        <v>46.854000000000006</v>
      </c>
      <c r="P402" s="8">
        <f t="shared" si="2109"/>
        <v>47.112471428571425</v>
      </c>
      <c r="Q402" s="8">
        <f t="shared" ref="Q402:Q407" si="2148">E402-R402</f>
        <v>62.851500000000001</v>
      </c>
      <c r="R402" s="6">
        <f t="shared" ref="R402:R407" si="2149">I402</f>
        <v>22.648499999999999</v>
      </c>
      <c r="S402" s="6">
        <f t="shared" ref="S402:S407" si="2150">K402*E402</f>
        <v>5.5575000000000001</v>
      </c>
      <c r="T402" s="6">
        <f t="shared" ref="T402:T407" si="2151">I402-I401</f>
        <v>0.26624999999999943</v>
      </c>
      <c r="U402" s="6">
        <f t="shared" ref="U402:U407" si="2152">N402-N401</f>
        <v>-0.37925000000000075</v>
      </c>
      <c r="V402" s="6">
        <f t="shared" ref="V402:V407" si="2153">E402-E401</f>
        <v>-0.25</v>
      </c>
      <c r="W402" s="9">
        <f>Tabla1[[#This Row],[Protein]]/Tabla1[[#This Row],[Peso (Kg)]]</f>
        <v>0.26489473684210524</v>
      </c>
      <c r="X402" s="9">
        <f t="shared" si="2110"/>
        <v>0.2600486916114565</v>
      </c>
      <c r="Y402" s="6">
        <f t="shared" ref="Y402:Y407" si="2154">R402+N402+J402</f>
        <v>38.646000000000001</v>
      </c>
      <c r="Z402" s="6">
        <f t="shared" si="2111"/>
        <v>85.814285714285717</v>
      </c>
      <c r="AA402" s="6">
        <f t="shared" ref="AA402" si="2155">AVERAGE(N396:N402)</f>
        <v>12.786514285714281</v>
      </c>
      <c r="AB402" s="6">
        <f t="shared" ref="AB402" si="2156">AVERAGE(R396:R402)</f>
        <v>22.315299999999997</v>
      </c>
      <c r="AC402" s="6">
        <f t="shared" ref="AC402:AC407" si="2157">100*(AB402/AB401-1)</f>
        <v>-0.21202384070423408</v>
      </c>
      <c r="AD402" s="42">
        <f>Tabla1[[#This Row],[Avg Agua)]]/Tabla1[[#This Row],[Avg Musculo]]</f>
        <v>2.1112183761173471</v>
      </c>
    </row>
    <row r="403" spans="1:31" x14ac:dyDescent="0.3">
      <c r="A403" t="s">
        <v>109</v>
      </c>
      <c r="B403">
        <v>45</v>
      </c>
      <c r="C403" t="s">
        <v>26</v>
      </c>
      <c r="D403" s="4">
        <v>45606</v>
      </c>
      <c r="E403" s="6">
        <v>85.55</v>
      </c>
      <c r="F403" s="7">
        <f t="shared" si="2143"/>
        <v>24.204956994114983</v>
      </c>
      <c r="G403" s="9">
        <v>0.14599999999999999</v>
      </c>
      <c r="H403" s="6">
        <f t="shared" si="2144"/>
        <v>73.059699999999992</v>
      </c>
      <c r="I403" s="6">
        <f t="shared" si="2145"/>
        <v>21.979449999999986</v>
      </c>
      <c r="J403">
        <v>3.6</v>
      </c>
      <c r="K403" s="5">
        <v>6.5000000000000002E-2</v>
      </c>
      <c r="L403" s="17">
        <v>2103</v>
      </c>
      <c r="M403" s="5">
        <v>0.55500000000000005</v>
      </c>
      <c r="N403" s="6">
        <f t="shared" si="2146"/>
        <v>12.4903</v>
      </c>
      <c r="O403" s="21">
        <f t="shared" si="2147"/>
        <v>47.480250000000005</v>
      </c>
      <c r="P403" s="8">
        <f t="shared" si="2109"/>
        <v>47.154428571428582</v>
      </c>
      <c r="Q403" s="8">
        <f t="shared" si="2148"/>
        <v>63.570550000000011</v>
      </c>
      <c r="R403" s="6">
        <f t="shared" si="2149"/>
        <v>21.979449999999986</v>
      </c>
      <c r="S403" s="6">
        <f t="shared" si="2150"/>
        <v>5.5607499999999996</v>
      </c>
      <c r="T403" s="6">
        <f t="shared" si="2151"/>
        <v>-0.6690500000000128</v>
      </c>
      <c r="U403" s="6">
        <f t="shared" si="2152"/>
        <v>9.2800000000000438E-2</v>
      </c>
      <c r="V403" s="6">
        <f t="shared" si="2153"/>
        <v>4.9999999999997158E-2</v>
      </c>
      <c r="W403" s="9">
        <f>Tabla1[[#This Row],[Protein]]/Tabla1[[#This Row],[Peso (Kg)]]</f>
        <v>0.25691934541203959</v>
      </c>
      <c r="X403" s="9">
        <f t="shared" si="2110"/>
        <v>0.25944928620659452</v>
      </c>
      <c r="Y403" s="6">
        <f t="shared" si="2154"/>
        <v>38.069749999999985</v>
      </c>
      <c r="Z403" s="6">
        <f t="shared" si="2111"/>
        <v>85.757142857142853</v>
      </c>
      <c r="AA403" s="6">
        <f t="shared" ref="AA403" si="2158">AVERAGE(N397:N403)</f>
        <v>12.753614285714283</v>
      </c>
      <c r="AB403" s="6">
        <f t="shared" ref="AB403" si="2159">AVERAGE(R397:R403)</f>
        <v>22.249099999999995</v>
      </c>
      <c r="AC403" s="6">
        <f t="shared" si="2157"/>
        <v>-0.29665745026955515</v>
      </c>
      <c r="AD403" s="42">
        <f>Tabla1[[#This Row],[Avg Agua)]]/Tabla1[[#This Row],[Avg Musculo]]</f>
        <v>2.1193858884821677</v>
      </c>
    </row>
    <row r="404" spans="1:31" x14ac:dyDescent="0.3">
      <c r="A404" t="s">
        <v>109</v>
      </c>
      <c r="B404">
        <v>46</v>
      </c>
      <c r="C404" t="s">
        <v>21</v>
      </c>
      <c r="D404" s="4">
        <v>45607</v>
      </c>
      <c r="E404" s="6">
        <v>85.3</v>
      </c>
      <c r="F404" s="7">
        <f t="shared" si="2143"/>
        <v>24.134223630602083</v>
      </c>
      <c r="G404" s="9">
        <v>0.14499999999999999</v>
      </c>
      <c r="H404" s="6">
        <f t="shared" si="2144"/>
        <v>72.9315</v>
      </c>
      <c r="I404" s="6">
        <f t="shared" si="2145"/>
        <v>22.245899999999999</v>
      </c>
      <c r="J404">
        <v>3.6</v>
      </c>
      <c r="K404" s="5">
        <v>6.5000000000000002E-2</v>
      </c>
      <c r="L404" s="17">
        <v>2097</v>
      </c>
      <c r="M404" s="5">
        <v>0.55200000000000005</v>
      </c>
      <c r="N404" s="6">
        <f t="shared" si="2146"/>
        <v>12.368499999999999</v>
      </c>
      <c r="O404" s="21">
        <f t="shared" si="2147"/>
        <v>47.085599999999999</v>
      </c>
      <c r="P404" s="8">
        <f t="shared" si="2109"/>
        <v>47.086942857142859</v>
      </c>
      <c r="Q404" s="8">
        <f t="shared" si="2148"/>
        <v>63.054099999999998</v>
      </c>
      <c r="R404" s="6">
        <f t="shared" si="2149"/>
        <v>22.245899999999999</v>
      </c>
      <c r="S404" s="6">
        <f t="shared" si="2150"/>
        <v>5.5445000000000002</v>
      </c>
      <c r="T404" s="6">
        <f t="shared" si="2151"/>
        <v>0.26645000000001318</v>
      </c>
      <c r="U404" s="6">
        <f t="shared" si="2152"/>
        <v>-0.12180000000000035</v>
      </c>
      <c r="V404" s="6">
        <f t="shared" si="2153"/>
        <v>-0.25</v>
      </c>
      <c r="W404" s="9">
        <f>Tabla1[[#This Row],[Protein]]/Tabla1[[#This Row],[Peso (Kg)]]</f>
        <v>0.2607960140679953</v>
      </c>
      <c r="X404" s="9">
        <f t="shared" si="2110"/>
        <v>0.26082878323291941</v>
      </c>
      <c r="Y404" s="6">
        <f t="shared" si="2154"/>
        <v>38.214399999999998</v>
      </c>
      <c r="Z404" s="6">
        <f t="shared" si="2111"/>
        <v>85.657142857142844</v>
      </c>
      <c r="AA404" s="6">
        <f t="shared" ref="AA404" si="2160">AVERAGE(N398:N404)</f>
        <v>12.628542857142858</v>
      </c>
      <c r="AB404" s="6">
        <f t="shared" ref="AB404" si="2161">AVERAGE(R398:R404)</f>
        <v>22.341657142857141</v>
      </c>
      <c r="AC404" s="6">
        <f t="shared" si="2157"/>
        <v>0.41600398603605093</v>
      </c>
      <c r="AD404" s="42">
        <f>Tabla1[[#This Row],[Avg Agua)]]/Tabla1[[#This Row],[Avg Musculo]]</f>
        <v>2.1075850621133108</v>
      </c>
    </row>
    <row r="405" spans="1:31" x14ac:dyDescent="0.3">
      <c r="A405" t="s">
        <v>109</v>
      </c>
      <c r="B405">
        <v>46</v>
      </c>
      <c r="C405" t="s">
        <v>23</v>
      </c>
      <c r="D405" s="4">
        <v>45608</v>
      </c>
      <c r="E405" s="6">
        <v>85.25</v>
      </c>
      <c r="F405" s="7">
        <f t="shared" si="2143"/>
        <v>24.120076957899503</v>
      </c>
      <c r="G405" s="9">
        <v>0.14699999999999999</v>
      </c>
      <c r="H405" s="6">
        <f t="shared" si="2144"/>
        <v>72.718249999999998</v>
      </c>
      <c r="I405" s="6">
        <f t="shared" si="2145"/>
        <v>22.742249999999991</v>
      </c>
      <c r="J405">
        <v>3.6</v>
      </c>
      <c r="K405" s="5">
        <v>6.5000000000000002E-2</v>
      </c>
      <c r="L405" s="17">
        <v>2091</v>
      </c>
      <c r="M405" s="5">
        <v>0.54400000000000004</v>
      </c>
      <c r="N405" s="6">
        <f t="shared" si="2146"/>
        <v>12.531749999999999</v>
      </c>
      <c r="O405" s="21">
        <f t="shared" si="2147"/>
        <v>46.376000000000005</v>
      </c>
      <c r="P405" s="8">
        <f t="shared" si="2109"/>
        <v>46.922485714285713</v>
      </c>
      <c r="Q405" s="8">
        <f t="shared" si="2148"/>
        <v>62.507750000000009</v>
      </c>
      <c r="R405" s="6">
        <f t="shared" si="2149"/>
        <v>22.742249999999991</v>
      </c>
      <c r="S405" s="6">
        <f t="shared" si="2150"/>
        <v>5.5412499999999998</v>
      </c>
      <c r="T405" s="6">
        <f t="shared" si="2151"/>
        <v>0.49634999999999252</v>
      </c>
      <c r="U405" s="6">
        <f t="shared" si="2152"/>
        <v>0.16324999999999967</v>
      </c>
      <c r="V405" s="6">
        <f t="shared" si="2153"/>
        <v>-4.9999999999997158E-2</v>
      </c>
      <c r="W405" s="9">
        <f>Tabla1[[#This Row],[Protein]]/Tabla1[[#This Row],[Peso (Kg)]]</f>
        <v>0.26677126099706733</v>
      </c>
      <c r="X405" s="9">
        <f t="shared" si="2110"/>
        <v>0.26176922718819984</v>
      </c>
      <c r="Y405" s="6">
        <f t="shared" si="2154"/>
        <v>38.873999999999988</v>
      </c>
      <c r="Z405" s="6">
        <f t="shared" si="2111"/>
        <v>85.535714285714292</v>
      </c>
      <c r="AA405" s="6">
        <f t="shared" ref="AA405" si="2162">AVERAGE(N399:N405)</f>
        <v>12.622992857142858</v>
      </c>
      <c r="AB405" s="6">
        <f t="shared" ref="AB405" si="2163">AVERAGE(R399:R405)</f>
        <v>22.390235714285705</v>
      </c>
      <c r="AC405" s="6">
        <f t="shared" si="2157"/>
        <v>0.21743495174928462</v>
      </c>
      <c r="AD405" s="42">
        <f>Tabla1[[#This Row],[Avg Agua)]]/Tabla1[[#This Row],[Avg Musculo]]</f>
        <v>2.0956673396853804</v>
      </c>
    </row>
    <row r="406" spans="1:31" x14ac:dyDescent="0.3">
      <c r="A406" t="s">
        <v>109</v>
      </c>
      <c r="B406">
        <v>46</v>
      </c>
      <c r="C406" t="s">
        <v>24</v>
      </c>
      <c r="D406" s="4">
        <v>45609</v>
      </c>
      <c r="E406" s="6">
        <v>85.35</v>
      </c>
      <c r="F406" s="7">
        <f t="shared" si="2143"/>
        <v>24.148370303304663</v>
      </c>
      <c r="G406" s="9">
        <v>0.14899999999999999</v>
      </c>
      <c r="H406" s="6">
        <f t="shared" si="2144"/>
        <v>72.632849999999991</v>
      </c>
      <c r="I406" s="6">
        <f t="shared" si="2145"/>
        <v>22.60244999999999</v>
      </c>
      <c r="J406">
        <v>3.6</v>
      </c>
      <c r="K406" s="5">
        <v>6.5000000000000002E-2</v>
      </c>
      <c r="L406" s="17">
        <v>2090</v>
      </c>
      <c r="M406" s="5">
        <v>0.54400000000000004</v>
      </c>
      <c r="N406" s="6">
        <f t="shared" si="2146"/>
        <v>12.717149999999998</v>
      </c>
      <c r="O406" s="21">
        <f t="shared" si="2147"/>
        <v>46.430399999999999</v>
      </c>
      <c r="P406" s="8">
        <f t="shared" si="2109"/>
        <v>46.834571428571437</v>
      </c>
      <c r="Q406" s="8">
        <f t="shared" si="2148"/>
        <v>62.747550000000004</v>
      </c>
      <c r="R406" s="6">
        <f t="shared" si="2149"/>
        <v>22.60244999999999</v>
      </c>
      <c r="S406" s="6">
        <f t="shared" si="2150"/>
        <v>5.5477499999999997</v>
      </c>
      <c r="T406" s="6">
        <f t="shared" si="2151"/>
        <v>-0.13980000000000103</v>
      </c>
      <c r="U406" s="6">
        <f t="shared" si="2152"/>
        <v>0.18539999999999957</v>
      </c>
      <c r="V406" s="6">
        <f t="shared" si="2153"/>
        <v>9.9999999999994316E-2</v>
      </c>
      <c r="W406" s="9">
        <f>Tabla1[[#This Row],[Protein]]/Tabla1[[#This Row],[Peso (Kg)]]</f>
        <v>0.26482073813708251</v>
      </c>
      <c r="X406" s="9">
        <f t="shared" si="2110"/>
        <v>0.26273413336852858</v>
      </c>
      <c r="Y406" s="6">
        <f t="shared" si="2154"/>
        <v>38.919599999999988</v>
      </c>
      <c r="Z406" s="6">
        <f t="shared" si="2111"/>
        <v>85.464285714285737</v>
      </c>
      <c r="AA406" s="6">
        <f t="shared" ref="AA406" si="2164">AVERAGE(N400:N406)</f>
        <v>12.575557142857141</v>
      </c>
      <c r="AB406" s="6">
        <f t="shared" ref="AB406" si="2165">AVERAGE(R400:R406)</f>
        <v>22.454157142857134</v>
      </c>
      <c r="AC406" s="6">
        <f t="shared" si="2157"/>
        <v>0.28548796621485906</v>
      </c>
      <c r="AD406" s="42">
        <f>Tabla1[[#This Row],[Avg Agua)]]/Tabla1[[#This Row],[Avg Musculo]]</f>
        <v>2.0857862145794206</v>
      </c>
    </row>
    <row r="407" spans="1:31" x14ac:dyDescent="0.3">
      <c r="A407" t="s">
        <v>109</v>
      </c>
      <c r="B407">
        <v>46</v>
      </c>
      <c r="C407" t="s">
        <v>22</v>
      </c>
      <c r="D407" s="4">
        <v>45610</v>
      </c>
      <c r="E407" s="6">
        <v>85.15</v>
      </c>
      <c r="F407" s="7">
        <f t="shared" si="2143"/>
        <v>24.091783612494346</v>
      </c>
      <c r="G407" s="9">
        <v>0.14299999999999999</v>
      </c>
      <c r="H407" s="6">
        <f t="shared" si="2144"/>
        <v>72.973550000000003</v>
      </c>
      <c r="I407" s="6">
        <f t="shared" si="2145"/>
        <v>23.051949999999998</v>
      </c>
      <c r="J407">
        <v>3.6</v>
      </c>
      <c r="K407" s="5">
        <v>6.5000000000000002E-2</v>
      </c>
      <c r="L407" s="17">
        <v>2098</v>
      </c>
      <c r="M407" s="5">
        <v>0.54400000000000004</v>
      </c>
      <c r="N407" s="6">
        <f t="shared" si="2146"/>
        <v>12.176449999999999</v>
      </c>
      <c r="O407" s="21">
        <f t="shared" si="2147"/>
        <v>46.321600000000004</v>
      </c>
      <c r="P407" s="8">
        <f t="shared" si="2109"/>
        <v>46.791264285714291</v>
      </c>
      <c r="Q407" s="8">
        <f t="shared" si="2148"/>
        <v>62.098050000000008</v>
      </c>
      <c r="R407" s="6">
        <f t="shared" si="2149"/>
        <v>23.051949999999998</v>
      </c>
      <c r="S407" s="6">
        <f t="shared" si="2150"/>
        <v>5.5347500000000007</v>
      </c>
      <c r="T407" s="6">
        <f t="shared" si="2151"/>
        <v>0.44950000000000756</v>
      </c>
      <c r="U407" s="6">
        <f t="shared" si="2152"/>
        <v>-0.54069999999999929</v>
      </c>
      <c r="V407" s="6">
        <f t="shared" si="2153"/>
        <v>-0.19999999999998863</v>
      </c>
      <c r="W407" s="9">
        <f>Tabla1[[#This Row],[Protein]]/Tabla1[[#This Row],[Peso (Kg)]]</f>
        <v>0.27072166764533173</v>
      </c>
      <c r="X407" s="9">
        <f t="shared" si="2110"/>
        <v>0.26370589368757025</v>
      </c>
      <c r="Y407" s="6">
        <f t="shared" si="2154"/>
        <v>38.828399999999995</v>
      </c>
      <c r="Z407" s="6">
        <f t="shared" si="2111"/>
        <v>85.407142857142858</v>
      </c>
      <c r="AA407" s="6">
        <f t="shared" ref="AA407" si="2166">AVERAGE(N401:N407)</f>
        <v>12.494057142857143</v>
      </c>
      <c r="AB407" s="6">
        <f t="shared" ref="AB407" si="2167">AVERAGE(R401:R407)</f>
        <v>22.521821428571421</v>
      </c>
      <c r="AC407" s="6">
        <f t="shared" si="2157"/>
        <v>0.30134413544804506</v>
      </c>
      <c r="AD407" s="42">
        <f>Tabla1[[#This Row],[Avg Agua)]]/Tabla1[[#This Row],[Avg Musculo]]</f>
        <v>2.0775968069063189</v>
      </c>
    </row>
    <row r="408" spans="1:31" x14ac:dyDescent="0.3">
      <c r="A408" t="s">
        <v>109</v>
      </c>
      <c r="B408">
        <v>46</v>
      </c>
      <c r="C408" t="s">
        <v>20</v>
      </c>
      <c r="D408" s="4">
        <v>45611</v>
      </c>
      <c r="E408" s="6">
        <v>84.75</v>
      </c>
      <c r="F408" s="7">
        <f t="shared" ref="F408:F413" si="2168">E408/(1.88^2)</f>
        <v>23.978610230873699</v>
      </c>
      <c r="G408" s="9">
        <v>0.14099999999999999</v>
      </c>
      <c r="H408" s="6">
        <f t="shared" ref="H408:H413" si="2169">E408-N408</f>
        <v>72.800250000000005</v>
      </c>
      <c r="I408" s="6">
        <f t="shared" ref="I408:I413" si="2170">E408-N408-O408-J408</f>
        <v>23.180999999999997</v>
      </c>
      <c r="J408">
        <v>3.6</v>
      </c>
      <c r="K408" s="5">
        <v>6.5000000000000002E-2</v>
      </c>
      <c r="L408" s="17">
        <v>2092</v>
      </c>
      <c r="M408" s="5">
        <v>0.54300000000000004</v>
      </c>
      <c r="N408" s="6">
        <f t="shared" ref="N408:N413" si="2171">E408*G408</f>
        <v>11.949749999999998</v>
      </c>
      <c r="O408" s="21">
        <f t="shared" ref="O408:O413" si="2172">M408*E408</f>
        <v>46.019250000000007</v>
      </c>
      <c r="P408" s="8">
        <f t="shared" si="2109"/>
        <v>46.652442857142852</v>
      </c>
      <c r="Q408" s="8">
        <f t="shared" ref="Q408:Q413" si="2173">E408-R408</f>
        <v>61.569000000000003</v>
      </c>
      <c r="R408" s="6">
        <f t="shared" ref="R408:R413" si="2174">I408</f>
        <v>23.180999999999997</v>
      </c>
      <c r="S408" s="6">
        <f t="shared" ref="S408:S413" si="2175">K408*E408</f>
        <v>5.50875</v>
      </c>
      <c r="T408" s="6">
        <f t="shared" ref="T408:T413" si="2176">I408-I407</f>
        <v>0.12904999999999944</v>
      </c>
      <c r="U408" s="6">
        <f t="shared" ref="U408:U413" si="2177">N408-N407</f>
        <v>-0.22670000000000101</v>
      </c>
      <c r="V408" s="6">
        <f t="shared" ref="V408:V413" si="2178">E408-E407</f>
        <v>-0.40000000000000568</v>
      </c>
      <c r="W408" s="9">
        <f>Tabla1[[#This Row],[Protein]]/Tabla1[[#This Row],[Peso (Kg)]]</f>
        <v>0.27352212389380526</v>
      </c>
      <c r="X408" s="9">
        <f t="shared" si="2110"/>
        <v>0.26549226957077526</v>
      </c>
      <c r="Y408" s="6">
        <f t="shared" ref="Y408:Y413" si="2179">R408+N408+J408</f>
        <v>38.730749999999993</v>
      </c>
      <c r="Z408" s="6">
        <f t="shared" si="2111"/>
        <v>85.26428571428572</v>
      </c>
      <c r="AA408" s="6">
        <f t="shared" ref="AA408" si="2180">AVERAGE(N402:N408)</f>
        <v>12.375914285714284</v>
      </c>
      <c r="AB408" s="6">
        <f t="shared" ref="AB408" si="2181">AVERAGE(R402:R408)</f>
        <v>22.635928571428565</v>
      </c>
      <c r="AC408" s="6">
        <f t="shared" ref="AC408:AC413" si="2182">100*(AB408/AB407-1)</f>
        <v>0.50665148562267781</v>
      </c>
      <c r="AD408" s="42">
        <f>Tabla1[[#This Row],[Avg Agua)]]/Tabla1[[#This Row],[Avg Musculo]]</f>
        <v>2.060990902579023</v>
      </c>
    </row>
    <row r="409" spans="1:31" x14ac:dyDescent="0.3">
      <c r="A409" t="s">
        <v>109</v>
      </c>
      <c r="B409">
        <v>46</v>
      </c>
      <c r="C409" t="s">
        <v>25</v>
      </c>
      <c r="D409" s="4">
        <v>45612</v>
      </c>
      <c r="E409" s="6">
        <v>84.95</v>
      </c>
      <c r="F409" s="7">
        <f t="shared" si="2168"/>
        <v>24.035196921684022</v>
      </c>
      <c r="G409" s="9">
        <v>0.14000000000000001</v>
      </c>
      <c r="H409" s="6">
        <f t="shared" si="2169"/>
        <v>73.057000000000002</v>
      </c>
      <c r="I409" s="6">
        <f t="shared" si="2170"/>
        <v>23.159249999999993</v>
      </c>
      <c r="J409">
        <v>3.6</v>
      </c>
      <c r="K409" s="5">
        <v>6.5000000000000002E-2</v>
      </c>
      <c r="L409" s="17">
        <v>2099</v>
      </c>
      <c r="M409" s="5">
        <v>0.54500000000000004</v>
      </c>
      <c r="N409" s="6">
        <f t="shared" si="2171"/>
        <v>11.893000000000001</v>
      </c>
      <c r="O409" s="21">
        <f t="shared" si="2172"/>
        <v>46.297750000000008</v>
      </c>
      <c r="P409" s="8">
        <f t="shared" si="2109"/>
        <v>46.572978571428571</v>
      </c>
      <c r="Q409" s="8">
        <f t="shared" si="2173"/>
        <v>61.79075000000001</v>
      </c>
      <c r="R409" s="6">
        <f t="shared" si="2174"/>
        <v>23.159249999999993</v>
      </c>
      <c r="S409" s="6">
        <f t="shared" si="2175"/>
        <v>5.5217499999999999</v>
      </c>
      <c r="T409" s="6">
        <f t="shared" si="2176"/>
        <v>-2.1750000000004377E-2</v>
      </c>
      <c r="U409" s="6">
        <f t="shared" si="2177"/>
        <v>-5.6749999999997414E-2</v>
      </c>
      <c r="V409" s="6">
        <f t="shared" si="2178"/>
        <v>0.20000000000000284</v>
      </c>
      <c r="W409" s="9">
        <f>Tabla1[[#This Row],[Protein]]/Tabla1[[#This Row],[Peso (Kg)]]</f>
        <v>0.27262213066509705</v>
      </c>
      <c r="X409" s="9">
        <f t="shared" si="2110"/>
        <v>0.26659618297405985</v>
      </c>
      <c r="Y409" s="6">
        <f t="shared" si="2179"/>
        <v>38.652249999999995</v>
      </c>
      <c r="Z409" s="6">
        <f t="shared" si="2111"/>
        <v>85.185714285714297</v>
      </c>
      <c r="AA409" s="6">
        <f t="shared" ref="AA409" si="2183">AVERAGE(N403:N409)</f>
        <v>12.303842857142856</v>
      </c>
      <c r="AB409" s="6">
        <f t="shared" ref="AB409" si="2184">AVERAGE(R403:R409)</f>
        <v>22.708892857142846</v>
      </c>
      <c r="AC409" s="6">
        <f t="shared" si="2182"/>
        <v>0.32233838114499314</v>
      </c>
      <c r="AD409" s="42">
        <f>Tabla1[[#This Row],[Avg Agua)]]/Tabla1[[#This Row],[Avg Musculo]]</f>
        <v>2.0508696247064959</v>
      </c>
    </row>
    <row r="410" spans="1:31" x14ac:dyDescent="0.3">
      <c r="A410" t="s">
        <v>109</v>
      </c>
      <c r="B410">
        <v>47</v>
      </c>
      <c r="C410" t="s">
        <v>20</v>
      </c>
      <c r="D410" s="4">
        <v>45618</v>
      </c>
      <c r="E410" s="6">
        <v>86.35</v>
      </c>
      <c r="F410" s="7">
        <f t="shared" si="2168"/>
        <v>24.431303757356268</v>
      </c>
      <c r="G410" s="9">
        <v>0.153</v>
      </c>
      <c r="H410" s="6">
        <f t="shared" si="2169"/>
        <v>73.138449999999992</v>
      </c>
      <c r="I410" s="6">
        <f t="shared" si="2170"/>
        <v>22.045949999999991</v>
      </c>
      <c r="J410">
        <v>3.6</v>
      </c>
      <c r="K410" s="5">
        <v>7.0000000000000007E-2</v>
      </c>
      <c r="L410" s="17">
        <v>2107</v>
      </c>
      <c r="M410" s="5">
        <v>0.55000000000000004</v>
      </c>
      <c r="N410" s="6">
        <f t="shared" si="2171"/>
        <v>13.211549999999999</v>
      </c>
      <c r="O410" s="21">
        <f t="shared" si="2172"/>
        <v>47.4925</v>
      </c>
      <c r="P410" s="8">
        <f t="shared" si="2109"/>
        <v>46.574728571428572</v>
      </c>
      <c r="Q410" s="8">
        <f t="shared" si="2173"/>
        <v>64.304050000000004</v>
      </c>
      <c r="R410" s="6">
        <f t="shared" si="2174"/>
        <v>22.045949999999991</v>
      </c>
      <c r="S410" s="6">
        <f t="shared" si="2175"/>
        <v>6.0445000000000002</v>
      </c>
      <c r="T410" s="6">
        <f t="shared" si="2176"/>
        <v>-1.1133000000000024</v>
      </c>
      <c r="U410" s="6">
        <f t="shared" si="2177"/>
        <v>1.3185499999999983</v>
      </c>
      <c r="V410" s="6">
        <f t="shared" si="2178"/>
        <v>1.3999999999999915</v>
      </c>
      <c r="W410" s="9">
        <f>Tabla1[[#This Row],[Protein]]/Tabla1[[#This Row],[Peso (Kg)]]</f>
        <v>0.25530920671684992</v>
      </c>
      <c r="X410" s="9">
        <f t="shared" si="2110"/>
        <v>0.2663661631604613</v>
      </c>
      <c r="Y410" s="6">
        <f t="shared" si="2179"/>
        <v>38.857499999999995</v>
      </c>
      <c r="Z410" s="6">
        <f t="shared" si="2111"/>
        <v>85.3</v>
      </c>
      <c r="AA410" s="6">
        <f t="shared" ref="AA410" si="2185">AVERAGE(N404:N410)</f>
        <v>12.406878571428569</v>
      </c>
      <c r="AB410" s="6">
        <f t="shared" ref="AB410" si="2186">AVERAGE(R404:R410)</f>
        <v>22.718392857142849</v>
      </c>
      <c r="AC410" s="6">
        <f t="shared" si="2182"/>
        <v>4.1833831617266171E-2</v>
      </c>
      <c r="AD410" s="42">
        <f>Tabla1[[#This Row],[Avg Agua)]]/Tabla1[[#This Row],[Avg Musculo]]</f>
        <v>2.0500890562241114</v>
      </c>
      <c r="AE410" t="s">
        <v>116</v>
      </c>
    </row>
    <row r="411" spans="1:31" x14ac:dyDescent="0.3">
      <c r="A411" t="s">
        <v>109</v>
      </c>
      <c r="B411">
        <v>47</v>
      </c>
      <c r="C411" t="s">
        <v>25</v>
      </c>
      <c r="D411" s="4">
        <v>45619</v>
      </c>
      <c r="E411" s="6">
        <v>85.65</v>
      </c>
      <c r="F411" s="7">
        <f t="shared" si="2168"/>
        <v>24.233250339520147</v>
      </c>
      <c r="G411" s="9">
        <v>0.14499999999999999</v>
      </c>
      <c r="H411" s="6">
        <f t="shared" si="2169"/>
        <v>73.23075</v>
      </c>
      <c r="I411" s="6">
        <f t="shared" si="2170"/>
        <v>22.865849999999995</v>
      </c>
      <c r="J411">
        <v>3.6</v>
      </c>
      <c r="K411" s="5">
        <v>6.5000000000000002E-2</v>
      </c>
      <c r="L411" s="17">
        <v>2105</v>
      </c>
      <c r="M411" s="5">
        <v>0.54600000000000004</v>
      </c>
      <c r="N411" s="6">
        <f t="shared" si="2171"/>
        <v>12.41925</v>
      </c>
      <c r="O411" s="21">
        <f t="shared" si="2172"/>
        <v>46.764900000000004</v>
      </c>
      <c r="P411" s="8">
        <f t="shared" si="2109"/>
        <v>46.528914285714286</v>
      </c>
      <c r="Q411" s="8">
        <f t="shared" si="2173"/>
        <v>62.784150000000011</v>
      </c>
      <c r="R411" s="6">
        <f t="shared" si="2174"/>
        <v>22.865849999999995</v>
      </c>
      <c r="S411" s="6">
        <f t="shared" si="2175"/>
        <v>5.5672500000000005</v>
      </c>
      <c r="T411" s="6">
        <f t="shared" si="2176"/>
        <v>0.81990000000000407</v>
      </c>
      <c r="U411" s="6">
        <f t="shared" si="2177"/>
        <v>-0.79229999999999912</v>
      </c>
      <c r="V411" s="6">
        <f t="shared" si="2178"/>
        <v>-0.69999999999998863</v>
      </c>
      <c r="W411" s="9">
        <f>Tabla1[[#This Row],[Protein]]/Tabla1[[#This Row],[Peso (Kg)]]</f>
        <v>0.26696847635726789</v>
      </c>
      <c r="X411" s="9">
        <f t="shared" si="2110"/>
        <v>0.26724794348750025</v>
      </c>
      <c r="Y411" s="6">
        <f t="shared" si="2179"/>
        <v>38.885099999999994</v>
      </c>
      <c r="Z411" s="6">
        <f t="shared" si="2111"/>
        <v>85.35</v>
      </c>
      <c r="AA411" s="6">
        <f t="shared" ref="AA411" si="2187">AVERAGE(N405:N411)</f>
        <v>12.414128571428572</v>
      </c>
      <c r="AB411" s="6">
        <f t="shared" ref="AB411" si="2188">AVERAGE(R405:R411)</f>
        <v>22.806957142857133</v>
      </c>
      <c r="AC411" s="6">
        <f t="shared" si="2182"/>
        <v>0.38983517131334633</v>
      </c>
      <c r="AD411" s="42">
        <f>Tabla1[[#This Row],[Avg Agua)]]/Tabla1[[#This Row],[Avg Musculo]]</f>
        <v>2.0401193370193442</v>
      </c>
    </row>
    <row r="412" spans="1:31" x14ac:dyDescent="0.3">
      <c r="A412" t="s">
        <v>109</v>
      </c>
      <c r="B412">
        <v>47</v>
      </c>
      <c r="C412" t="s">
        <v>26</v>
      </c>
      <c r="D412" s="4">
        <v>45620</v>
      </c>
      <c r="E412" s="6">
        <v>85.2</v>
      </c>
      <c r="F412" s="7">
        <f t="shared" si="2168"/>
        <v>24.105930285196923</v>
      </c>
      <c r="G412" s="9">
        <v>0.14399999999999999</v>
      </c>
      <c r="H412" s="6">
        <f t="shared" si="2169"/>
        <v>72.931200000000004</v>
      </c>
      <c r="I412" s="6">
        <f t="shared" si="2170"/>
        <v>22.897199999999998</v>
      </c>
      <c r="J412">
        <v>3.6</v>
      </c>
      <c r="K412" s="5">
        <v>6.5000000000000002E-2</v>
      </c>
      <c r="L412" s="17">
        <v>2097</v>
      </c>
      <c r="M412" s="5">
        <v>0.54500000000000004</v>
      </c>
      <c r="N412" s="6">
        <f t="shared" si="2171"/>
        <v>12.268799999999999</v>
      </c>
      <c r="O412" s="21">
        <f t="shared" si="2172"/>
        <v>46.434000000000005</v>
      </c>
      <c r="P412" s="8">
        <f t="shared" si="2109"/>
        <v>46.537200000000006</v>
      </c>
      <c r="Q412" s="8">
        <f t="shared" si="2173"/>
        <v>62.302800000000005</v>
      </c>
      <c r="R412" s="6">
        <f t="shared" si="2174"/>
        <v>22.897199999999998</v>
      </c>
      <c r="S412" s="6">
        <f t="shared" si="2175"/>
        <v>5.5380000000000003</v>
      </c>
      <c r="T412" s="6">
        <f t="shared" si="2176"/>
        <v>3.135000000000332E-2</v>
      </c>
      <c r="U412" s="6">
        <f t="shared" si="2177"/>
        <v>-0.15045000000000108</v>
      </c>
      <c r="V412" s="6">
        <f t="shared" si="2178"/>
        <v>-0.45000000000000284</v>
      </c>
      <c r="W412" s="9">
        <f>Tabla1[[#This Row],[Protein]]/Tabla1[[#This Row],[Peso (Kg)]]</f>
        <v>0.26874647887323938</v>
      </c>
      <c r="X412" s="9">
        <f t="shared" si="2110"/>
        <v>0.26753011746981054</v>
      </c>
      <c r="Y412" s="6">
        <f t="shared" si="2179"/>
        <v>38.765999999999998</v>
      </c>
      <c r="Z412" s="6">
        <f t="shared" si="2111"/>
        <v>85.342857142857142</v>
      </c>
      <c r="AA412" s="6">
        <f t="shared" ref="AA412" si="2189">AVERAGE(N406:N412)</f>
        <v>12.376564285714286</v>
      </c>
      <c r="AB412" s="6">
        <f t="shared" ref="AB412" si="2190">AVERAGE(R406:R412)</f>
        <v>22.82909285714285</v>
      </c>
      <c r="AC412" s="6">
        <f t="shared" si="2182"/>
        <v>9.7056850447274634E-2</v>
      </c>
      <c r="AD412" s="42">
        <f>Tabla1[[#This Row],[Avg Agua)]]/Tabla1[[#This Row],[Avg Musculo]]</f>
        <v>2.0385041267830877</v>
      </c>
    </row>
    <row r="413" spans="1:31" x14ac:dyDescent="0.3">
      <c r="A413" t="s">
        <v>109</v>
      </c>
      <c r="B413">
        <v>48</v>
      </c>
      <c r="C413" t="s">
        <v>25</v>
      </c>
      <c r="D413" s="4">
        <v>45626</v>
      </c>
      <c r="E413" s="6">
        <v>87.45</v>
      </c>
      <c r="F413" s="7">
        <f t="shared" si="2168"/>
        <v>24.74253055681304</v>
      </c>
      <c r="G413" s="9">
        <v>0.159</v>
      </c>
      <c r="H413" s="6">
        <f t="shared" si="2169"/>
        <v>73.545450000000002</v>
      </c>
      <c r="I413" s="6">
        <f t="shared" si="2170"/>
        <v>22.372649999999993</v>
      </c>
      <c r="J413">
        <v>3.6</v>
      </c>
      <c r="K413" s="5">
        <v>7.0000000000000007E-2</v>
      </c>
      <c r="L413" s="17">
        <v>2123</v>
      </c>
      <c r="M413" s="5">
        <v>0.54400000000000004</v>
      </c>
      <c r="N413" s="6">
        <f t="shared" si="2171"/>
        <v>13.90455</v>
      </c>
      <c r="O413" s="21">
        <f t="shared" si="2172"/>
        <v>47.572800000000008</v>
      </c>
      <c r="P413" s="8">
        <f t="shared" si="2109"/>
        <v>46.700400000000009</v>
      </c>
      <c r="Q413" s="8">
        <f t="shared" si="2173"/>
        <v>65.07735000000001</v>
      </c>
      <c r="R413" s="6">
        <f t="shared" si="2174"/>
        <v>22.372649999999993</v>
      </c>
      <c r="S413" s="6">
        <f t="shared" si="2175"/>
        <v>6.1215000000000011</v>
      </c>
      <c r="T413" s="6">
        <f t="shared" si="2176"/>
        <v>-0.52455000000000496</v>
      </c>
      <c r="U413" s="6">
        <f t="shared" si="2177"/>
        <v>1.6357500000000016</v>
      </c>
      <c r="V413" s="6">
        <f t="shared" si="2178"/>
        <v>2.25</v>
      </c>
      <c r="W413" s="9">
        <f>Tabla1[[#This Row],[Protein]]/Tabla1[[#This Row],[Peso (Kg)]]</f>
        <v>0.25583361921097764</v>
      </c>
      <c r="X413" s="9">
        <f t="shared" si="2110"/>
        <v>0.26624624333750985</v>
      </c>
      <c r="Y413" s="6">
        <f t="shared" si="2179"/>
        <v>39.877199999999995</v>
      </c>
      <c r="Z413" s="6">
        <f t="shared" si="2111"/>
        <v>85.642857142857153</v>
      </c>
      <c r="AA413" s="6">
        <f t="shared" ref="AA413" si="2191">AVERAGE(N407:N413)</f>
        <v>12.546192857142858</v>
      </c>
      <c r="AB413" s="6">
        <f t="shared" ref="AB413" si="2192">AVERAGE(R407:R413)</f>
        <v>22.79626428571428</v>
      </c>
      <c r="AC413" s="6">
        <f t="shared" si="2182"/>
        <v>-0.14380147136814347</v>
      </c>
      <c r="AD413" s="42">
        <f>Tabla1[[#This Row],[Avg Agua)]]/Tabla1[[#This Row],[Avg Musculo]]</f>
        <v>2.0485988149060774</v>
      </c>
      <c r="AE413" t="s">
        <v>117</v>
      </c>
    </row>
    <row r="414" spans="1:31" x14ac:dyDescent="0.3">
      <c r="A414" t="s">
        <v>109</v>
      </c>
      <c r="B414">
        <v>48</v>
      </c>
      <c r="C414" t="s">
        <v>26</v>
      </c>
      <c r="D414" s="4">
        <v>45627</v>
      </c>
      <c r="E414" s="6">
        <v>86.75</v>
      </c>
      <c r="F414" s="7">
        <f t="shared" ref="F414:F419" si="2193">E414/(1.88^2)</f>
        <v>24.544477138976916</v>
      </c>
      <c r="G414" s="9">
        <v>0.15</v>
      </c>
      <c r="H414" s="6">
        <f t="shared" ref="H414:H419" si="2194">E414-N414</f>
        <v>73.737499999999997</v>
      </c>
      <c r="I414" s="6">
        <f t="shared" ref="I414:I419" si="2195">E414-N414-O414-J414</f>
        <v>23.032249999999991</v>
      </c>
      <c r="J414">
        <v>3.6</v>
      </c>
      <c r="K414" s="5">
        <v>7.0000000000000007E-2</v>
      </c>
      <c r="L414" s="17">
        <v>2124</v>
      </c>
      <c r="M414" s="5">
        <v>0.54300000000000004</v>
      </c>
      <c r="N414" s="6">
        <f t="shared" ref="N414:N419" si="2196">E414*G414</f>
        <v>13.012499999999999</v>
      </c>
      <c r="O414" s="21">
        <f t="shared" ref="O414:O419" si="2197">M414*E414</f>
        <v>47.105250000000005</v>
      </c>
      <c r="P414" s="8">
        <f t="shared" si="2109"/>
        <v>46.812350000000002</v>
      </c>
      <c r="Q414" s="8">
        <f t="shared" ref="Q414:Q419" si="2198">E414-R414</f>
        <v>63.717750000000009</v>
      </c>
      <c r="R414" s="6">
        <f t="shared" ref="R414:R419" si="2199">I414</f>
        <v>23.032249999999991</v>
      </c>
      <c r="S414" s="6">
        <f t="shared" ref="S414:S419" si="2200">K414*E414</f>
        <v>6.0725000000000007</v>
      </c>
      <c r="T414" s="6">
        <f t="shared" ref="T414:T419" si="2201">I414-I413</f>
        <v>0.65959999999999752</v>
      </c>
      <c r="U414" s="6">
        <f t="shared" ref="U414:U419" si="2202">N414-N413</f>
        <v>-0.89205000000000112</v>
      </c>
      <c r="V414" s="6">
        <f t="shared" ref="V414:V419" si="2203">E414-E413</f>
        <v>-0.70000000000000284</v>
      </c>
      <c r="W414" s="9">
        <f>Tabla1[[#This Row],[Protein]]/Tabla1[[#This Row],[Peso (Kg)]]</f>
        <v>0.26550144092219008</v>
      </c>
      <c r="X414" s="9">
        <f t="shared" si="2110"/>
        <v>0.26550049666277531</v>
      </c>
      <c r="Y414" s="6">
        <f t="shared" ref="Y414:Y419" si="2204">R414+N414+J414</f>
        <v>39.644749999999995</v>
      </c>
      <c r="Z414" s="6">
        <f t="shared" si="2111"/>
        <v>85.871428571428552</v>
      </c>
      <c r="AA414" s="6">
        <f t="shared" ref="AA414" si="2205">AVERAGE(N408:N414)</f>
        <v>12.66562857142857</v>
      </c>
      <c r="AB414" s="6">
        <f t="shared" ref="AB414" si="2206">AVERAGE(R408:R414)</f>
        <v>22.793449999999989</v>
      </c>
      <c r="AC414" s="6">
        <f t="shared" ref="AC414:AC419" si="2207">100*(AB414/AB413-1)</f>
        <v>-1.2345381151135371E-2</v>
      </c>
      <c r="AD414" s="42">
        <f>Tabla1[[#This Row],[Avg Agua)]]/Tabla1[[#This Row],[Avg Musculo]]</f>
        <v>2.0537632521623546</v>
      </c>
    </row>
    <row r="415" spans="1:31" x14ac:dyDescent="0.3">
      <c r="A415" t="s">
        <v>109</v>
      </c>
      <c r="B415">
        <v>49</v>
      </c>
      <c r="C415" t="s">
        <v>21</v>
      </c>
      <c r="D415" s="4">
        <v>45628</v>
      </c>
      <c r="E415" s="6">
        <v>85.9</v>
      </c>
      <c r="F415" s="7">
        <f t="shared" si="2193"/>
        <v>24.303983703033051</v>
      </c>
      <c r="G415" s="9">
        <v>0.14299999999999999</v>
      </c>
      <c r="H415" s="6">
        <f t="shared" si="2194"/>
        <v>73.61630000000001</v>
      </c>
      <c r="I415" s="6">
        <f t="shared" si="2195"/>
        <v>23.802100000000003</v>
      </c>
      <c r="J415">
        <v>3.6</v>
      </c>
      <c r="K415" s="5">
        <v>6.5000000000000002E-2</v>
      </c>
      <c r="L415" s="17">
        <v>2119</v>
      </c>
      <c r="M415" s="5">
        <v>0.53800000000000003</v>
      </c>
      <c r="N415" s="6">
        <f t="shared" si="2196"/>
        <v>12.2837</v>
      </c>
      <c r="O415" s="21">
        <f t="shared" si="2197"/>
        <v>46.214200000000005</v>
      </c>
      <c r="P415" s="8">
        <f t="shared" si="2109"/>
        <v>46.840200000000003</v>
      </c>
      <c r="Q415" s="8">
        <f t="shared" si="2198"/>
        <v>62.097900000000003</v>
      </c>
      <c r="R415" s="6">
        <f t="shared" si="2199"/>
        <v>23.802100000000003</v>
      </c>
      <c r="S415" s="6">
        <f t="shared" si="2200"/>
        <v>5.5835000000000008</v>
      </c>
      <c r="T415" s="6">
        <f t="shared" si="2201"/>
        <v>0.76985000000001236</v>
      </c>
      <c r="U415" s="6">
        <f t="shared" si="2202"/>
        <v>-0.72879999999999967</v>
      </c>
      <c r="V415" s="6">
        <f t="shared" si="2203"/>
        <v>-0.84999999999999432</v>
      </c>
      <c r="W415" s="9">
        <f>Tabla1[[#This Row],[Protein]]/Tabla1[[#This Row],[Peso (Kg)]]</f>
        <v>0.27709080325960422</v>
      </c>
      <c r="X415" s="9">
        <f t="shared" si="2110"/>
        <v>0.2660103080007466</v>
      </c>
      <c r="Y415" s="6">
        <f t="shared" si="2204"/>
        <v>39.685800000000008</v>
      </c>
      <c r="Z415" s="6">
        <f t="shared" si="2111"/>
        <v>86.035714285714292</v>
      </c>
      <c r="AA415" s="6">
        <f t="shared" ref="AA415" si="2208">AVERAGE(N409:N415)</f>
        <v>12.713335714285714</v>
      </c>
      <c r="AB415" s="6">
        <f t="shared" ref="AB415" si="2209">AVERAGE(R409:R415)</f>
        <v>22.882178571428565</v>
      </c>
      <c r="AC415" s="6">
        <f t="shared" si="2207"/>
        <v>0.3892722314023267</v>
      </c>
      <c r="AD415" s="42">
        <f>Tabla1[[#This Row],[Avg Agua)]]/Tabla1[[#This Row],[Avg Musculo]]</f>
        <v>2.0470166271006294</v>
      </c>
    </row>
    <row r="416" spans="1:31" x14ac:dyDescent="0.3">
      <c r="A416" t="s">
        <v>109</v>
      </c>
      <c r="B416">
        <v>49</v>
      </c>
      <c r="C416" t="s">
        <v>23</v>
      </c>
      <c r="D416" s="4">
        <v>45629</v>
      </c>
      <c r="E416" s="6">
        <v>85.45</v>
      </c>
      <c r="F416" s="7">
        <f t="shared" si="2193"/>
        <v>24.176663648709827</v>
      </c>
      <c r="G416" s="9">
        <v>0.14299999999999999</v>
      </c>
      <c r="H416" s="6">
        <f t="shared" si="2194"/>
        <v>73.230649999999997</v>
      </c>
      <c r="I416" s="6">
        <f t="shared" si="2195"/>
        <v>23.316749999999992</v>
      </c>
      <c r="J416">
        <v>3.6</v>
      </c>
      <c r="K416" s="5">
        <v>6.5000000000000002E-2</v>
      </c>
      <c r="L416" s="17">
        <v>2106</v>
      </c>
      <c r="M416" s="5">
        <v>0.54200000000000004</v>
      </c>
      <c r="N416" s="6">
        <f t="shared" si="2196"/>
        <v>12.219349999999999</v>
      </c>
      <c r="O416" s="21">
        <f t="shared" si="2197"/>
        <v>46.313900000000004</v>
      </c>
      <c r="P416" s="8">
        <f t="shared" si="2109"/>
        <v>46.842507142857144</v>
      </c>
      <c r="Q416" s="8">
        <f t="shared" si="2198"/>
        <v>62.133250000000011</v>
      </c>
      <c r="R416" s="6">
        <f t="shared" si="2199"/>
        <v>23.316749999999992</v>
      </c>
      <c r="S416" s="6">
        <f t="shared" si="2200"/>
        <v>5.5542500000000006</v>
      </c>
      <c r="T416" s="6">
        <f t="shared" si="2201"/>
        <v>-0.48535000000001105</v>
      </c>
      <c r="U416" s="6">
        <f t="shared" si="2202"/>
        <v>-6.4350000000001017E-2</v>
      </c>
      <c r="V416" s="6">
        <f t="shared" si="2203"/>
        <v>-0.45000000000000284</v>
      </c>
      <c r="W416" s="9">
        <f>Tabla1[[#This Row],[Protein]]/Tabla1[[#This Row],[Peso (Kg)]]</f>
        <v>0.27287009947337615</v>
      </c>
      <c r="X416" s="9">
        <f t="shared" si="2110"/>
        <v>0.26604573211621502</v>
      </c>
      <c r="Y416" s="6">
        <f t="shared" si="2204"/>
        <v>39.136099999999992</v>
      </c>
      <c r="Z416" s="6">
        <f t="shared" si="2111"/>
        <v>86.107142857142861</v>
      </c>
      <c r="AA416" s="6">
        <f t="shared" ref="AA416" si="2210">AVERAGE(N410:N416)</f>
        <v>12.759957142857141</v>
      </c>
      <c r="AB416" s="6">
        <f t="shared" ref="AB416" si="2211">AVERAGE(R410:R416)</f>
        <v>22.904678571428565</v>
      </c>
      <c r="AC416" s="6">
        <f t="shared" si="2207"/>
        <v>9.8329798142970937E-2</v>
      </c>
      <c r="AD416" s="42">
        <f>Tabla1[[#This Row],[Avg Agua)]]/Tabla1[[#This Row],[Avg Musculo]]</f>
        <v>2.0451065050652475</v>
      </c>
    </row>
    <row r="417" spans="1:31" x14ac:dyDescent="0.3">
      <c r="A417" t="s">
        <v>109</v>
      </c>
      <c r="B417">
        <v>49</v>
      </c>
      <c r="C417" t="s">
        <v>24</v>
      </c>
      <c r="D417" s="4">
        <v>45630</v>
      </c>
      <c r="E417" s="6">
        <v>85.85</v>
      </c>
      <c r="F417" s="7">
        <f t="shared" si="2193"/>
        <v>24.289837030330467</v>
      </c>
      <c r="G417" s="9">
        <v>0.15</v>
      </c>
      <c r="H417" s="6">
        <f t="shared" si="2194"/>
        <v>72.972499999999997</v>
      </c>
      <c r="I417" s="6">
        <f t="shared" si="2195"/>
        <v>22.755949999999991</v>
      </c>
      <c r="J417">
        <v>3.6</v>
      </c>
      <c r="K417" s="5">
        <v>7.0000000000000007E-2</v>
      </c>
      <c r="L417" s="17">
        <v>2100</v>
      </c>
      <c r="M417" s="5">
        <v>0.54300000000000004</v>
      </c>
      <c r="N417" s="6">
        <f t="shared" si="2196"/>
        <v>12.8775</v>
      </c>
      <c r="O417" s="21">
        <f t="shared" si="2197"/>
        <v>46.616550000000004</v>
      </c>
      <c r="P417" s="8">
        <f t="shared" si="2109"/>
        <v>46.717371428571433</v>
      </c>
      <c r="Q417" s="8">
        <f t="shared" si="2198"/>
        <v>63.094050000000003</v>
      </c>
      <c r="R417" s="6">
        <f t="shared" si="2199"/>
        <v>22.755949999999991</v>
      </c>
      <c r="S417" s="6">
        <f t="shared" si="2200"/>
        <v>6.0095000000000001</v>
      </c>
      <c r="T417" s="6">
        <f t="shared" si="2201"/>
        <v>-0.56080000000000041</v>
      </c>
      <c r="U417" s="6">
        <f t="shared" si="2202"/>
        <v>0.6581500000000009</v>
      </c>
      <c r="V417" s="6">
        <f t="shared" si="2203"/>
        <v>0.39999999999999147</v>
      </c>
      <c r="W417" s="9">
        <f>Tabla1[[#This Row],[Protein]]/Tabla1[[#This Row],[Peso (Kg)]]</f>
        <v>0.26506639487478151</v>
      </c>
      <c r="X417" s="9">
        <f t="shared" si="2110"/>
        <v>0.2674396161387767</v>
      </c>
      <c r="Y417" s="6">
        <f t="shared" si="2204"/>
        <v>39.233449999999991</v>
      </c>
      <c r="Z417" s="6">
        <f t="shared" si="2111"/>
        <v>86.035714285714306</v>
      </c>
      <c r="AA417" s="6">
        <f t="shared" ref="AA417" si="2212">AVERAGE(N411:N417)</f>
        <v>12.712235714285713</v>
      </c>
      <c r="AB417" s="6">
        <f t="shared" ref="AB417" si="2213">AVERAGE(R411:R417)</f>
        <v>23.006107142857136</v>
      </c>
      <c r="AC417" s="6">
        <f t="shared" si="2207"/>
        <v>0.44282905395185423</v>
      </c>
      <c r="AD417" s="42">
        <f>Tabla1[[#This Row],[Avg Agua)]]/Tabla1[[#This Row],[Avg Musculo]]</f>
        <v>2.0306508675491455</v>
      </c>
    </row>
    <row r="418" spans="1:31" x14ac:dyDescent="0.3">
      <c r="A418" t="s">
        <v>109</v>
      </c>
      <c r="B418">
        <v>50</v>
      </c>
      <c r="C418" t="s">
        <v>21</v>
      </c>
      <c r="D418" s="4">
        <v>45635</v>
      </c>
      <c r="E418" s="6">
        <v>86.9</v>
      </c>
      <c r="F418" s="7">
        <f t="shared" si="2193"/>
        <v>24.586917157084656</v>
      </c>
      <c r="G418" s="9">
        <v>0.159</v>
      </c>
      <c r="H418" s="6">
        <f t="shared" si="2194"/>
        <v>73.082900000000009</v>
      </c>
      <c r="I418" s="6">
        <f t="shared" si="2195"/>
        <v>21.774799999999999</v>
      </c>
      <c r="J418">
        <v>3.6</v>
      </c>
      <c r="K418" s="5">
        <v>7.0000000000000007E-2</v>
      </c>
      <c r="L418" s="17">
        <v>2108</v>
      </c>
      <c r="M418" s="5">
        <v>0.54900000000000004</v>
      </c>
      <c r="N418" s="6">
        <f t="shared" si="2196"/>
        <v>13.817100000000002</v>
      </c>
      <c r="O418" s="21">
        <f t="shared" si="2197"/>
        <v>47.708100000000009</v>
      </c>
      <c r="P418" s="8">
        <f t="shared" si="2109"/>
        <v>46.852114285714286</v>
      </c>
      <c r="Q418" s="8">
        <f t="shared" si="2198"/>
        <v>65.125200000000007</v>
      </c>
      <c r="R418" s="6">
        <f t="shared" si="2199"/>
        <v>21.774799999999999</v>
      </c>
      <c r="S418" s="6">
        <f t="shared" si="2200"/>
        <v>6.0830000000000011</v>
      </c>
      <c r="T418" s="6">
        <f t="shared" si="2201"/>
        <v>-0.98114999999999242</v>
      </c>
      <c r="U418" s="6">
        <f t="shared" si="2202"/>
        <v>0.93960000000000221</v>
      </c>
      <c r="V418" s="6">
        <f t="shared" si="2203"/>
        <v>1.0500000000000114</v>
      </c>
      <c r="W418" s="9">
        <f>Tabla1[[#This Row],[Protein]]/Tabla1[[#This Row],[Peso (Kg)]]</f>
        <v>0.25057307249712313</v>
      </c>
      <c r="X418" s="9">
        <f t="shared" si="2110"/>
        <v>0.26509741558732747</v>
      </c>
      <c r="Y418" s="6">
        <f t="shared" si="2204"/>
        <v>39.191900000000004</v>
      </c>
      <c r="Z418" s="6">
        <f t="shared" si="2111"/>
        <v>86.214285714285694</v>
      </c>
      <c r="AA418" s="6">
        <f t="shared" ref="AA418" si="2214">AVERAGE(N412:N418)</f>
        <v>12.911928571428572</v>
      </c>
      <c r="AB418" s="6">
        <f t="shared" ref="AB418" si="2215">AVERAGE(R412:R418)</f>
        <v>22.850242857142852</v>
      </c>
      <c r="AC418" s="6">
        <f t="shared" si="2207"/>
        <v>-0.67749091467947942</v>
      </c>
      <c r="AD418" s="42">
        <f>Tabla1[[#This Row],[Avg Agua)]]/Tabla1[[#This Row],[Avg Musculo]]</f>
        <v>2.0503989641873144</v>
      </c>
      <c r="AE418" t="s">
        <v>118</v>
      </c>
    </row>
    <row r="419" spans="1:31" x14ac:dyDescent="0.3">
      <c r="A419" t="s">
        <v>109</v>
      </c>
      <c r="B419">
        <v>50</v>
      </c>
      <c r="C419" t="s">
        <v>20</v>
      </c>
      <c r="D419" s="4">
        <v>45639</v>
      </c>
      <c r="E419" s="6">
        <v>86.95</v>
      </c>
      <c r="F419" s="7">
        <f t="shared" si="2193"/>
        <v>24.601063829787236</v>
      </c>
      <c r="G419" s="9">
        <v>0.154</v>
      </c>
      <c r="H419" s="6">
        <f t="shared" si="2194"/>
        <v>73.559700000000007</v>
      </c>
      <c r="I419" s="6">
        <f t="shared" si="2195"/>
        <v>22.398049999999998</v>
      </c>
      <c r="J419">
        <v>3.6</v>
      </c>
      <c r="K419" s="5">
        <v>7.0000000000000007E-2</v>
      </c>
      <c r="L419" s="17">
        <v>2120</v>
      </c>
      <c r="M419" s="5">
        <v>0.54700000000000004</v>
      </c>
      <c r="N419" s="6">
        <f t="shared" si="2196"/>
        <v>13.3903</v>
      </c>
      <c r="O419" s="21">
        <f t="shared" si="2197"/>
        <v>47.561650000000007</v>
      </c>
      <c r="P419" s="8">
        <f t="shared" si="2109"/>
        <v>47.013207142857148</v>
      </c>
      <c r="Q419" s="8">
        <f t="shared" si="2198"/>
        <v>64.551950000000005</v>
      </c>
      <c r="R419" s="6">
        <f t="shared" si="2199"/>
        <v>22.398049999999998</v>
      </c>
      <c r="S419" s="6">
        <f t="shared" si="2200"/>
        <v>6.0865000000000009</v>
      </c>
      <c r="T419" s="6">
        <f t="shared" si="2201"/>
        <v>0.62324999999999875</v>
      </c>
      <c r="U419" s="6">
        <f t="shared" si="2202"/>
        <v>-0.42680000000000184</v>
      </c>
      <c r="V419" s="6">
        <f t="shared" si="2203"/>
        <v>4.9999999999997158E-2</v>
      </c>
      <c r="W419" s="9">
        <f>Tabla1[[#This Row],[Protein]]/Tabla1[[#This Row],[Peso (Kg)]]</f>
        <v>0.25759689476710751</v>
      </c>
      <c r="X419" s="9">
        <f t="shared" si="2110"/>
        <v>0.26350461785788004</v>
      </c>
      <c r="Y419" s="6">
        <f t="shared" si="2204"/>
        <v>39.388349999999996</v>
      </c>
      <c r="Z419" s="6">
        <f t="shared" si="2111"/>
        <v>86.464285714285708</v>
      </c>
      <c r="AA419" s="6">
        <f t="shared" ref="AA419" si="2216">AVERAGE(N413:N419)</f>
        <v>13.072142857142856</v>
      </c>
      <c r="AB419" s="6">
        <f t="shared" ref="AB419" si="2217">AVERAGE(R413:R419)</f>
        <v>22.778935714285712</v>
      </c>
      <c r="AC419" s="6">
        <f t="shared" si="2207"/>
        <v>-0.31206295400423301</v>
      </c>
      <c r="AD419" s="42">
        <f>Tabla1[[#This Row],[Avg Agua)]]/Tabla1[[#This Row],[Avg Musculo]]</f>
        <v>2.063889539552676</v>
      </c>
      <c r="AE419" t="s">
        <v>119</v>
      </c>
    </row>
    <row r="420" spans="1:31" x14ac:dyDescent="0.3">
      <c r="A420" t="s">
        <v>109</v>
      </c>
      <c r="B420">
        <v>50</v>
      </c>
      <c r="C420" t="s">
        <v>25</v>
      </c>
      <c r="D420" s="4">
        <v>45640</v>
      </c>
      <c r="E420" s="6">
        <v>85.9</v>
      </c>
      <c r="F420" s="7">
        <f t="shared" ref="F420:F425" si="2218">E420/(1.88^2)</f>
        <v>24.303983703033051</v>
      </c>
      <c r="G420" s="9">
        <v>0.14899999999999999</v>
      </c>
      <c r="H420" s="6">
        <f t="shared" ref="H420:H425" si="2219">E420-N420</f>
        <v>73.10090000000001</v>
      </c>
      <c r="I420" s="6">
        <f t="shared" ref="I420:I425" si="2220">E420-N420-O420-J420</f>
        <v>22.857199999999999</v>
      </c>
      <c r="J420">
        <v>3.6</v>
      </c>
      <c r="K420" s="5">
        <v>6.5000000000000002E-2</v>
      </c>
      <c r="L420" s="17">
        <v>2105</v>
      </c>
      <c r="M420" s="5">
        <v>0.54300000000000004</v>
      </c>
      <c r="N420" s="6">
        <f t="shared" ref="N420:N425" si="2221">E420*G420</f>
        <v>12.799100000000001</v>
      </c>
      <c r="O420" s="21">
        <f t="shared" ref="O420:O425" si="2222">M420*E420</f>
        <v>46.64370000000001</v>
      </c>
      <c r="P420" s="8">
        <f t="shared" si="2109"/>
        <v>46.880478571428576</v>
      </c>
      <c r="Q420" s="8">
        <f t="shared" ref="Q420:Q425" si="2223">E420-R420</f>
        <v>63.042800000000007</v>
      </c>
      <c r="R420" s="6">
        <f t="shared" ref="R420:R425" si="2224">I420</f>
        <v>22.857199999999999</v>
      </c>
      <c r="S420" s="6">
        <f t="shared" ref="S420:S425" si="2225">K420*E420</f>
        <v>5.5835000000000008</v>
      </c>
      <c r="T420" s="6">
        <f t="shared" ref="T420:T425" si="2226">I420-I419</f>
        <v>0.45915000000000106</v>
      </c>
      <c r="U420" s="6">
        <f t="shared" ref="U420:U425" si="2227">N420-N419</f>
        <v>-0.59119999999999884</v>
      </c>
      <c r="V420" s="6">
        <f t="shared" ref="V420:V425" si="2228">E420-E419</f>
        <v>-1.0499999999999972</v>
      </c>
      <c r="W420" s="9">
        <f>Tabla1[[#This Row],[Protein]]/Tabla1[[#This Row],[Peso (Kg)]]</f>
        <v>0.26609080325960416</v>
      </c>
      <c r="X420" s="9">
        <f t="shared" si="2110"/>
        <v>0.26496992986482665</v>
      </c>
      <c r="Y420" s="6">
        <f t="shared" ref="Y420:Y425" si="2229">R420+N420+J420</f>
        <v>39.256300000000003</v>
      </c>
      <c r="Z420" s="6">
        <f t="shared" si="2111"/>
        <v>86.242857142857147</v>
      </c>
      <c r="AA420" s="6">
        <f t="shared" ref="AA420" si="2230">AVERAGE(N414:N420)</f>
        <v>12.914221428571427</v>
      </c>
      <c r="AB420" s="6">
        <f t="shared" ref="AB420" si="2231">AVERAGE(R414:R420)</f>
        <v>22.848157142857136</v>
      </c>
      <c r="AC420" s="6">
        <f t="shared" ref="AC420:AC425" si="2232">100*(AB420/AB419-1)</f>
        <v>0.30388350640988548</v>
      </c>
      <c r="AD420" s="42">
        <f>Tabla1[[#This Row],[Avg Agua)]]/Tabla1[[#This Row],[Avg Musculo]]</f>
        <v>2.0518275622103945</v>
      </c>
    </row>
    <row r="421" spans="1:31" x14ac:dyDescent="0.3">
      <c r="A421" t="s">
        <v>109</v>
      </c>
      <c r="B421">
        <v>50</v>
      </c>
      <c r="C421" t="s">
        <v>26</v>
      </c>
      <c r="D421" s="4">
        <v>45641</v>
      </c>
      <c r="E421" s="6">
        <v>85.6</v>
      </c>
      <c r="F421" s="7">
        <f t="shared" si="2218"/>
        <v>24.219103666817563</v>
      </c>
      <c r="G421" s="9">
        <v>0.14799999999999999</v>
      </c>
      <c r="H421" s="6">
        <f t="shared" si="2219"/>
        <v>72.93119999999999</v>
      </c>
      <c r="I421" s="6">
        <f t="shared" si="2220"/>
        <v>23.021599999999985</v>
      </c>
      <c r="J421">
        <v>3.6</v>
      </c>
      <c r="K421" s="5">
        <v>6.5000000000000002E-2</v>
      </c>
      <c r="L421" s="17">
        <v>2098</v>
      </c>
      <c r="M421" s="5">
        <v>0.54100000000000004</v>
      </c>
      <c r="N421" s="6">
        <f t="shared" si="2221"/>
        <v>12.668799999999999</v>
      </c>
      <c r="O421" s="21">
        <f t="shared" si="2222"/>
        <v>46.309600000000003</v>
      </c>
      <c r="P421" s="8">
        <f t="shared" si="2109"/>
        <v>46.76681428571429</v>
      </c>
      <c r="Q421" s="8">
        <f t="shared" si="2223"/>
        <v>62.578400000000009</v>
      </c>
      <c r="R421" s="6">
        <f t="shared" si="2224"/>
        <v>23.021599999999985</v>
      </c>
      <c r="S421" s="6">
        <f t="shared" si="2225"/>
        <v>5.5640000000000001</v>
      </c>
      <c r="T421" s="6">
        <f t="shared" si="2226"/>
        <v>0.16439999999998633</v>
      </c>
      <c r="U421" s="6">
        <f t="shared" si="2227"/>
        <v>-0.13030000000000186</v>
      </c>
      <c r="V421" s="6">
        <f t="shared" si="2228"/>
        <v>-0.30000000000001137</v>
      </c>
      <c r="W421" s="9">
        <f>Tabla1[[#This Row],[Protein]]/Tabla1[[#This Row],[Peso (Kg)]]</f>
        <v>0.26894392523364469</v>
      </c>
      <c r="X421" s="9">
        <f t="shared" si="2110"/>
        <v>0.26546171333789165</v>
      </c>
      <c r="Y421" s="6">
        <f t="shared" si="2229"/>
        <v>39.290399999999984</v>
      </c>
      <c r="Z421" s="6">
        <f t="shared" si="2111"/>
        <v>86.078571428571436</v>
      </c>
      <c r="AA421" s="6">
        <f t="shared" ref="AA421" si="2233">AVERAGE(N415:N421)</f>
        <v>12.865121428571429</v>
      </c>
      <c r="AB421" s="6">
        <f t="shared" ref="AB421" si="2234">AVERAGE(R415:R421)</f>
        <v>22.846635714285707</v>
      </c>
      <c r="AC421" s="6">
        <f t="shared" si="2232"/>
        <v>-6.6588677673951047E-3</v>
      </c>
      <c r="AD421" s="42">
        <f>Tabla1[[#This Row],[Avg Agua)]]/Tabla1[[#This Row],[Avg Musculo]]</f>
        <v>2.0469891003020457</v>
      </c>
    </row>
    <row r="422" spans="1:31" x14ac:dyDescent="0.3">
      <c r="A422" t="s">
        <v>120</v>
      </c>
      <c r="B422">
        <v>51</v>
      </c>
      <c r="C422" t="s">
        <v>21</v>
      </c>
      <c r="D422" s="4">
        <v>45642</v>
      </c>
      <c r="E422" s="6">
        <v>85.8</v>
      </c>
      <c r="F422" s="7">
        <f t="shared" si="2218"/>
        <v>24.275690357627887</v>
      </c>
      <c r="G422" s="9">
        <v>0.14899999999999999</v>
      </c>
      <c r="H422" s="6">
        <f t="shared" si="2219"/>
        <v>73.015799999999999</v>
      </c>
      <c r="I422" s="6">
        <f t="shared" si="2220"/>
        <v>22.826399999999992</v>
      </c>
      <c r="J422">
        <v>3.6</v>
      </c>
      <c r="K422" s="5">
        <v>6.5000000000000002E-2</v>
      </c>
      <c r="L422" s="17">
        <v>2102</v>
      </c>
      <c r="M422" s="5">
        <v>0.54300000000000004</v>
      </c>
      <c r="N422" s="6">
        <f t="shared" si="2221"/>
        <v>12.784199999999998</v>
      </c>
      <c r="O422" s="21">
        <f t="shared" si="2222"/>
        <v>46.589400000000005</v>
      </c>
      <c r="P422" s="8">
        <f t="shared" si="2109"/>
        <v>46.820414285714286</v>
      </c>
      <c r="Q422" s="8">
        <f t="shared" si="2223"/>
        <v>62.973600000000005</v>
      </c>
      <c r="R422" s="6">
        <f t="shared" si="2224"/>
        <v>22.826399999999992</v>
      </c>
      <c r="S422" s="6">
        <f t="shared" si="2225"/>
        <v>5.577</v>
      </c>
      <c r="T422" s="6">
        <f t="shared" si="2226"/>
        <v>-0.19519999999999271</v>
      </c>
      <c r="U422" s="6">
        <f t="shared" si="2227"/>
        <v>0.11539999999999928</v>
      </c>
      <c r="V422" s="6">
        <f t="shared" si="2228"/>
        <v>0.20000000000000284</v>
      </c>
      <c r="W422" s="9">
        <f>Tabla1[[#This Row],[Protein]]/Tabla1[[#This Row],[Peso (Kg)]]</f>
        <v>0.26604195804195796</v>
      </c>
      <c r="X422" s="9">
        <f t="shared" si="2110"/>
        <v>0.26388330687822786</v>
      </c>
      <c r="Y422" s="6">
        <f t="shared" si="2229"/>
        <v>39.210599999999992</v>
      </c>
      <c r="Z422" s="6">
        <f t="shared" si="2111"/>
        <v>86.064285714285717</v>
      </c>
      <c r="AA422" s="6">
        <f t="shared" ref="AA422" si="2235">AVERAGE(N416:N422)</f>
        <v>12.936621428571428</v>
      </c>
      <c r="AB422" s="6">
        <f t="shared" ref="AB422" si="2236">AVERAGE(R416:R422)</f>
        <v>22.707249999999995</v>
      </c>
      <c r="AC422" s="6">
        <f t="shared" si="2232"/>
        <v>-0.61009295210391334</v>
      </c>
      <c r="AD422" s="42">
        <f>Tabla1[[#This Row],[Avg Agua)]]/Tabla1[[#This Row],[Avg Musculo]]</f>
        <v>2.0619147754886344</v>
      </c>
    </row>
    <row r="423" spans="1:31" x14ac:dyDescent="0.3">
      <c r="A423" t="s">
        <v>120</v>
      </c>
      <c r="B423">
        <v>51</v>
      </c>
      <c r="C423" t="s">
        <v>23</v>
      </c>
      <c r="D423" s="4">
        <v>45643</v>
      </c>
      <c r="E423" s="6">
        <v>85.75</v>
      </c>
      <c r="F423" s="7">
        <f t="shared" si="2218"/>
        <v>24.261543684925307</v>
      </c>
      <c r="G423" s="9">
        <v>0.14899999999999999</v>
      </c>
      <c r="H423" s="6">
        <f t="shared" si="2219"/>
        <v>72.973250000000007</v>
      </c>
      <c r="I423" s="6">
        <f t="shared" si="2220"/>
        <v>22.639500000000005</v>
      </c>
      <c r="J423">
        <v>3.6</v>
      </c>
      <c r="K423" s="5">
        <v>7.0000000000000007E-2</v>
      </c>
      <c r="L423" s="17">
        <v>2099</v>
      </c>
      <c r="M423" s="5">
        <v>0.54500000000000004</v>
      </c>
      <c r="N423" s="6">
        <f t="shared" si="2221"/>
        <v>12.77675</v>
      </c>
      <c r="O423" s="21">
        <f t="shared" si="2222"/>
        <v>46.733750000000001</v>
      </c>
      <c r="P423" s="8">
        <f t="shared" si="2109"/>
        <v>46.880392857142859</v>
      </c>
      <c r="Q423" s="8">
        <f t="shared" si="2223"/>
        <v>63.110499999999995</v>
      </c>
      <c r="R423" s="6">
        <f t="shared" si="2224"/>
        <v>22.639500000000005</v>
      </c>
      <c r="S423" s="6">
        <f t="shared" si="2225"/>
        <v>6.0025000000000004</v>
      </c>
      <c r="T423" s="6">
        <f t="shared" si="2226"/>
        <v>-0.18689999999998719</v>
      </c>
      <c r="U423" s="6">
        <f t="shared" si="2227"/>
        <v>-7.4499999999986244E-3</v>
      </c>
      <c r="V423" s="6">
        <f t="shared" si="2228"/>
        <v>-4.9999999999997158E-2</v>
      </c>
      <c r="W423" s="9">
        <f>Tabla1[[#This Row],[Protein]]/Tabla1[[#This Row],[Peso (Kg)]]</f>
        <v>0.26401749271137032</v>
      </c>
      <c r="X423" s="9">
        <f t="shared" si="2110"/>
        <v>0.26261864876936991</v>
      </c>
      <c r="Y423" s="6">
        <f t="shared" si="2229"/>
        <v>39.016250000000007</v>
      </c>
      <c r="Z423" s="6">
        <f t="shared" si="2111"/>
        <v>86.107142857142861</v>
      </c>
      <c r="AA423" s="6">
        <f t="shared" ref="AA423" si="2237">AVERAGE(N417:N423)</f>
        <v>13.016250000000001</v>
      </c>
      <c r="AB423" s="6">
        <f t="shared" ref="AB423" si="2238">AVERAGE(R417:R423)</f>
        <v>22.610499999999995</v>
      </c>
      <c r="AC423" s="6">
        <f t="shared" si="2232"/>
        <v>-0.42607537240308968</v>
      </c>
      <c r="AD423" s="42">
        <f>Tabla1[[#This Row],[Avg Agua)]]/Tabla1[[#This Row],[Avg Musculo]]</f>
        <v>2.0733903654117718</v>
      </c>
    </row>
    <row r="424" spans="1:31" x14ac:dyDescent="0.3">
      <c r="A424" t="s">
        <v>120</v>
      </c>
      <c r="B424">
        <v>51</v>
      </c>
      <c r="C424" t="s">
        <v>24</v>
      </c>
      <c r="D424" s="4">
        <v>45644</v>
      </c>
      <c r="E424" s="6">
        <v>85.8</v>
      </c>
      <c r="F424" s="7">
        <f t="shared" si="2218"/>
        <v>24.275690357627887</v>
      </c>
      <c r="G424" s="9">
        <v>0.14499999999999999</v>
      </c>
      <c r="H424" s="6">
        <f t="shared" si="2219"/>
        <v>73.358999999999995</v>
      </c>
      <c r="I424" s="6">
        <f t="shared" si="2220"/>
        <v>22.99799999999999</v>
      </c>
      <c r="J424">
        <v>3.6</v>
      </c>
      <c r="K424" s="5">
        <v>7.0000000000000007E-2</v>
      </c>
      <c r="L424" s="17">
        <v>2111</v>
      </c>
      <c r="M424" s="5">
        <v>0.54500000000000004</v>
      </c>
      <c r="N424" s="6">
        <f t="shared" si="2221"/>
        <v>12.440999999999999</v>
      </c>
      <c r="O424" s="21">
        <f t="shared" si="2222"/>
        <v>46.761000000000003</v>
      </c>
      <c r="P424" s="8">
        <f t="shared" si="2109"/>
        <v>46.901028571428576</v>
      </c>
      <c r="Q424" s="8">
        <f t="shared" si="2223"/>
        <v>62.802000000000007</v>
      </c>
      <c r="R424" s="6">
        <f t="shared" si="2224"/>
        <v>22.99799999999999</v>
      </c>
      <c r="S424" s="6">
        <f t="shared" si="2225"/>
        <v>6.0060000000000002</v>
      </c>
      <c r="T424" s="6">
        <f t="shared" si="2226"/>
        <v>0.35849999999998516</v>
      </c>
      <c r="U424" s="6">
        <f t="shared" si="2227"/>
        <v>-0.33575000000000088</v>
      </c>
      <c r="V424" s="6">
        <f t="shared" si="2228"/>
        <v>4.9999999999997158E-2</v>
      </c>
      <c r="W424" s="9">
        <f>Tabla1[[#This Row],[Protein]]/Tabla1[[#This Row],[Peso (Kg)]]</f>
        <v>0.26804195804195796</v>
      </c>
      <c r="X424" s="9">
        <f t="shared" si="2110"/>
        <v>0.26304372922182367</v>
      </c>
      <c r="Y424" s="6">
        <f t="shared" si="2229"/>
        <v>39.038999999999994</v>
      </c>
      <c r="Z424" s="6">
        <f t="shared" si="2111"/>
        <v>86.100000000000009</v>
      </c>
      <c r="AA424" s="6">
        <f t="shared" ref="AA424" si="2239">AVERAGE(N418:N424)</f>
        <v>12.953892857142856</v>
      </c>
      <c r="AB424" s="6">
        <f t="shared" ref="AB424" si="2240">AVERAGE(R418:R424)</f>
        <v>22.645078571428567</v>
      </c>
      <c r="AC424" s="6">
        <f t="shared" si="2232"/>
        <v>0.15293147621049386</v>
      </c>
      <c r="AD424" s="42">
        <f>Tabla1[[#This Row],[Avg Agua)]]/Tabla1[[#This Row],[Avg Musculo]]</f>
        <v>2.0711356078315353</v>
      </c>
    </row>
    <row r="425" spans="1:31" x14ac:dyDescent="0.3">
      <c r="A425" t="s">
        <v>120</v>
      </c>
      <c r="B425">
        <v>51</v>
      </c>
      <c r="C425" t="s">
        <v>22</v>
      </c>
      <c r="D425" s="4">
        <v>45645</v>
      </c>
      <c r="E425" s="6">
        <v>86.85</v>
      </c>
      <c r="F425" s="7">
        <f t="shared" si="2218"/>
        <v>24.572770484382072</v>
      </c>
      <c r="G425" s="9">
        <v>0.158</v>
      </c>
      <c r="H425" s="6">
        <f t="shared" si="2219"/>
        <v>73.12769999999999</v>
      </c>
      <c r="I425" s="6">
        <f t="shared" si="2220"/>
        <v>21.76019999999999</v>
      </c>
      <c r="J425">
        <v>3.6</v>
      </c>
      <c r="K425" s="5">
        <v>7.0000000000000007E-2</v>
      </c>
      <c r="L425" s="17">
        <v>2109</v>
      </c>
      <c r="M425" s="5">
        <v>0.55000000000000004</v>
      </c>
      <c r="N425" s="6">
        <f t="shared" si="2221"/>
        <v>13.722299999999999</v>
      </c>
      <c r="O425" s="21">
        <f t="shared" si="2222"/>
        <v>47.767499999999998</v>
      </c>
      <c r="P425" s="8">
        <f t="shared" si="2109"/>
        <v>46.909514285714287</v>
      </c>
      <c r="Q425" s="8">
        <f t="shared" si="2223"/>
        <v>65.089799999999997</v>
      </c>
      <c r="R425" s="6">
        <f t="shared" si="2224"/>
        <v>21.76019999999999</v>
      </c>
      <c r="S425" s="6">
        <f t="shared" si="2225"/>
        <v>6.0795000000000003</v>
      </c>
      <c r="T425" s="6">
        <f t="shared" si="2226"/>
        <v>-1.2378</v>
      </c>
      <c r="U425" s="6">
        <f t="shared" si="2227"/>
        <v>1.2812999999999999</v>
      </c>
      <c r="V425" s="6">
        <f t="shared" si="2228"/>
        <v>1.0499999999999972</v>
      </c>
      <c r="W425" s="9">
        <f>Tabla1[[#This Row],[Protein]]/Tabla1[[#This Row],[Peso (Kg)]]</f>
        <v>0.25054922279792735</v>
      </c>
      <c r="X425" s="9">
        <f t="shared" si="2110"/>
        <v>0.26304032212193856</v>
      </c>
      <c r="Y425" s="6">
        <f t="shared" si="2229"/>
        <v>39.082499999999989</v>
      </c>
      <c r="Z425" s="6">
        <f t="shared" si="2111"/>
        <v>86.092857142857156</v>
      </c>
      <c r="AA425" s="6">
        <f t="shared" ref="AA425" si="2241">AVERAGE(N419:N425)</f>
        <v>12.94035</v>
      </c>
      <c r="AB425" s="6">
        <f t="shared" ref="AB425" si="2242">AVERAGE(R419:R425)</f>
        <v>22.64299285714285</v>
      </c>
      <c r="AC425" s="6">
        <f t="shared" si="2232"/>
        <v>-9.2104528546355091E-3</v>
      </c>
      <c r="AD425" s="42">
        <f>Tabla1[[#This Row],[Avg Agua)]]/Tabla1[[#This Row],[Avg Musculo]]</f>
        <v>2.0717011475325551</v>
      </c>
      <c r="AE425" t="s">
        <v>122</v>
      </c>
    </row>
    <row r="426" spans="1:31" x14ac:dyDescent="0.3">
      <c r="A426" t="s">
        <v>120</v>
      </c>
      <c r="B426">
        <v>51</v>
      </c>
      <c r="C426" t="s">
        <v>20</v>
      </c>
      <c r="D426" s="4">
        <v>45646</v>
      </c>
      <c r="E426" s="6">
        <v>85.55</v>
      </c>
      <c r="F426" s="7">
        <f t="shared" ref="F426:F427" si="2243">E426/(1.88^2)</f>
        <v>24.204956994114983</v>
      </c>
      <c r="G426" s="9">
        <v>0.152</v>
      </c>
      <c r="H426" s="6">
        <f t="shared" ref="H426:H427" si="2244">E426-N426</f>
        <v>72.546400000000006</v>
      </c>
      <c r="I426" s="6">
        <f t="shared" ref="I426:I427" si="2245">E426-N426-O426-J426</f>
        <v>22.2361</v>
      </c>
      <c r="J426">
        <v>3.6</v>
      </c>
      <c r="K426" s="5">
        <v>7.0000000000000007E-2</v>
      </c>
      <c r="L426" s="17">
        <v>2087</v>
      </c>
      <c r="M426" s="5">
        <v>0.54600000000000004</v>
      </c>
      <c r="N426" s="6">
        <f t="shared" ref="N426:N427" si="2246">E426*G426</f>
        <v>13.003599999999999</v>
      </c>
      <c r="O426" s="21">
        <f t="shared" ref="O426:O427" si="2247">M426*E426</f>
        <v>46.710300000000004</v>
      </c>
      <c r="P426" s="8">
        <f t="shared" si="2109"/>
        <v>46.787892857142865</v>
      </c>
      <c r="Q426" s="8">
        <f t="shared" ref="Q426:Q427" si="2248">E426-R426</f>
        <v>63.313899999999997</v>
      </c>
      <c r="R426" s="6">
        <f t="shared" ref="R426:R427" si="2249">I426</f>
        <v>22.2361</v>
      </c>
      <c r="S426" s="6">
        <f t="shared" ref="S426:S427" si="2250">K426*E426</f>
        <v>5.9885000000000002</v>
      </c>
      <c r="T426" s="6">
        <f t="shared" ref="T426:T427" si="2251">I426-I425</f>
        <v>0.47590000000000998</v>
      </c>
      <c r="U426" s="6">
        <f t="shared" ref="U426:U427" si="2252">N426-N425</f>
        <v>-0.71870000000000012</v>
      </c>
      <c r="V426" s="6">
        <f t="shared" ref="V426:V427" si="2253">E426-E425</f>
        <v>-1.2999999999999972</v>
      </c>
      <c r="W426" s="9">
        <f>Tabla1[[#This Row],[Protein]]/Tabla1[[#This Row],[Peso (Kg)]]</f>
        <v>0.25991934541203976</v>
      </c>
      <c r="X426" s="9">
        <f t="shared" si="2110"/>
        <v>0.26337210078550033</v>
      </c>
      <c r="Y426" s="6">
        <f t="shared" ref="Y426:Y427" si="2254">R426+N426+J426</f>
        <v>38.839700000000001</v>
      </c>
      <c r="Z426" s="6">
        <f t="shared" si="2111"/>
        <v>85.892857142857139</v>
      </c>
      <c r="AA426" s="6">
        <f t="shared" ref="AA426" si="2255">AVERAGE(N420:N426)</f>
        <v>12.885107142857143</v>
      </c>
      <c r="AB426" s="6">
        <f t="shared" ref="AB426" si="2256">AVERAGE(R420:R426)</f>
        <v>22.619857142857139</v>
      </c>
      <c r="AC426" s="6">
        <f t="shared" ref="AC426:AC427" si="2257">100*(AB426/AB425-1)</f>
        <v>-0.10217604373978784</v>
      </c>
      <c r="AD426" s="42">
        <f>Tabla1[[#This Row],[Avg Agua)]]/Tabla1[[#This Row],[Avg Musculo]]</f>
        <v>2.0684433399225717</v>
      </c>
      <c r="AE426" t="s">
        <v>123</v>
      </c>
    </row>
    <row r="427" spans="1:31" x14ac:dyDescent="0.3">
      <c r="A427" t="s">
        <v>120</v>
      </c>
      <c r="B427">
        <v>51</v>
      </c>
      <c r="C427" t="s">
        <v>121</v>
      </c>
      <c r="D427" s="4">
        <v>45647</v>
      </c>
      <c r="E427" s="6">
        <v>86.45</v>
      </c>
      <c r="F427" s="7">
        <f t="shared" si="2243"/>
        <v>24.459597102761432</v>
      </c>
      <c r="G427" s="9">
        <v>0.156</v>
      </c>
      <c r="H427" s="6">
        <f t="shared" si="2244"/>
        <v>72.963800000000006</v>
      </c>
      <c r="I427" s="6">
        <f t="shared" si="2245"/>
        <v>22.594349999999999</v>
      </c>
      <c r="J427">
        <v>3.6</v>
      </c>
      <c r="K427" s="5">
        <v>7.0000000000000007E-2</v>
      </c>
      <c r="L427" s="17">
        <v>2095</v>
      </c>
      <c r="M427" s="5">
        <v>0.54100000000000004</v>
      </c>
      <c r="N427" s="6">
        <f t="shared" si="2246"/>
        <v>13.4862</v>
      </c>
      <c r="O427" s="21">
        <f t="shared" si="2247"/>
        <v>46.769450000000006</v>
      </c>
      <c r="P427" s="8">
        <f t="shared" si="2109"/>
        <v>46.805857142857143</v>
      </c>
      <c r="Q427" s="8">
        <f t="shared" si="2248"/>
        <v>63.855650000000004</v>
      </c>
      <c r="R427" s="6">
        <f t="shared" si="2249"/>
        <v>22.594349999999999</v>
      </c>
      <c r="S427" s="6">
        <f t="shared" si="2250"/>
        <v>6.0515000000000008</v>
      </c>
      <c r="T427" s="6">
        <f t="shared" si="2251"/>
        <v>0.35824999999999818</v>
      </c>
      <c r="U427" s="6">
        <f t="shared" si="2252"/>
        <v>0.48260000000000147</v>
      </c>
      <c r="V427" s="6">
        <f t="shared" si="2253"/>
        <v>0.90000000000000568</v>
      </c>
      <c r="W427" s="9">
        <f>Tabla1[[#This Row],[Protein]]/Tabla1[[#This Row],[Peso (Kg)]]</f>
        <v>0.26135743204164252</v>
      </c>
      <c r="X427" s="9">
        <f t="shared" si="2110"/>
        <v>0.26269590489722006</v>
      </c>
      <c r="Y427" s="6">
        <f t="shared" si="2254"/>
        <v>39.680550000000004</v>
      </c>
      <c r="Z427" s="6">
        <f t="shared" si="2111"/>
        <v>85.971428571428561</v>
      </c>
      <c r="AA427" s="6">
        <f t="shared" ref="AA427:AA428" si="2258">AVERAGE(N421:N427)</f>
        <v>12.983264285714284</v>
      </c>
      <c r="AB427" s="6">
        <f t="shared" ref="AB427:AB428" si="2259">AVERAGE(R421:R427)</f>
        <v>22.582307142857136</v>
      </c>
      <c r="AC427" s="6">
        <f t="shared" si="2257"/>
        <v>-0.16600458509907767</v>
      </c>
      <c r="AD427" s="42">
        <f>Tabla1[[#This Row],[Avg Agua)]]/Tabla1[[#This Row],[Avg Musculo]]</f>
        <v>2.0726782629764204</v>
      </c>
      <c r="AE427" t="s">
        <v>124</v>
      </c>
    </row>
    <row r="428" spans="1:31" x14ac:dyDescent="0.3">
      <c r="A428" t="s">
        <v>120</v>
      </c>
      <c r="B428">
        <v>51</v>
      </c>
      <c r="C428" t="s">
        <v>26</v>
      </c>
      <c r="D428" s="4">
        <v>45648</v>
      </c>
      <c r="E428" s="6">
        <v>86.1</v>
      </c>
      <c r="F428" s="7">
        <f t="shared" ref="F428:F433" si="2260">E428/(1.88^2)</f>
        <v>24.360570393843368</v>
      </c>
      <c r="G428" s="9">
        <v>0.151</v>
      </c>
      <c r="H428" s="6">
        <f t="shared" ref="H428:H433" si="2261">E428-N428</f>
        <v>73.0989</v>
      </c>
      <c r="I428" s="6">
        <f t="shared" ref="I428:I433" si="2262">E428-N428-O428-J428</f>
        <v>22.316099999999999</v>
      </c>
      <c r="J428">
        <v>3.6</v>
      </c>
      <c r="K428" s="5">
        <v>7.0000000000000007E-2</v>
      </c>
      <c r="L428" s="17">
        <v>2104</v>
      </c>
      <c r="M428" s="5">
        <v>0.54800000000000004</v>
      </c>
      <c r="N428" s="6">
        <f t="shared" ref="N428:N433" si="2263">E428*G428</f>
        <v>13.001099999999999</v>
      </c>
      <c r="O428" s="21">
        <f t="shared" ref="O428:O433" si="2264">M428*E428</f>
        <v>47.1828</v>
      </c>
      <c r="P428" s="8">
        <f t="shared" si="2109"/>
        <v>46.930600000000005</v>
      </c>
      <c r="Q428" s="8">
        <f t="shared" ref="Q428:Q433" si="2265">E428-R428</f>
        <v>63.783899999999996</v>
      </c>
      <c r="R428" s="6">
        <f t="shared" ref="R428:R433" si="2266">I428</f>
        <v>22.316099999999999</v>
      </c>
      <c r="S428" s="6">
        <f t="shared" ref="S428:S433" si="2267">K428*E428</f>
        <v>6.0270000000000001</v>
      </c>
      <c r="T428" s="6">
        <f t="shared" ref="T428:T433" si="2268">I428-I427</f>
        <v>-0.27824999999999989</v>
      </c>
      <c r="U428" s="6">
        <f t="shared" ref="U428:U433" si="2269">N428-N427</f>
        <v>-0.48510000000000097</v>
      </c>
      <c r="V428" s="6">
        <f t="shared" ref="V428:V433" si="2270">E428-E427</f>
        <v>-0.35000000000000853</v>
      </c>
      <c r="W428" s="9">
        <f>Tabla1[[#This Row],[Protein]]/Tabla1[[#This Row],[Peso (Kg)]]</f>
        <v>0.25918815331010453</v>
      </c>
      <c r="X428" s="9">
        <f t="shared" si="2110"/>
        <v>0.26130222319385721</v>
      </c>
      <c r="Y428" s="6">
        <f t="shared" ref="Y428:Y433" si="2271">R428+N428+J428</f>
        <v>38.917200000000001</v>
      </c>
      <c r="Z428" s="6">
        <f t="shared" si="2111"/>
        <v>86.042857142857159</v>
      </c>
      <c r="AA428" s="6">
        <f t="shared" si="2258"/>
        <v>13.030735714285711</v>
      </c>
      <c r="AB428" s="6">
        <f t="shared" si="2259"/>
        <v>22.481521428571426</v>
      </c>
      <c r="AC428" s="6">
        <f t="shared" ref="AC428:AC433" si="2272">100*(AB428/AB427-1)</f>
        <v>-0.44630388581703428</v>
      </c>
      <c r="AD428" s="42">
        <f>Tabla1[[#This Row],[Avg Agua)]]/Tabla1[[#This Row],[Avg Musculo]]</f>
        <v>2.0875188607278425</v>
      </c>
    </row>
    <row r="429" spans="1:31" x14ac:dyDescent="0.3">
      <c r="A429" t="s">
        <v>120</v>
      </c>
      <c r="B429">
        <v>52</v>
      </c>
      <c r="C429" t="s">
        <v>21</v>
      </c>
      <c r="D429" s="4">
        <v>45649</v>
      </c>
      <c r="E429" s="6">
        <v>85.9</v>
      </c>
      <c r="F429" s="7">
        <f t="shared" si="2260"/>
        <v>24.303983703033051</v>
      </c>
      <c r="G429" s="9">
        <v>0.14699999999999999</v>
      </c>
      <c r="H429" s="6">
        <f t="shared" si="2261"/>
        <v>73.2727</v>
      </c>
      <c r="I429" s="6">
        <f t="shared" si="2262"/>
        <v>22.427699999999994</v>
      </c>
      <c r="J429">
        <v>3.6</v>
      </c>
      <c r="K429" s="5">
        <v>6.5000000000000002E-2</v>
      </c>
      <c r="L429" s="17">
        <v>2109</v>
      </c>
      <c r="M429" s="5">
        <v>0.55000000000000004</v>
      </c>
      <c r="N429" s="6">
        <f t="shared" si="2263"/>
        <v>12.6273</v>
      </c>
      <c r="O429" s="21">
        <f t="shared" si="2264"/>
        <v>47.245000000000005</v>
      </c>
      <c r="P429" s="8">
        <f t="shared" si="2109"/>
        <v>47.024257142857145</v>
      </c>
      <c r="Q429" s="8">
        <f t="shared" si="2265"/>
        <v>63.472300000000011</v>
      </c>
      <c r="R429" s="6">
        <f t="shared" si="2266"/>
        <v>22.427699999999994</v>
      </c>
      <c r="S429" s="6">
        <f t="shared" si="2267"/>
        <v>5.5835000000000008</v>
      </c>
      <c r="T429" s="6">
        <f t="shared" si="2268"/>
        <v>0.1115999999999957</v>
      </c>
      <c r="U429" s="6">
        <f t="shared" si="2269"/>
        <v>-0.37379999999999924</v>
      </c>
      <c r="V429" s="6">
        <f t="shared" si="2270"/>
        <v>-0.19999999999998863</v>
      </c>
      <c r="W429" s="9">
        <f>Tabla1[[#This Row],[Protein]]/Tabla1[[#This Row],[Peso (Kg)]]</f>
        <v>0.2610908032596041</v>
      </c>
      <c r="X429" s="9">
        <f t="shared" si="2110"/>
        <v>0.26059491536780666</v>
      </c>
      <c r="Y429" s="6">
        <f t="shared" si="2271"/>
        <v>38.654999999999994</v>
      </c>
      <c r="Z429" s="6">
        <f t="shared" si="2111"/>
        <v>86.05714285714285</v>
      </c>
      <c r="AA429" s="6">
        <f t="shared" ref="AA429" si="2273">AVERAGE(N423:N429)</f>
        <v>13.008321428571429</v>
      </c>
      <c r="AB429" s="6">
        <f t="shared" ref="AB429" si="2274">AVERAGE(R423:R429)</f>
        <v>22.424564285714279</v>
      </c>
      <c r="AC429" s="6">
        <f t="shared" si="2272"/>
        <v>-0.25335092661816772</v>
      </c>
      <c r="AD429" s="42">
        <f>Tabla1[[#This Row],[Avg Agua)]]/Tabla1[[#This Row],[Avg Musculo]]</f>
        <v>2.0969975846003068</v>
      </c>
    </row>
    <row r="430" spans="1:31" x14ac:dyDescent="0.3">
      <c r="A430" t="s">
        <v>120</v>
      </c>
      <c r="B430">
        <v>52</v>
      </c>
      <c r="C430" t="s">
        <v>23</v>
      </c>
      <c r="D430" s="4">
        <v>45650</v>
      </c>
      <c r="E430" s="6">
        <v>85.35</v>
      </c>
      <c r="F430" s="7">
        <f t="shared" si="2260"/>
        <v>24.148370303304663</v>
      </c>
      <c r="G430" s="9">
        <v>0.14699999999999999</v>
      </c>
      <c r="H430" s="6">
        <f t="shared" si="2261"/>
        <v>72.803550000000001</v>
      </c>
      <c r="I430" s="6">
        <f t="shared" si="2262"/>
        <v>22.687800000000003</v>
      </c>
      <c r="J430">
        <v>3.6</v>
      </c>
      <c r="K430" s="5">
        <v>6.5000000000000002E-2</v>
      </c>
      <c r="L430" s="17">
        <v>2093</v>
      </c>
      <c r="M430" s="5">
        <v>0.54500000000000004</v>
      </c>
      <c r="N430" s="6">
        <f t="shared" si="2263"/>
        <v>12.546449999999998</v>
      </c>
      <c r="O430" s="21">
        <f t="shared" si="2264"/>
        <v>46.515749999999997</v>
      </c>
      <c r="P430" s="8">
        <f t="shared" si="2109"/>
        <v>46.993114285714292</v>
      </c>
      <c r="Q430" s="8">
        <f t="shared" si="2265"/>
        <v>62.662199999999991</v>
      </c>
      <c r="R430" s="6">
        <f t="shared" si="2266"/>
        <v>22.687800000000003</v>
      </c>
      <c r="S430" s="6">
        <f t="shared" si="2267"/>
        <v>5.5477499999999997</v>
      </c>
      <c r="T430" s="6">
        <f t="shared" si="2268"/>
        <v>0.26010000000000844</v>
      </c>
      <c r="U430" s="6">
        <f t="shared" si="2269"/>
        <v>-8.0850000000001643E-2</v>
      </c>
      <c r="V430" s="6">
        <f t="shared" si="2270"/>
        <v>-0.55000000000001137</v>
      </c>
      <c r="W430" s="9">
        <f>Tabla1[[#This Row],[Protein]]/Tabla1[[#This Row],[Peso (Kg)]]</f>
        <v>0.26582073813708268</v>
      </c>
      <c r="X430" s="9">
        <f t="shared" si="2110"/>
        <v>0.26085252185719415</v>
      </c>
      <c r="Y430" s="6">
        <f t="shared" si="2271"/>
        <v>38.834250000000004</v>
      </c>
      <c r="Z430" s="6">
        <f t="shared" si="2111"/>
        <v>86</v>
      </c>
      <c r="AA430" s="6">
        <f t="shared" ref="AA430" si="2275">AVERAGE(N424:N430)</f>
        <v>12.975421428571426</v>
      </c>
      <c r="AB430" s="6">
        <f t="shared" ref="AB430" si="2276">AVERAGE(R424:R430)</f>
        <v>22.431464285714281</v>
      </c>
      <c r="AC430" s="6">
        <f t="shared" si="2272"/>
        <v>3.0769828622245754E-2</v>
      </c>
      <c r="AD430" s="42">
        <f>Tabla1[[#This Row],[Avg Agua)]]/Tabla1[[#This Row],[Avg Musculo]]</f>
        <v>2.0949641845558142</v>
      </c>
    </row>
    <row r="431" spans="1:31" x14ac:dyDescent="0.3">
      <c r="A431" t="s">
        <v>120</v>
      </c>
      <c r="B431">
        <v>52</v>
      </c>
      <c r="C431" t="s">
        <v>24</v>
      </c>
      <c r="D431" s="4">
        <v>45651</v>
      </c>
      <c r="E431" s="6">
        <v>85.75</v>
      </c>
      <c r="F431" s="7">
        <f t="shared" si="2260"/>
        <v>24.261543684925307</v>
      </c>
      <c r="G431" s="9">
        <v>0.14399999999999999</v>
      </c>
      <c r="H431" s="6">
        <f t="shared" si="2261"/>
        <v>73.402000000000001</v>
      </c>
      <c r="I431" s="6">
        <f t="shared" si="2262"/>
        <v>22.639499999999998</v>
      </c>
      <c r="J431">
        <v>3.6</v>
      </c>
      <c r="K431" s="5">
        <v>6.5000000000000002E-2</v>
      </c>
      <c r="L431" s="17">
        <v>2112</v>
      </c>
      <c r="M431" s="5">
        <v>0.55000000000000004</v>
      </c>
      <c r="N431" s="6">
        <f t="shared" si="2263"/>
        <v>12.347999999999999</v>
      </c>
      <c r="O431" s="21">
        <f t="shared" si="2264"/>
        <v>47.162500000000001</v>
      </c>
      <c r="P431" s="8">
        <f t="shared" si="2109"/>
        <v>47.050471428571427</v>
      </c>
      <c r="Q431" s="8">
        <f t="shared" si="2265"/>
        <v>63.110500000000002</v>
      </c>
      <c r="R431" s="6">
        <f t="shared" si="2266"/>
        <v>22.639499999999998</v>
      </c>
      <c r="S431" s="6">
        <f t="shared" si="2267"/>
        <v>5.5737500000000004</v>
      </c>
      <c r="T431" s="6">
        <f t="shared" si="2268"/>
        <v>-4.8300000000004673E-2</v>
      </c>
      <c r="U431" s="6">
        <f t="shared" si="2269"/>
        <v>-0.19844999999999935</v>
      </c>
      <c r="V431" s="6">
        <f t="shared" si="2270"/>
        <v>0.40000000000000568</v>
      </c>
      <c r="W431" s="9">
        <f>Tabla1[[#This Row],[Protein]]/Tabla1[[#This Row],[Peso (Kg)]]</f>
        <v>0.26401749271137026</v>
      </c>
      <c r="X431" s="9">
        <f t="shared" si="2110"/>
        <v>0.26027759823853874</v>
      </c>
      <c r="Y431" s="6">
        <f t="shared" si="2271"/>
        <v>38.587499999999999</v>
      </c>
      <c r="Z431" s="6">
        <f t="shared" si="2111"/>
        <v>85.992857142857133</v>
      </c>
      <c r="AA431" s="6">
        <f t="shared" ref="AA431" si="2277">AVERAGE(N425:N431)</f>
        <v>12.962135714285711</v>
      </c>
      <c r="AB431" s="6">
        <f t="shared" ref="AB431" si="2278">AVERAGE(R425:R431)</f>
        <v>22.380249999999997</v>
      </c>
      <c r="AC431" s="6">
        <f t="shared" si="2272"/>
        <v>-0.22831450083666827</v>
      </c>
      <c r="AD431" s="42">
        <f>Tabla1[[#This Row],[Avg Agua)]]/Tabla1[[#This Row],[Avg Musculo]]</f>
        <v>2.1023210834808115</v>
      </c>
      <c r="AE431" t="s">
        <v>125</v>
      </c>
    </row>
    <row r="432" spans="1:31" x14ac:dyDescent="0.3">
      <c r="A432" t="s">
        <v>120</v>
      </c>
      <c r="B432">
        <v>1</v>
      </c>
      <c r="C432" t="s">
        <v>23</v>
      </c>
      <c r="D432" s="4">
        <v>45657</v>
      </c>
      <c r="E432" s="6">
        <v>87.8</v>
      </c>
      <c r="F432" s="7">
        <f t="shared" si="2260"/>
        <v>24.841557265731101</v>
      </c>
      <c r="G432" s="9">
        <v>0.159</v>
      </c>
      <c r="H432" s="6">
        <f t="shared" si="2261"/>
        <v>73.839799999999997</v>
      </c>
      <c r="I432" s="6">
        <f t="shared" si="2262"/>
        <v>22.213199999999993</v>
      </c>
      <c r="J432">
        <v>3.6</v>
      </c>
      <c r="K432" s="5">
        <v>7.0000000000000007E-2</v>
      </c>
      <c r="L432" s="17">
        <v>2130</v>
      </c>
      <c r="M432" s="5">
        <v>0.54700000000000004</v>
      </c>
      <c r="N432" s="6">
        <f t="shared" si="2263"/>
        <v>13.9602</v>
      </c>
      <c r="O432" s="21">
        <f t="shared" si="2264"/>
        <v>48.026600000000002</v>
      </c>
      <c r="P432" s="8">
        <f t="shared" si="2109"/>
        <v>47.087485714285712</v>
      </c>
      <c r="Q432" s="8">
        <f t="shared" si="2265"/>
        <v>65.586800000000011</v>
      </c>
      <c r="R432" s="6">
        <f t="shared" si="2266"/>
        <v>22.213199999999993</v>
      </c>
      <c r="S432" s="6">
        <f t="shared" si="2267"/>
        <v>6.1460000000000008</v>
      </c>
      <c r="T432" s="6">
        <f t="shared" si="2268"/>
        <v>-0.42630000000000479</v>
      </c>
      <c r="U432" s="6">
        <f t="shared" si="2269"/>
        <v>1.6122000000000014</v>
      </c>
      <c r="V432" s="6">
        <f t="shared" si="2270"/>
        <v>2.0499999999999972</v>
      </c>
      <c r="W432" s="9">
        <f>Tabla1[[#This Row],[Protein]]/Tabla1[[#This Row],[Peso (Kg)]]</f>
        <v>0.2529977220956719</v>
      </c>
      <c r="X432" s="9">
        <f t="shared" si="2110"/>
        <v>0.26062738385250223</v>
      </c>
      <c r="Y432" s="6">
        <f t="shared" si="2271"/>
        <v>39.773399999999995</v>
      </c>
      <c r="Z432" s="6">
        <f t="shared" si="2111"/>
        <v>86.128571428571419</v>
      </c>
      <c r="AA432" s="6">
        <f t="shared" ref="AA432" si="2279">AVERAGE(N426:N432)</f>
        <v>12.996121428571428</v>
      </c>
      <c r="AB432" s="6">
        <f t="shared" ref="AB432" si="2280">AVERAGE(R426:R432)</f>
        <v>22.444964285714285</v>
      </c>
      <c r="AC432" s="6">
        <f t="shared" si="2272"/>
        <v>0.2891580108099312</v>
      </c>
      <c r="AD432" s="42">
        <f>Tabla1[[#This Row],[Avg Agua)]]/Tabla1[[#This Row],[Avg Musculo]]</f>
        <v>2.0979086941232441</v>
      </c>
      <c r="AE432" t="s">
        <v>126</v>
      </c>
    </row>
    <row r="433" spans="1:31" x14ac:dyDescent="0.3">
      <c r="A433" t="s">
        <v>120</v>
      </c>
      <c r="B433">
        <v>1</v>
      </c>
      <c r="C433" t="s">
        <v>24</v>
      </c>
      <c r="D433" s="4">
        <v>45658</v>
      </c>
      <c r="E433" s="6">
        <v>86.7</v>
      </c>
      <c r="F433" s="7">
        <f t="shared" si="2260"/>
        <v>24.530330466274336</v>
      </c>
      <c r="G433" s="9">
        <v>0.157</v>
      </c>
      <c r="H433" s="6">
        <f t="shared" si="2261"/>
        <v>73.088099999999997</v>
      </c>
      <c r="I433" s="6">
        <f t="shared" si="2262"/>
        <v>22.58339999999999</v>
      </c>
      <c r="J433">
        <v>3.6</v>
      </c>
      <c r="K433" s="5">
        <v>7.0000000000000007E-2</v>
      </c>
      <c r="L433" s="17">
        <v>2107</v>
      </c>
      <c r="M433" s="5">
        <v>0.54100000000000004</v>
      </c>
      <c r="N433" s="6">
        <f t="shared" si="2263"/>
        <v>13.6119</v>
      </c>
      <c r="O433" s="21">
        <f t="shared" si="2264"/>
        <v>46.904700000000005</v>
      </c>
      <c r="P433" s="8">
        <f t="shared" si="2109"/>
        <v>47.115257142857146</v>
      </c>
      <c r="Q433" s="8">
        <f t="shared" si="2265"/>
        <v>64.116600000000005</v>
      </c>
      <c r="R433" s="6">
        <f t="shared" si="2266"/>
        <v>22.58339999999999</v>
      </c>
      <c r="S433" s="6">
        <f t="shared" si="2267"/>
        <v>6.0690000000000008</v>
      </c>
      <c r="T433" s="6">
        <f t="shared" si="2268"/>
        <v>0.37019999999999698</v>
      </c>
      <c r="U433" s="6">
        <f t="shared" si="2269"/>
        <v>-0.34830000000000005</v>
      </c>
      <c r="V433" s="6">
        <f t="shared" si="2270"/>
        <v>-1.0999999999999943</v>
      </c>
      <c r="W433" s="9">
        <f>Tabla1[[#This Row],[Protein]]/Tabla1[[#This Row],[Peso (Kg)]]</f>
        <v>0.26047750865051889</v>
      </c>
      <c r="X433" s="9">
        <f t="shared" si="2110"/>
        <v>0.26070712145799929</v>
      </c>
      <c r="Y433" s="6">
        <f t="shared" si="2271"/>
        <v>39.79529999999999</v>
      </c>
      <c r="Z433" s="6">
        <f t="shared" si="2111"/>
        <v>86.292857142857159</v>
      </c>
      <c r="AA433" s="6">
        <f t="shared" ref="AA433" si="2281">AVERAGE(N427:N433)</f>
        <v>13.083021428571429</v>
      </c>
      <c r="AB433" s="6">
        <f t="shared" ref="AB433" si="2282">AVERAGE(R427:R433)</f>
        <v>22.494578571428569</v>
      </c>
      <c r="AC433" s="6">
        <f t="shared" si="2272"/>
        <v>0.22104862847058815</v>
      </c>
      <c r="AD433" s="42">
        <f>Tabla1[[#This Row],[Avg Agua)]]/Tabla1[[#This Row],[Avg Musculo]]</f>
        <v>2.0945161072144054</v>
      </c>
    </row>
    <row r="434" spans="1:31" x14ac:dyDescent="0.3">
      <c r="A434" t="s">
        <v>120</v>
      </c>
      <c r="B434">
        <v>1</v>
      </c>
      <c r="C434" t="s">
        <v>22</v>
      </c>
      <c r="D434" s="4">
        <v>45659</v>
      </c>
      <c r="E434" s="6">
        <v>86.45</v>
      </c>
      <c r="F434" s="7">
        <f t="shared" ref="F434:F439" si="2283">E434/(1.88^2)</f>
        <v>24.459597102761432</v>
      </c>
      <c r="G434" s="9">
        <v>0.151</v>
      </c>
      <c r="H434" s="6">
        <f t="shared" ref="H434:H439" si="2284">E434-N434</f>
        <v>73.396050000000002</v>
      </c>
      <c r="I434" s="6">
        <f t="shared" ref="I434:I439" si="2285">E434-N434-O434-J434</f>
        <v>22.853699999999996</v>
      </c>
      <c r="J434">
        <v>3.6</v>
      </c>
      <c r="K434" s="5">
        <v>7.0000000000000007E-2</v>
      </c>
      <c r="L434" s="17">
        <v>2115</v>
      </c>
      <c r="M434" s="5">
        <v>0.54300000000000004</v>
      </c>
      <c r="N434" s="6">
        <f t="shared" ref="N434:N439" si="2286">E434*G434</f>
        <v>13.05395</v>
      </c>
      <c r="O434" s="21">
        <f t="shared" ref="O434:O439" si="2287">M434*E434</f>
        <v>46.942350000000005</v>
      </c>
      <c r="P434" s="8">
        <f t="shared" si="2109"/>
        <v>47.139957142857142</v>
      </c>
      <c r="Q434" s="8">
        <f t="shared" ref="Q434:Q439" si="2288">E434-R434</f>
        <v>63.596300000000006</v>
      </c>
      <c r="R434" s="6">
        <f t="shared" ref="R434:R439" si="2289">I434</f>
        <v>22.853699999999996</v>
      </c>
      <c r="S434" s="6">
        <f t="shared" ref="S434:S439" si="2290">K434*E434</f>
        <v>6.0515000000000008</v>
      </c>
      <c r="T434" s="6">
        <f t="shared" ref="T434:T439" si="2291">I434-I433</f>
        <v>0.27030000000000598</v>
      </c>
      <c r="U434" s="6">
        <f t="shared" ref="U434:U439" si="2292">N434-N433</f>
        <v>-0.55794999999999995</v>
      </c>
      <c r="V434" s="6">
        <f t="shared" ref="V434:V439" si="2293">E434-E433</f>
        <v>-0.25</v>
      </c>
      <c r="W434" s="9">
        <f>Tabla1[[#This Row],[Protein]]/Tabla1[[#This Row],[Peso (Kg)]]</f>
        <v>0.26435743204164253</v>
      </c>
      <c r="X434" s="9">
        <f t="shared" si="2110"/>
        <v>0.26113569288657068</v>
      </c>
      <c r="Y434" s="6">
        <f t="shared" ref="Y434:Y439" si="2294">R434+N434+J434</f>
        <v>39.507649999999998</v>
      </c>
      <c r="Z434" s="6">
        <f t="shared" si="2111"/>
        <v>86.292857142857159</v>
      </c>
      <c r="AA434" s="6">
        <f t="shared" ref="AA434" si="2295">AVERAGE(N428:N434)</f>
        <v>13.021271428571428</v>
      </c>
      <c r="AB434" s="6">
        <f t="shared" ref="AB434" si="2296">AVERAGE(R428:R434)</f>
        <v>22.53162857142857</v>
      </c>
      <c r="AC434" s="6">
        <f t="shared" ref="AC434:AC439" si="2297">100*(AB434/AB433-1)</f>
        <v>0.16470635305458892</v>
      </c>
      <c r="AD434" s="42">
        <f>Tabla1[[#This Row],[Avg Agua)]]/Tabla1[[#This Row],[Avg Musculo]]</f>
        <v>2.0921682156004198</v>
      </c>
    </row>
    <row r="435" spans="1:31" x14ac:dyDescent="0.3">
      <c r="A435" t="s">
        <v>120</v>
      </c>
      <c r="B435">
        <v>1</v>
      </c>
      <c r="C435" t="s">
        <v>20</v>
      </c>
      <c r="D435" s="4">
        <v>45660</v>
      </c>
      <c r="E435" s="6">
        <v>86.2</v>
      </c>
      <c r="F435" s="7">
        <f t="shared" si="2283"/>
        <v>24.388863739248531</v>
      </c>
      <c r="G435" s="9">
        <v>0.14699999999999999</v>
      </c>
      <c r="H435" s="6">
        <f t="shared" si="2284"/>
        <v>73.528599999999997</v>
      </c>
      <c r="I435" s="6">
        <f t="shared" si="2285"/>
        <v>23.208199999999991</v>
      </c>
      <c r="J435">
        <v>3.6</v>
      </c>
      <c r="K435" s="5">
        <v>6.5000000000000002E-2</v>
      </c>
      <c r="L435" s="17">
        <v>2116</v>
      </c>
      <c r="M435" s="5">
        <v>0.54200000000000004</v>
      </c>
      <c r="N435" s="6">
        <f t="shared" si="2286"/>
        <v>12.6714</v>
      </c>
      <c r="O435" s="21">
        <f t="shared" si="2287"/>
        <v>46.720400000000005</v>
      </c>
      <c r="P435" s="8">
        <f t="shared" si="2109"/>
        <v>47.073900000000002</v>
      </c>
      <c r="Q435" s="8">
        <f t="shared" si="2288"/>
        <v>62.991800000000012</v>
      </c>
      <c r="R435" s="6">
        <f t="shared" si="2289"/>
        <v>23.208199999999991</v>
      </c>
      <c r="S435" s="6">
        <f t="shared" si="2290"/>
        <v>5.6030000000000006</v>
      </c>
      <c r="T435" s="6">
        <f t="shared" si="2291"/>
        <v>0.35449999999999449</v>
      </c>
      <c r="U435" s="6">
        <f t="shared" si="2292"/>
        <v>-0.38255000000000017</v>
      </c>
      <c r="V435" s="6">
        <f t="shared" si="2293"/>
        <v>-0.25</v>
      </c>
      <c r="W435" s="9">
        <f>Tabla1[[#This Row],[Protein]]/Tabla1[[#This Row],[Peso (Kg)]]</f>
        <v>0.26923665893271448</v>
      </c>
      <c r="X435" s="9">
        <f t="shared" si="2110"/>
        <v>0.26257119368980064</v>
      </c>
      <c r="Y435" s="6">
        <f t="shared" si="2294"/>
        <v>39.479599999999991</v>
      </c>
      <c r="Z435" s="6">
        <f t="shared" si="2111"/>
        <v>86.307142857142864</v>
      </c>
      <c r="AA435" s="6">
        <f t="shared" ref="AA435" si="2298">AVERAGE(N429:N435)</f>
        <v>12.974171428571429</v>
      </c>
      <c r="AB435" s="6">
        <f t="shared" ref="AB435" si="2299">AVERAGE(R429:R435)</f>
        <v>22.659071428571426</v>
      </c>
      <c r="AC435" s="6">
        <f t="shared" si="2297"/>
        <v>0.5656176016697767</v>
      </c>
      <c r="AD435" s="42">
        <f>Tabla1[[#This Row],[Avg Agua)]]/Tabla1[[#This Row],[Avg Musculo]]</f>
        <v>2.0774858382167976</v>
      </c>
    </row>
    <row r="436" spans="1:31" x14ac:dyDescent="0.3">
      <c r="A436" t="s">
        <v>120</v>
      </c>
      <c r="B436">
        <v>1</v>
      </c>
      <c r="C436" t="s">
        <v>121</v>
      </c>
      <c r="D436" s="4">
        <v>45661</v>
      </c>
      <c r="E436" s="6">
        <v>85.8</v>
      </c>
      <c r="F436" s="7">
        <f t="shared" si="2283"/>
        <v>24.275690357627887</v>
      </c>
      <c r="G436" s="9">
        <v>0.14799999999999999</v>
      </c>
      <c r="H436" s="6">
        <f t="shared" si="2284"/>
        <v>73.101599999999991</v>
      </c>
      <c r="I436" s="6">
        <f t="shared" si="2285"/>
        <v>22.99799999999999</v>
      </c>
      <c r="J436">
        <v>3.6</v>
      </c>
      <c r="K436" s="5">
        <v>6.5000000000000002E-2</v>
      </c>
      <c r="L436" s="17">
        <v>2103</v>
      </c>
      <c r="M436" s="5">
        <v>0.54200000000000004</v>
      </c>
      <c r="N436" s="6">
        <f t="shared" si="2286"/>
        <v>12.698399999999999</v>
      </c>
      <c r="O436" s="21">
        <f t="shared" si="2287"/>
        <v>46.503599999999999</v>
      </c>
      <c r="P436" s="8">
        <f t="shared" si="2109"/>
        <v>46.967985714285717</v>
      </c>
      <c r="Q436" s="8">
        <f t="shared" si="2288"/>
        <v>62.802000000000007</v>
      </c>
      <c r="R436" s="6">
        <f t="shared" si="2289"/>
        <v>22.99799999999999</v>
      </c>
      <c r="S436" s="6">
        <f t="shared" si="2290"/>
        <v>5.577</v>
      </c>
      <c r="T436" s="6">
        <f t="shared" si="2291"/>
        <v>-0.21020000000000039</v>
      </c>
      <c r="U436" s="6">
        <f t="shared" si="2292"/>
        <v>2.6999999999999247E-2</v>
      </c>
      <c r="V436" s="6">
        <f t="shared" si="2293"/>
        <v>-0.40000000000000568</v>
      </c>
      <c r="W436" s="9">
        <f>Tabla1[[#This Row],[Protein]]/Tabla1[[#This Row],[Peso (Kg)]]</f>
        <v>0.26804195804195796</v>
      </c>
      <c r="X436" s="9">
        <f t="shared" si="2110"/>
        <v>0.26356421580156553</v>
      </c>
      <c r="Y436" s="6">
        <f t="shared" si="2294"/>
        <v>39.296399999999991</v>
      </c>
      <c r="Z436" s="6">
        <f t="shared" si="2111"/>
        <v>86.29285714285713</v>
      </c>
      <c r="AA436" s="6">
        <f t="shared" ref="AA436" si="2300">AVERAGE(N430:N436)</f>
        <v>12.984328571428572</v>
      </c>
      <c r="AB436" s="6">
        <f t="shared" ref="AB436" si="2301">AVERAGE(R430:R436)</f>
        <v>22.740542857142852</v>
      </c>
      <c r="AC436" s="6">
        <f t="shared" si="2297"/>
        <v>0.35955325366376911</v>
      </c>
      <c r="AD436" s="42">
        <f>Tabla1[[#This Row],[Avg Agua)]]/Tabla1[[#This Row],[Avg Musculo]]</f>
        <v>2.0653854223859467</v>
      </c>
    </row>
    <row r="437" spans="1:31" x14ac:dyDescent="0.3">
      <c r="A437" t="s">
        <v>120</v>
      </c>
      <c r="B437">
        <v>1</v>
      </c>
      <c r="C437" t="s">
        <v>26</v>
      </c>
      <c r="D437" s="4">
        <v>45662</v>
      </c>
      <c r="E437" s="6">
        <v>86.4</v>
      </c>
      <c r="F437" s="7">
        <f t="shared" si="2283"/>
        <v>24.445450430058852</v>
      </c>
      <c r="G437" s="9">
        <v>0.15</v>
      </c>
      <c r="H437" s="6">
        <f t="shared" si="2284"/>
        <v>73.44</v>
      </c>
      <c r="I437" s="6">
        <f t="shared" si="2285"/>
        <v>22.492799999999988</v>
      </c>
      <c r="J437">
        <v>3.6</v>
      </c>
      <c r="K437" s="5">
        <v>7.0000000000000007E-2</v>
      </c>
      <c r="L437" s="17">
        <v>2115</v>
      </c>
      <c r="M437" s="5">
        <v>0.54800000000000004</v>
      </c>
      <c r="N437" s="6">
        <f t="shared" si="2286"/>
        <v>12.96</v>
      </c>
      <c r="O437" s="21">
        <f t="shared" si="2287"/>
        <v>47.347200000000008</v>
      </c>
      <c r="P437" s="8">
        <f t="shared" si="2109"/>
        <v>47.086764285714288</v>
      </c>
      <c r="Q437" s="8">
        <f t="shared" si="2288"/>
        <v>63.907200000000017</v>
      </c>
      <c r="R437" s="6">
        <f t="shared" si="2289"/>
        <v>22.492799999999988</v>
      </c>
      <c r="S437" s="6">
        <f t="shared" si="2290"/>
        <v>6.0480000000000009</v>
      </c>
      <c r="T437" s="6">
        <f t="shared" si="2291"/>
        <v>-0.50520000000000209</v>
      </c>
      <c r="U437" s="6">
        <f t="shared" si="2292"/>
        <v>0.26160000000000139</v>
      </c>
      <c r="V437" s="6">
        <f t="shared" si="2293"/>
        <v>0.60000000000000853</v>
      </c>
      <c r="W437" s="9">
        <f>Tabla1[[#This Row],[Protein]]/Tabla1[[#This Row],[Peso (Kg)]]</f>
        <v>0.26033333333333319</v>
      </c>
      <c r="X437" s="9">
        <f t="shared" si="2110"/>
        <v>0.2627803008296013</v>
      </c>
      <c r="Y437" s="6">
        <f t="shared" si="2294"/>
        <v>39.052799999999991</v>
      </c>
      <c r="Z437" s="6">
        <f t="shared" si="2111"/>
        <v>86.442857142857136</v>
      </c>
      <c r="AA437" s="6">
        <f t="shared" ref="AA437" si="2302">AVERAGE(N431:N437)</f>
        <v>13.043407142857145</v>
      </c>
      <c r="AB437" s="6">
        <f t="shared" ref="AB437" si="2303">AVERAGE(R431:R437)</f>
        <v>22.712685714285708</v>
      </c>
      <c r="AC437" s="6">
        <f t="shared" si="2297"/>
        <v>-0.12249990262829247</v>
      </c>
      <c r="AD437" s="42">
        <f>Tabla1[[#This Row],[Avg Agua)]]/Tabla1[[#This Row],[Avg Musculo]]</f>
        <v>2.0731482343410361</v>
      </c>
      <c r="AE437" t="s">
        <v>128</v>
      </c>
    </row>
    <row r="438" spans="1:31" x14ac:dyDescent="0.3">
      <c r="A438" t="s">
        <v>120</v>
      </c>
      <c r="B438">
        <v>2</v>
      </c>
      <c r="C438" t="s">
        <v>23</v>
      </c>
      <c r="D438" s="4">
        <v>45664</v>
      </c>
      <c r="E438" s="6">
        <v>86.55</v>
      </c>
      <c r="F438" s="7">
        <f t="shared" si="2283"/>
        <v>24.487890448166592</v>
      </c>
      <c r="G438" s="9">
        <v>0.14899999999999999</v>
      </c>
      <c r="H438" s="6">
        <f t="shared" si="2284"/>
        <v>73.654049999999998</v>
      </c>
      <c r="I438" s="6">
        <f t="shared" si="2285"/>
        <v>22.538099999999993</v>
      </c>
      <c r="J438">
        <v>3.6</v>
      </c>
      <c r="K438" s="5">
        <v>7.0000000000000007E-2</v>
      </c>
      <c r="L438" s="17">
        <v>2122</v>
      </c>
      <c r="M438" s="5">
        <v>0.54900000000000004</v>
      </c>
      <c r="N438" s="6">
        <f t="shared" si="2286"/>
        <v>12.895949999999999</v>
      </c>
      <c r="O438" s="21">
        <f t="shared" si="2287"/>
        <v>47.515950000000004</v>
      </c>
      <c r="P438" s="8">
        <f t="shared" si="2109"/>
        <v>47.137257142857152</v>
      </c>
      <c r="Q438" s="8">
        <f t="shared" si="2288"/>
        <v>64.011899999999997</v>
      </c>
      <c r="R438" s="6">
        <f t="shared" si="2289"/>
        <v>22.538099999999993</v>
      </c>
      <c r="S438" s="6">
        <f t="shared" si="2290"/>
        <v>6.0585000000000004</v>
      </c>
      <c r="T438" s="6">
        <f t="shared" si="2291"/>
        <v>4.5300000000004559E-2</v>
      </c>
      <c r="U438" s="6">
        <f t="shared" si="2292"/>
        <v>-6.4050000000001717E-2</v>
      </c>
      <c r="V438" s="6">
        <f t="shared" si="2293"/>
        <v>0.14999999999999147</v>
      </c>
      <c r="W438" s="9">
        <f>Tabla1[[#This Row],[Protein]]/Tabla1[[#This Row],[Peso (Kg)]]</f>
        <v>0.26040554592720966</v>
      </c>
      <c r="X438" s="9">
        <f t="shared" si="2110"/>
        <v>0.2622643084318641</v>
      </c>
      <c r="Y438" s="6">
        <f t="shared" si="2294"/>
        <v>39.034049999999993</v>
      </c>
      <c r="Z438" s="6">
        <f t="shared" si="2111"/>
        <v>86.55714285714285</v>
      </c>
      <c r="AA438" s="6">
        <f t="shared" ref="AA438" si="2304">AVERAGE(N432:N438)</f>
        <v>13.121685714285714</v>
      </c>
      <c r="AB438" s="6">
        <f t="shared" ref="AB438" si="2305">AVERAGE(R432:R438)</f>
        <v>22.698199999999993</v>
      </c>
      <c r="AC438" s="6">
        <f t="shared" si="2297"/>
        <v>-6.3778077449483384E-2</v>
      </c>
      <c r="AD438" s="42">
        <f>Tabla1[[#This Row],[Avg Agua)]]/Tabla1[[#This Row],[Avg Musculo]]</f>
        <v>2.0766958235832429</v>
      </c>
      <c r="AE438" t="s">
        <v>129</v>
      </c>
    </row>
    <row r="439" spans="1:31" x14ac:dyDescent="0.3">
      <c r="A439" t="s">
        <v>120</v>
      </c>
      <c r="B439">
        <v>2</v>
      </c>
      <c r="C439" t="s">
        <v>24</v>
      </c>
      <c r="D439" s="4">
        <v>45665</v>
      </c>
      <c r="E439" s="6">
        <v>86.45</v>
      </c>
      <c r="F439" s="7">
        <f t="shared" si="2283"/>
        <v>24.459597102761432</v>
      </c>
      <c r="G439" s="9">
        <v>0.14899999999999999</v>
      </c>
      <c r="H439" s="6">
        <f t="shared" si="2284"/>
        <v>73.568950000000001</v>
      </c>
      <c r="I439" s="6">
        <f t="shared" si="2285"/>
        <v>22.853699999999996</v>
      </c>
      <c r="J439">
        <v>3.6</v>
      </c>
      <c r="K439" s="5">
        <v>7.0000000000000007E-2</v>
      </c>
      <c r="L439" s="17">
        <v>2119</v>
      </c>
      <c r="M439" s="5">
        <v>0.54500000000000004</v>
      </c>
      <c r="N439" s="6">
        <f t="shared" si="2286"/>
        <v>12.88105</v>
      </c>
      <c r="O439" s="21">
        <f t="shared" si="2287"/>
        <v>47.115250000000003</v>
      </c>
      <c r="P439" s="8">
        <f t="shared" si="2109"/>
        <v>47.007064285714293</v>
      </c>
      <c r="Q439" s="8">
        <f t="shared" si="2288"/>
        <v>63.596300000000006</v>
      </c>
      <c r="R439" s="6">
        <f t="shared" si="2289"/>
        <v>22.853699999999996</v>
      </c>
      <c r="S439" s="6">
        <f t="shared" si="2290"/>
        <v>6.0515000000000008</v>
      </c>
      <c r="T439" s="6">
        <f t="shared" si="2291"/>
        <v>0.31560000000000343</v>
      </c>
      <c r="U439" s="6">
        <f t="shared" si="2292"/>
        <v>-1.4899999999999025E-2</v>
      </c>
      <c r="V439" s="6">
        <f t="shared" si="2293"/>
        <v>-9.9999999999994316E-2</v>
      </c>
      <c r="W439" s="9">
        <f>Tabla1[[#This Row],[Protein]]/Tabla1[[#This Row],[Peso (Kg)]]</f>
        <v>0.26435743204164253</v>
      </c>
      <c r="X439" s="9">
        <f t="shared" si="2110"/>
        <v>0.26388712413843135</v>
      </c>
      <c r="Y439" s="6">
        <f t="shared" si="2294"/>
        <v>39.33475</v>
      </c>
      <c r="Z439" s="6">
        <f t="shared" si="2111"/>
        <v>86.364285714285728</v>
      </c>
      <c r="AA439" s="6">
        <f t="shared" ref="AA439" si="2306">AVERAGE(N433:N439)</f>
        <v>12.967521428571429</v>
      </c>
      <c r="AB439" s="6">
        <f t="shared" ref="AB439" si="2307">AVERAGE(R433:R439)</f>
        <v>22.789699999999993</v>
      </c>
      <c r="AC439" s="6">
        <f t="shared" si="2297"/>
        <v>0.40311566555937262</v>
      </c>
      <c r="AD439" s="42">
        <f>Tabla1[[#This Row],[Avg Agua)]]/Tabla1[[#This Row],[Avg Musculo]]</f>
        <v>2.0626451548600597</v>
      </c>
    </row>
    <row r="440" spans="1:31" x14ac:dyDescent="0.3">
      <c r="A440" t="s">
        <v>120</v>
      </c>
      <c r="B440">
        <v>2</v>
      </c>
      <c r="C440" t="s">
        <v>22</v>
      </c>
      <c r="D440" s="4">
        <v>45666</v>
      </c>
      <c r="E440" s="6">
        <v>85.9</v>
      </c>
      <c r="F440" s="7">
        <f t="shared" ref="F440:F445" si="2308">E440/(1.88^2)</f>
        <v>24.303983703033051</v>
      </c>
      <c r="G440" s="9">
        <v>0.14499999999999999</v>
      </c>
      <c r="H440" s="6">
        <f t="shared" ref="H440:H445" si="2309">E440-N440</f>
        <v>73.444500000000005</v>
      </c>
      <c r="I440" s="6">
        <f t="shared" ref="I440:I445" si="2310">E440-N440-O440-J440</f>
        <v>23.286699999999996</v>
      </c>
      <c r="J440">
        <v>3.6</v>
      </c>
      <c r="K440" s="5">
        <v>6.5000000000000002E-2</v>
      </c>
      <c r="L440" s="17">
        <v>2113</v>
      </c>
      <c r="M440" s="5">
        <v>0.54200000000000004</v>
      </c>
      <c r="N440" s="6">
        <f t="shared" ref="N440:N445" si="2311">E440*G440</f>
        <v>12.455500000000001</v>
      </c>
      <c r="O440" s="21">
        <f t="shared" ref="O440:O445" si="2312">M440*E440</f>
        <v>46.557800000000007</v>
      </c>
      <c r="P440" s="8">
        <f t="shared" si="2109"/>
        <v>46.957507142857146</v>
      </c>
      <c r="Q440" s="8">
        <f t="shared" ref="Q440:Q445" si="2313">E440-R440</f>
        <v>62.61330000000001</v>
      </c>
      <c r="R440" s="6">
        <f t="shared" ref="R440:R445" si="2314">I440</f>
        <v>23.286699999999996</v>
      </c>
      <c r="S440" s="6">
        <f t="shared" ref="S440:S445" si="2315">K440*E440</f>
        <v>5.5835000000000008</v>
      </c>
      <c r="T440" s="6">
        <f t="shared" ref="T440:T445" si="2316">I440-I439</f>
        <v>0.43299999999999983</v>
      </c>
      <c r="U440" s="6">
        <f t="shared" ref="U440:U445" si="2317">N440-N439</f>
        <v>-0.42554999999999943</v>
      </c>
      <c r="V440" s="6">
        <f t="shared" ref="V440:V445" si="2318">E440-E439</f>
        <v>-0.54999999999999716</v>
      </c>
      <c r="W440" s="9">
        <f>Tabla1[[#This Row],[Protein]]/Tabla1[[#This Row],[Peso (Kg)]]</f>
        <v>0.27109080325960411</v>
      </c>
      <c r="X440" s="9">
        <f t="shared" si="2110"/>
        <v>0.26540330908258636</v>
      </c>
      <c r="Y440" s="6">
        <f t="shared" ref="Y440:Y445" si="2319">R440+N440+J440</f>
        <v>39.342199999999998</v>
      </c>
      <c r="Z440" s="6">
        <f t="shared" si="2111"/>
        <v>86.25</v>
      </c>
      <c r="AA440" s="6">
        <f t="shared" ref="AA440" si="2320">AVERAGE(N434:N440)</f>
        <v>12.802321428571428</v>
      </c>
      <c r="AB440" s="6">
        <f t="shared" ref="AB440" si="2321">AVERAGE(R434:R440)</f>
        <v>22.890171428571421</v>
      </c>
      <c r="AC440" s="6">
        <f t="shared" ref="AC440:AC445" si="2322">100*(AB440/AB439-1)</f>
        <v>0.44086332234047898</v>
      </c>
      <c r="AD440" s="42">
        <f>Tabla1[[#This Row],[Avg Agua)]]/Tabla1[[#This Row],[Avg Musculo]]</f>
        <v>2.0514266260253944</v>
      </c>
    </row>
    <row r="441" spans="1:31" x14ac:dyDescent="0.3">
      <c r="A441" t="s">
        <v>120</v>
      </c>
      <c r="B441">
        <v>2</v>
      </c>
      <c r="C441" t="s">
        <v>20</v>
      </c>
      <c r="D441" s="4">
        <v>45667</v>
      </c>
      <c r="E441" s="6">
        <v>86.3</v>
      </c>
      <c r="F441" s="7">
        <f t="shared" si="2308"/>
        <v>24.417157084653692</v>
      </c>
      <c r="G441" s="9">
        <v>0.14799999999999999</v>
      </c>
      <c r="H441" s="6">
        <f t="shared" si="2309"/>
        <v>73.527599999999993</v>
      </c>
      <c r="I441" s="6">
        <f t="shared" si="2310"/>
        <v>22.807799999999986</v>
      </c>
      <c r="J441">
        <v>3.6</v>
      </c>
      <c r="K441" s="5">
        <v>6.5000000000000002E-2</v>
      </c>
      <c r="L441" s="17">
        <v>2118</v>
      </c>
      <c r="M441" s="5">
        <v>0.54600000000000004</v>
      </c>
      <c r="N441" s="6">
        <f t="shared" si="2311"/>
        <v>12.772399999999999</v>
      </c>
      <c r="O441" s="21">
        <f t="shared" si="2312"/>
        <v>47.119800000000005</v>
      </c>
      <c r="P441" s="8">
        <f t="shared" si="2109"/>
        <v>46.982857142857142</v>
      </c>
      <c r="Q441" s="8">
        <f t="shared" si="2313"/>
        <v>63.492200000000011</v>
      </c>
      <c r="R441" s="6">
        <f t="shared" si="2314"/>
        <v>22.807799999999986</v>
      </c>
      <c r="S441" s="6">
        <f t="shared" si="2315"/>
        <v>5.6094999999999997</v>
      </c>
      <c r="T441" s="6">
        <f t="shared" si="2316"/>
        <v>-0.4789000000000101</v>
      </c>
      <c r="U441" s="6">
        <f t="shared" si="2317"/>
        <v>0.31689999999999863</v>
      </c>
      <c r="V441" s="6">
        <f t="shared" si="2318"/>
        <v>0.39999999999999147</v>
      </c>
      <c r="W441" s="9">
        <f>Tabla1[[#This Row],[Protein]]/Tabla1[[#This Row],[Peso (Kg)]]</f>
        <v>0.2642850521436847</v>
      </c>
      <c r="X441" s="9">
        <f t="shared" si="2110"/>
        <v>0.26539296909716376</v>
      </c>
      <c r="Y441" s="6">
        <f t="shared" si="2319"/>
        <v>39.180199999999985</v>
      </c>
      <c r="Z441" s="6">
        <f t="shared" si="2111"/>
        <v>86.228571428571414</v>
      </c>
      <c r="AA441" s="6">
        <f t="shared" ref="AA441" si="2323">AVERAGE(N435:N441)</f>
        <v>12.7621</v>
      </c>
      <c r="AB441" s="6">
        <f t="shared" ref="AB441" si="2324">AVERAGE(R435:R441)</f>
        <v>22.88361428571428</v>
      </c>
      <c r="AC441" s="6">
        <f t="shared" si="2322"/>
        <v>-2.8646106376273295E-2</v>
      </c>
      <c r="AD441" s="42">
        <f>Tabla1[[#This Row],[Avg Agua)]]/Tabla1[[#This Row],[Avg Musculo]]</f>
        <v>2.0531222278199066</v>
      </c>
    </row>
    <row r="442" spans="1:31" x14ac:dyDescent="0.3">
      <c r="A442" t="s">
        <v>120</v>
      </c>
      <c r="B442">
        <v>2</v>
      </c>
      <c r="C442" t="s">
        <v>121</v>
      </c>
      <c r="D442" s="4">
        <v>45668</v>
      </c>
      <c r="E442" s="6">
        <v>85.9</v>
      </c>
      <c r="F442" s="7">
        <f t="shared" si="2308"/>
        <v>24.303983703033051</v>
      </c>
      <c r="G442" s="9">
        <v>0.14799999999999999</v>
      </c>
      <c r="H442" s="6">
        <f t="shared" si="2309"/>
        <v>73.186800000000005</v>
      </c>
      <c r="I442" s="6">
        <f t="shared" si="2310"/>
        <v>22.771299999999997</v>
      </c>
      <c r="J442">
        <v>3.6</v>
      </c>
      <c r="K442" s="5">
        <v>6.5000000000000002E-2</v>
      </c>
      <c r="L442" s="17">
        <v>2104</v>
      </c>
      <c r="M442" s="5">
        <v>0.54500000000000004</v>
      </c>
      <c r="N442" s="6">
        <f t="shared" si="2311"/>
        <v>12.713200000000001</v>
      </c>
      <c r="O442" s="21">
        <f t="shared" si="2312"/>
        <v>46.815500000000007</v>
      </c>
      <c r="P442" s="8">
        <f t="shared" si="2109"/>
        <v>46.996442857142867</v>
      </c>
      <c r="Q442" s="8">
        <f t="shared" si="2313"/>
        <v>63.128700000000009</v>
      </c>
      <c r="R442" s="6">
        <f t="shared" si="2314"/>
        <v>22.771299999999997</v>
      </c>
      <c r="S442" s="6">
        <f t="shared" si="2315"/>
        <v>5.5835000000000008</v>
      </c>
      <c r="T442" s="6">
        <f t="shared" si="2316"/>
        <v>-3.6499999999989541E-2</v>
      </c>
      <c r="U442" s="6">
        <f t="shared" si="2317"/>
        <v>-5.9199999999998809E-2</v>
      </c>
      <c r="V442" s="6">
        <f t="shared" si="2318"/>
        <v>-0.39999999999999147</v>
      </c>
      <c r="W442" s="9">
        <f>Tabla1[[#This Row],[Protein]]/Tabla1[[#This Row],[Peso (Kg)]]</f>
        <v>0.26509080325960416</v>
      </c>
      <c r="X442" s="9">
        <f t="shared" si="2110"/>
        <v>0.26480070400100514</v>
      </c>
      <c r="Y442" s="6">
        <f t="shared" si="2319"/>
        <v>39.084499999999998</v>
      </c>
      <c r="Z442" s="6">
        <f t="shared" si="2111"/>
        <v>86.185714285714283</v>
      </c>
      <c r="AA442" s="6">
        <f t="shared" ref="AA442" si="2325">AVERAGE(N436:N442)</f>
        <v>12.76807142857143</v>
      </c>
      <c r="AB442" s="6">
        <f t="shared" ref="AB442" si="2326">AVERAGE(R436:R442)</f>
        <v>22.821199999999994</v>
      </c>
      <c r="AC442" s="6">
        <f t="shared" si="2322"/>
        <v>-0.27274662531455718</v>
      </c>
      <c r="AD442" s="42">
        <f>Tabla1[[#This Row],[Avg Agua)]]/Tabla1[[#This Row],[Avg Musculo]]</f>
        <v>2.0593326756324331</v>
      </c>
    </row>
    <row r="443" spans="1:31" x14ac:dyDescent="0.3">
      <c r="A443" t="s">
        <v>120</v>
      </c>
      <c r="B443">
        <v>2</v>
      </c>
      <c r="C443" t="s">
        <v>26</v>
      </c>
      <c r="D443" s="4">
        <v>45669</v>
      </c>
      <c r="E443" s="6">
        <v>86.1</v>
      </c>
      <c r="F443" s="7">
        <f t="shared" si="2308"/>
        <v>24.360570393843368</v>
      </c>
      <c r="G443" s="9">
        <v>0.14599999999999999</v>
      </c>
      <c r="H443" s="6">
        <f t="shared" si="2309"/>
        <v>73.529399999999995</v>
      </c>
      <c r="I443" s="6">
        <f t="shared" si="2310"/>
        <v>23.090999999999994</v>
      </c>
      <c r="J443">
        <v>3.6</v>
      </c>
      <c r="K443" s="5">
        <v>6.5000000000000002E-2</v>
      </c>
      <c r="L443" s="17">
        <v>2117</v>
      </c>
      <c r="M443" s="5">
        <v>0.54400000000000004</v>
      </c>
      <c r="N443" s="6">
        <f t="shared" si="2311"/>
        <v>12.570599999999999</v>
      </c>
      <c r="O443" s="21">
        <f t="shared" si="2312"/>
        <v>46.8384</v>
      </c>
      <c r="P443" s="8">
        <f t="shared" si="2109"/>
        <v>47.044271428571435</v>
      </c>
      <c r="Q443" s="8">
        <f t="shared" si="2313"/>
        <v>63.009</v>
      </c>
      <c r="R443" s="6">
        <f t="shared" si="2314"/>
        <v>23.090999999999994</v>
      </c>
      <c r="S443" s="6">
        <f t="shared" si="2315"/>
        <v>5.5964999999999998</v>
      </c>
      <c r="T443" s="6">
        <f t="shared" si="2316"/>
        <v>0.31969999999999743</v>
      </c>
      <c r="U443" s="6">
        <f t="shared" si="2317"/>
        <v>-0.14260000000000161</v>
      </c>
      <c r="V443" s="6">
        <f t="shared" si="2318"/>
        <v>0.19999999999998863</v>
      </c>
      <c r="W443" s="9">
        <f>Tabla1[[#This Row],[Protein]]/Tabla1[[#This Row],[Peso (Kg)]]</f>
        <v>0.26818815331010448</v>
      </c>
      <c r="X443" s="9">
        <f t="shared" si="2110"/>
        <v>0.2648215890393118</v>
      </c>
      <c r="Y443" s="6">
        <f t="shared" si="2319"/>
        <v>39.261599999999994</v>
      </c>
      <c r="Z443" s="6">
        <f t="shared" si="2111"/>
        <v>86.228571428571428</v>
      </c>
      <c r="AA443" s="6">
        <f t="shared" ref="AA443" si="2327">AVERAGE(N437:N443)</f>
        <v>12.749814285714285</v>
      </c>
      <c r="AB443" s="6">
        <f t="shared" ref="AB443" si="2328">AVERAGE(R437:R443)</f>
        <v>22.834485714285709</v>
      </c>
      <c r="AC443" s="6">
        <f t="shared" si="2322"/>
        <v>5.8216545517830731E-2</v>
      </c>
      <c r="AD443" s="42">
        <f>Tabla1[[#This Row],[Avg Agua)]]/Tabla1[[#This Row],[Avg Musculo]]</f>
        <v>2.0602290770726492</v>
      </c>
    </row>
    <row r="444" spans="1:31" x14ac:dyDescent="0.3">
      <c r="A444" t="s">
        <v>120</v>
      </c>
      <c r="B444">
        <v>3</v>
      </c>
      <c r="C444" t="s">
        <v>21</v>
      </c>
      <c r="D444" s="4">
        <v>45670</v>
      </c>
      <c r="E444" s="6">
        <v>86.2</v>
      </c>
      <c r="F444" s="7">
        <f t="shared" si="2308"/>
        <v>24.388863739248531</v>
      </c>
      <c r="G444" s="9">
        <v>0.14499999999999999</v>
      </c>
      <c r="H444" s="6">
        <f t="shared" si="2309"/>
        <v>73.701000000000008</v>
      </c>
      <c r="I444" s="6">
        <f t="shared" si="2310"/>
        <v>22.949600000000004</v>
      </c>
      <c r="J444">
        <v>3.6</v>
      </c>
      <c r="K444" s="5">
        <v>6.5000000000000002E-2</v>
      </c>
      <c r="L444" s="17">
        <v>2120</v>
      </c>
      <c r="M444" s="5">
        <v>0.54700000000000004</v>
      </c>
      <c r="N444" s="6">
        <f t="shared" si="2311"/>
        <v>12.498999999999999</v>
      </c>
      <c r="O444" s="21">
        <f t="shared" si="2312"/>
        <v>47.151400000000002</v>
      </c>
      <c r="P444" s="8">
        <f t="shared" si="2109"/>
        <v>47.016300000000008</v>
      </c>
      <c r="Q444" s="8">
        <f t="shared" si="2313"/>
        <v>63.250399999999999</v>
      </c>
      <c r="R444" s="6">
        <f t="shared" si="2314"/>
        <v>22.949600000000004</v>
      </c>
      <c r="S444" s="6">
        <f t="shared" si="2315"/>
        <v>5.6030000000000006</v>
      </c>
      <c r="T444" s="6">
        <f t="shared" si="2316"/>
        <v>-0.1413999999999902</v>
      </c>
      <c r="U444" s="6">
        <f t="shared" si="2317"/>
        <v>-7.1600000000000108E-2</v>
      </c>
      <c r="V444" s="6">
        <f t="shared" si="2318"/>
        <v>0.10000000000000853</v>
      </c>
      <c r="W444" s="9">
        <f>Tabla1[[#This Row],[Protein]]/Tabla1[[#This Row],[Peso (Kg)]]</f>
        <v>0.26623665893271464</v>
      </c>
      <c r="X444" s="9">
        <f t="shared" si="2110"/>
        <v>0.2656649212677949</v>
      </c>
      <c r="Y444" s="6">
        <f t="shared" si="2319"/>
        <v>39.0486</v>
      </c>
      <c r="Z444" s="6">
        <f t="shared" si="2111"/>
        <v>86.200000000000017</v>
      </c>
      <c r="AA444" s="6">
        <f t="shared" ref="AA444" si="2329">AVERAGE(N438:N444)</f>
        <v>12.683957142857142</v>
      </c>
      <c r="AB444" s="6">
        <f t="shared" ref="AB444" si="2330">AVERAGE(R438:R444)</f>
        <v>22.899742857142854</v>
      </c>
      <c r="AC444" s="6">
        <f t="shared" si="2322"/>
        <v>0.28578328267896413</v>
      </c>
      <c r="AD444" s="42">
        <f>Tabla1[[#This Row],[Avg Agua)]]/Tabla1[[#This Row],[Avg Musculo]]</f>
        <v>2.0531365916772621</v>
      </c>
    </row>
    <row r="445" spans="1:31" x14ac:dyDescent="0.3">
      <c r="A445" t="s">
        <v>120</v>
      </c>
      <c r="B445">
        <v>3</v>
      </c>
      <c r="C445" t="s">
        <v>23</v>
      </c>
      <c r="D445" s="4">
        <v>45671</v>
      </c>
      <c r="E445" s="6">
        <v>86.15</v>
      </c>
      <c r="F445" s="7">
        <f t="shared" si="2308"/>
        <v>24.374717066545951</v>
      </c>
      <c r="G445" s="9">
        <v>0.14699999999999999</v>
      </c>
      <c r="H445" s="6">
        <f t="shared" si="2309"/>
        <v>73.485950000000003</v>
      </c>
      <c r="I445" s="6">
        <f t="shared" si="2310"/>
        <v>22.761899999999997</v>
      </c>
      <c r="J445">
        <v>3.6</v>
      </c>
      <c r="K445" s="5">
        <v>6.5000000000000002E-2</v>
      </c>
      <c r="L445" s="17">
        <v>2114</v>
      </c>
      <c r="M445" s="5">
        <v>0.54700000000000004</v>
      </c>
      <c r="N445" s="6">
        <f t="shared" si="2311"/>
        <v>12.66405</v>
      </c>
      <c r="O445" s="21">
        <f t="shared" si="2312"/>
        <v>47.124050000000004</v>
      </c>
      <c r="P445" s="8">
        <f t="shared" si="2109"/>
        <v>46.96031428571429</v>
      </c>
      <c r="Q445" s="8">
        <f t="shared" si="2313"/>
        <v>63.388100000000009</v>
      </c>
      <c r="R445" s="6">
        <f t="shared" si="2314"/>
        <v>22.761899999999997</v>
      </c>
      <c r="S445" s="6">
        <f t="shared" si="2315"/>
        <v>5.5997500000000002</v>
      </c>
      <c r="T445" s="6">
        <f t="shared" si="2316"/>
        <v>-0.18770000000000664</v>
      </c>
      <c r="U445" s="6">
        <f t="shared" si="2317"/>
        <v>0.16505000000000081</v>
      </c>
      <c r="V445" s="6">
        <f t="shared" si="2318"/>
        <v>-4.9999999999997158E-2</v>
      </c>
      <c r="W445" s="9">
        <f>Tabla1[[#This Row],[Protein]]/Tabla1[[#This Row],[Peso (Kg)]]</f>
        <v>0.26421242019733021</v>
      </c>
      <c r="X445" s="9">
        <f t="shared" si="2110"/>
        <v>0.26620876044924063</v>
      </c>
      <c r="Y445" s="6">
        <f t="shared" si="2319"/>
        <v>39.025950000000002</v>
      </c>
      <c r="Z445" s="6">
        <f t="shared" si="2111"/>
        <v>86.142857142857153</v>
      </c>
      <c r="AA445" s="6">
        <f t="shared" ref="AA445" si="2331">AVERAGE(N439:N445)</f>
        <v>12.650828571428573</v>
      </c>
      <c r="AB445" s="6">
        <f t="shared" ref="AB445" si="2332">AVERAGE(R439:R445)</f>
        <v>22.931714285714282</v>
      </c>
      <c r="AC445" s="6">
        <f t="shared" si="2322"/>
        <v>0.13961479292967649</v>
      </c>
      <c r="AD445" s="42">
        <f>Tabla1[[#This Row],[Avg Agua)]]/Tabla1[[#This Row],[Avg Musculo]]</f>
        <v>2.0478326958298556</v>
      </c>
    </row>
    <row r="446" spans="1:31" x14ac:dyDescent="0.3">
      <c r="A446" t="s">
        <v>120</v>
      </c>
      <c r="B446">
        <v>3</v>
      </c>
      <c r="C446" t="s">
        <v>24</v>
      </c>
      <c r="D446" s="4">
        <v>45672</v>
      </c>
      <c r="E446" s="6">
        <v>85.65</v>
      </c>
      <c r="F446" s="7">
        <f t="shared" ref="F446:F451" si="2333">E446/(1.88^2)</f>
        <v>24.233250339520147</v>
      </c>
      <c r="G446" s="9">
        <v>0.14299999999999999</v>
      </c>
      <c r="H446" s="6">
        <f t="shared" ref="H446:H451" si="2334">E446-N446</f>
        <v>73.402050000000003</v>
      </c>
      <c r="I446" s="6">
        <f t="shared" ref="I446:I451" si="2335">E446-N446-O446-J446</f>
        <v>23.208449999999992</v>
      </c>
      <c r="J446">
        <v>3.6</v>
      </c>
      <c r="K446" s="5">
        <v>6.5000000000000002E-2</v>
      </c>
      <c r="L446" s="17">
        <v>2110</v>
      </c>
      <c r="M446" s="5">
        <v>0.54400000000000004</v>
      </c>
      <c r="N446" s="6">
        <f t="shared" ref="N446:N451" si="2336">E446*G446</f>
        <v>12.247949999999999</v>
      </c>
      <c r="O446" s="21">
        <f t="shared" ref="O446:O451" si="2337">M446*E446</f>
        <v>46.593600000000009</v>
      </c>
      <c r="P446" s="8">
        <f t="shared" si="2109"/>
        <v>46.88579285714286</v>
      </c>
      <c r="Q446" s="8">
        <f t="shared" ref="Q446:Q451" si="2338">E446-R446</f>
        <v>62.441550000000014</v>
      </c>
      <c r="R446" s="6">
        <f t="shared" ref="R446:R451" si="2339">I446</f>
        <v>23.208449999999992</v>
      </c>
      <c r="S446" s="6">
        <f t="shared" ref="S446:S451" si="2340">K446*E446</f>
        <v>5.5672500000000005</v>
      </c>
      <c r="T446" s="6">
        <f t="shared" ref="T446:T451" si="2341">I446-I445</f>
        <v>0.4465499999999949</v>
      </c>
      <c r="U446" s="6">
        <f t="shared" ref="U446:U451" si="2342">N446-N445</f>
        <v>-0.41610000000000014</v>
      </c>
      <c r="V446" s="6">
        <f t="shared" ref="V446:V451" si="2343">E446-E445</f>
        <v>-0.5</v>
      </c>
      <c r="W446" s="9">
        <f>Tabla1[[#This Row],[Protein]]/Tabla1[[#This Row],[Peso (Kg)]]</f>
        <v>0.27096847635726784</v>
      </c>
      <c r="X446" s="9">
        <f t="shared" si="2110"/>
        <v>0.26715319535147286</v>
      </c>
      <c r="Y446" s="6">
        <f t="shared" ref="Y446:Y451" si="2344">R446+N446+J446</f>
        <v>39.056399999999989</v>
      </c>
      <c r="Z446" s="6">
        <f t="shared" si="2111"/>
        <v>86.028571428571439</v>
      </c>
      <c r="AA446" s="6">
        <f t="shared" ref="AA446" si="2345">AVERAGE(N440:N446)</f>
        <v>12.560385714285715</v>
      </c>
      <c r="AB446" s="6">
        <f t="shared" ref="AB446" si="2346">AVERAGE(R440:R446)</f>
        <v>22.982392857142855</v>
      </c>
      <c r="AC446" s="6">
        <f t="shared" ref="AC446:AC451" si="2347">100*(AB446/AB445-1)</f>
        <v>0.22099774485742074</v>
      </c>
      <c r="AD446" s="42">
        <f>Tabla1[[#This Row],[Avg Agua)]]/Tabla1[[#This Row],[Avg Musculo]]</f>
        <v>2.0400744669444157</v>
      </c>
    </row>
    <row r="447" spans="1:31" x14ac:dyDescent="0.3">
      <c r="A447" t="s">
        <v>120</v>
      </c>
      <c r="B447">
        <v>3</v>
      </c>
      <c r="C447" t="s">
        <v>22</v>
      </c>
      <c r="D447" s="4">
        <v>45673</v>
      </c>
      <c r="E447" s="6">
        <v>85.35</v>
      </c>
      <c r="F447" s="7">
        <f t="shared" si="2333"/>
        <v>24.148370303304663</v>
      </c>
      <c r="G447" s="9">
        <v>0.14599999999999999</v>
      </c>
      <c r="H447" s="6">
        <f t="shared" si="2334"/>
        <v>72.888899999999992</v>
      </c>
      <c r="I447" s="6">
        <f t="shared" si="2335"/>
        <v>22.687799999999989</v>
      </c>
      <c r="J447">
        <v>3.6</v>
      </c>
      <c r="K447" s="5">
        <v>6.5000000000000002E-2</v>
      </c>
      <c r="L447" s="17">
        <v>2096</v>
      </c>
      <c r="M447" s="5">
        <v>0.54600000000000004</v>
      </c>
      <c r="N447" s="6">
        <f t="shared" si="2336"/>
        <v>12.461099999999998</v>
      </c>
      <c r="O447" s="21">
        <f t="shared" si="2337"/>
        <v>46.601100000000002</v>
      </c>
      <c r="P447" s="8">
        <f t="shared" si="2109"/>
        <v>46.891978571428581</v>
      </c>
      <c r="Q447" s="8">
        <f t="shared" si="2338"/>
        <v>62.662200000000006</v>
      </c>
      <c r="R447" s="6">
        <f t="shared" si="2339"/>
        <v>22.687799999999989</v>
      </c>
      <c r="S447" s="6">
        <f t="shared" si="2340"/>
        <v>5.5477499999999997</v>
      </c>
      <c r="T447" s="6">
        <f t="shared" si="2341"/>
        <v>-0.52065000000000339</v>
      </c>
      <c r="U447" s="6">
        <f t="shared" si="2342"/>
        <v>0.21314999999999884</v>
      </c>
      <c r="V447" s="6">
        <f t="shared" si="2343"/>
        <v>-0.30000000000001137</v>
      </c>
      <c r="W447" s="9">
        <f>Tabla1[[#This Row],[Protein]]/Tabla1[[#This Row],[Peso (Kg)]]</f>
        <v>0.26582073813708251</v>
      </c>
      <c r="X447" s="9">
        <f t="shared" si="2110"/>
        <v>0.26640032890539833</v>
      </c>
      <c r="Y447" s="6">
        <f t="shared" si="2344"/>
        <v>38.748899999999985</v>
      </c>
      <c r="Z447" s="6">
        <f t="shared" si="2111"/>
        <v>85.95</v>
      </c>
      <c r="AA447" s="6">
        <f t="shared" ref="AA447" si="2348">AVERAGE(N441:N447)</f>
        <v>12.561185714285715</v>
      </c>
      <c r="AB447" s="6">
        <f t="shared" ref="AB447" si="2349">AVERAGE(R441:R447)</f>
        <v>22.896835714285707</v>
      </c>
      <c r="AC447" s="6">
        <f t="shared" si="2347"/>
        <v>-0.37227256269164455</v>
      </c>
      <c r="AD447" s="42">
        <f>Tabla1[[#This Row],[Avg Agua)]]/Tabla1[[#This Row],[Avg Musculo]]</f>
        <v>2.0479676386974255</v>
      </c>
    </row>
    <row r="448" spans="1:31" x14ac:dyDescent="0.3">
      <c r="A448" t="s">
        <v>120</v>
      </c>
      <c r="B448">
        <v>3</v>
      </c>
      <c r="C448" t="s">
        <v>20</v>
      </c>
      <c r="D448" s="4">
        <v>45674</v>
      </c>
      <c r="E448" s="6">
        <v>85.1</v>
      </c>
      <c r="F448" s="7">
        <f t="shared" si="2333"/>
        <v>24.077636939791763</v>
      </c>
      <c r="G448" s="9">
        <v>0.13900000000000001</v>
      </c>
      <c r="H448" s="6">
        <f t="shared" si="2334"/>
        <v>73.27109999999999</v>
      </c>
      <c r="I448" s="6">
        <f t="shared" si="2335"/>
        <v>23.291599999999988</v>
      </c>
      <c r="J448">
        <v>3.6</v>
      </c>
      <c r="K448" s="5">
        <v>6.5000000000000002E-2</v>
      </c>
      <c r="L448" s="17">
        <v>2104</v>
      </c>
      <c r="M448" s="5">
        <v>0.54500000000000004</v>
      </c>
      <c r="N448" s="6">
        <f t="shared" si="2336"/>
        <v>11.828900000000001</v>
      </c>
      <c r="O448" s="21">
        <f t="shared" si="2337"/>
        <v>46.3795</v>
      </c>
      <c r="P448" s="8">
        <f t="shared" si="2109"/>
        <v>46.78622142857143</v>
      </c>
      <c r="Q448" s="8">
        <f t="shared" si="2338"/>
        <v>61.808400000000006</v>
      </c>
      <c r="R448" s="6">
        <f t="shared" si="2339"/>
        <v>23.291599999999988</v>
      </c>
      <c r="S448" s="6">
        <f t="shared" si="2340"/>
        <v>5.5314999999999994</v>
      </c>
      <c r="T448" s="6">
        <f t="shared" si="2341"/>
        <v>0.60379999999999967</v>
      </c>
      <c r="U448" s="6">
        <f t="shared" si="2342"/>
        <v>-0.63219999999999743</v>
      </c>
      <c r="V448" s="6">
        <f t="shared" si="2343"/>
        <v>-0.25</v>
      </c>
      <c r="W448" s="9">
        <f>Tabla1[[#This Row],[Protein]]/Tabla1[[#This Row],[Peso (Kg)]]</f>
        <v>0.27369682726204453</v>
      </c>
      <c r="X448" s="9">
        <f t="shared" si="2110"/>
        <v>0.26774486820802118</v>
      </c>
      <c r="Y448" s="6">
        <f t="shared" si="2344"/>
        <v>38.720499999999994</v>
      </c>
      <c r="Z448" s="6">
        <f t="shared" si="2111"/>
        <v>85.778571428571439</v>
      </c>
      <c r="AA448" s="6">
        <f t="shared" ref="AA448" si="2350">AVERAGE(N442:N448)</f>
        <v>12.426400000000001</v>
      </c>
      <c r="AB448" s="6">
        <f t="shared" ref="AB448" si="2351">AVERAGE(R442:R448)</f>
        <v>22.965949999999992</v>
      </c>
      <c r="AC448" s="6">
        <f t="shared" si="2347"/>
        <v>0.30185081719027451</v>
      </c>
      <c r="AD448" s="42">
        <f>Tabla1[[#This Row],[Avg Agua)]]/Tabla1[[#This Row],[Avg Musculo]]</f>
        <v>2.0371994813439658</v>
      </c>
    </row>
    <row r="449" spans="1:31" x14ac:dyDescent="0.3">
      <c r="A449" t="s">
        <v>120</v>
      </c>
      <c r="B449">
        <v>3</v>
      </c>
      <c r="C449" t="s">
        <v>121</v>
      </c>
      <c r="D449" s="4">
        <v>45675</v>
      </c>
      <c r="E449" s="6">
        <v>85.4</v>
      </c>
      <c r="F449" s="7">
        <f t="shared" si="2333"/>
        <v>24.162516976007247</v>
      </c>
      <c r="G449" s="9">
        <v>0.156</v>
      </c>
      <c r="H449" s="6">
        <f t="shared" si="2334"/>
        <v>72.077600000000004</v>
      </c>
      <c r="I449" s="6">
        <f t="shared" si="2335"/>
        <v>22.276199999999996</v>
      </c>
      <c r="J449">
        <v>3.6</v>
      </c>
      <c r="K449" s="5">
        <v>7.0000000000000007E-2</v>
      </c>
      <c r="L449" s="17">
        <v>2074</v>
      </c>
      <c r="M449" s="5">
        <v>0.54100000000000004</v>
      </c>
      <c r="N449" s="6">
        <f t="shared" si="2336"/>
        <v>13.3224</v>
      </c>
      <c r="O449" s="21">
        <f t="shared" si="2337"/>
        <v>46.201400000000007</v>
      </c>
      <c r="P449" s="8">
        <f t="shared" si="2109"/>
        <v>46.69849285714286</v>
      </c>
      <c r="Q449" s="8">
        <f t="shared" si="2338"/>
        <v>63.12380000000001</v>
      </c>
      <c r="R449" s="6">
        <f t="shared" si="2339"/>
        <v>22.276199999999996</v>
      </c>
      <c r="S449" s="6">
        <f t="shared" si="2340"/>
        <v>5.9780000000000006</v>
      </c>
      <c r="T449" s="6">
        <f t="shared" si="2341"/>
        <v>-1.0153999999999925</v>
      </c>
      <c r="U449" s="6">
        <f t="shared" si="2342"/>
        <v>1.4934999999999992</v>
      </c>
      <c r="V449" s="6">
        <f t="shared" si="2343"/>
        <v>0.30000000000001137</v>
      </c>
      <c r="W449" s="9">
        <f>Tabla1[[#This Row],[Protein]]/Tabla1[[#This Row],[Peso (Kg)]]</f>
        <v>0.26084543325526927</v>
      </c>
      <c r="X449" s="9">
        <f t="shared" si="2110"/>
        <v>0.26713838677883051</v>
      </c>
      <c r="Y449" s="6">
        <f t="shared" si="2344"/>
        <v>39.198599999999999</v>
      </c>
      <c r="Z449" s="6">
        <f t="shared" si="2111"/>
        <v>85.70714285714287</v>
      </c>
      <c r="AA449" s="6">
        <f t="shared" ref="AA449" si="2352">AVERAGE(N443:N449)</f>
        <v>12.513428571428573</v>
      </c>
      <c r="AB449" s="6">
        <f t="shared" ref="AB449" si="2353">AVERAGE(R443:R449)</f>
        <v>22.895221428571421</v>
      </c>
      <c r="AC449" s="6">
        <f t="shared" si="2347"/>
        <v>-0.30797145961116712</v>
      </c>
      <c r="AD449" s="42">
        <f>Tabla1[[#This Row],[Avg Agua)]]/Tabla1[[#This Row],[Avg Musculo]]</f>
        <v>2.0396611145619601</v>
      </c>
      <c r="AE449" t="s">
        <v>130</v>
      </c>
    </row>
    <row r="450" spans="1:31" x14ac:dyDescent="0.3">
      <c r="A450" t="s">
        <v>120</v>
      </c>
      <c r="B450">
        <v>3</v>
      </c>
      <c r="C450" t="s">
        <v>26</v>
      </c>
      <c r="D450" s="4">
        <v>45676</v>
      </c>
      <c r="E450" s="6">
        <v>86.2</v>
      </c>
      <c r="F450" s="7">
        <f t="shared" si="2333"/>
        <v>24.388863739248531</v>
      </c>
      <c r="G450" s="9">
        <v>0.157</v>
      </c>
      <c r="H450" s="6">
        <f t="shared" si="2334"/>
        <v>72.666600000000003</v>
      </c>
      <c r="I450" s="6">
        <f t="shared" si="2335"/>
        <v>21.570399999999992</v>
      </c>
      <c r="J450">
        <v>3.6</v>
      </c>
      <c r="K450" s="5">
        <v>7.0000000000000007E-2</v>
      </c>
      <c r="L450" s="17">
        <v>2093</v>
      </c>
      <c r="M450" s="5">
        <v>0.55100000000000005</v>
      </c>
      <c r="N450" s="6">
        <f t="shared" si="2336"/>
        <v>13.5334</v>
      </c>
      <c r="O450" s="21">
        <f t="shared" si="2337"/>
        <v>47.496200000000009</v>
      </c>
      <c r="P450" s="8">
        <f t="shared" si="2109"/>
        <v>46.792464285714289</v>
      </c>
      <c r="Q450" s="8">
        <f t="shared" si="2338"/>
        <v>64.629600000000011</v>
      </c>
      <c r="R450" s="6">
        <f t="shared" si="2339"/>
        <v>21.570399999999992</v>
      </c>
      <c r="S450" s="6">
        <f t="shared" si="2340"/>
        <v>6.0340000000000007</v>
      </c>
      <c r="T450" s="6">
        <f t="shared" si="2341"/>
        <v>-0.70580000000000354</v>
      </c>
      <c r="U450" s="6">
        <f t="shared" si="2342"/>
        <v>0.2110000000000003</v>
      </c>
      <c r="V450" s="6">
        <f t="shared" si="2343"/>
        <v>0.79999999999999716</v>
      </c>
      <c r="W450" s="9">
        <f>Tabla1[[#This Row],[Protein]]/Tabla1[[#This Row],[Peso (Kg)]]</f>
        <v>0.25023665893271452</v>
      </c>
      <c r="X450" s="9">
        <f t="shared" si="2110"/>
        <v>0.26457388758206052</v>
      </c>
      <c r="Y450" s="6">
        <f t="shared" si="2344"/>
        <v>38.703799999999994</v>
      </c>
      <c r="Z450" s="6">
        <f t="shared" si="2111"/>
        <v>85.721428571428575</v>
      </c>
      <c r="AA450" s="6">
        <f t="shared" ref="AA450" si="2354">AVERAGE(N444:N450)</f>
        <v>12.650971428571429</v>
      </c>
      <c r="AB450" s="6">
        <f t="shared" ref="AB450" si="2355">AVERAGE(R444:R450)</f>
        <v>22.677992857142847</v>
      </c>
      <c r="AC450" s="6">
        <f t="shared" si="2347"/>
        <v>-0.94879436788276594</v>
      </c>
      <c r="AD450" s="42">
        <f>Tabla1[[#This Row],[Avg Agua)]]/Tabla1[[#This Row],[Avg Musculo]]</f>
        <v>2.0633424033810006</v>
      </c>
      <c r="AE450" t="s">
        <v>131</v>
      </c>
    </row>
    <row r="451" spans="1:31" x14ac:dyDescent="0.3">
      <c r="A451" t="s">
        <v>120</v>
      </c>
      <c r="B451">
        <v>4</v>
      </c>
      <c r="C451" t="s">
        <v>21</v>
      </c>
      <c r="D451" s="4">
        <v>45677</v>
      </c>
      <c r="E451" s="6">
        <v>85.35</v>
      </c>
      <c r="F451" s="7">
        <f t="shared" si="2333"/>
        <v>24.148370303304663</v>
      </c>
      <c r="G451" s="9">
        <v>0.14899999999999999</v>
      </c>
      <c r="H451" s="6">
        <f t="shared" si="2334"/>
        <v>72.632849999999991</v>
      </c>
      <c r="I451" s="6">
        <f t="shared" si="2335"/>
        <v>22.431749999999987</v>
      </c>
      <c r="J451">
        <v>3.6</v>
      </c>
      <c r="K451" s="5">
        <v>6.5000000000000002E-2</v>
      </c>
      <c r="L451" s="17">
        <v>2090</v>
      </c>
      <c r="M451" s="5">
        <v>0.54600000000000004</v>
      </c>
      <c r="N451" s="6">
        <f t="shared" si="2336"/>
        <v>12.717149999999998</v>
      </c>
      <c r="O451" s="21">
        <f t="shared" si="2337"/>
        <v>46.601100000000002</v>
      </c>
      <c r="P451" s="8">
        <f t="shared" si="2109"/>
        <v>46.713850000000015</v>
      </c>
      <c r="Q451" s="8">
        <f t="shared" si="2338"/>
        <v>62.918250000000008</v>
      </c>
      <c r="R451" s="6">
        <f t="shared" si="2339"/>
        <v>22.431749999999987</v>
      </c>
      <c r="S451" s="6">
        <f t="shared" si="2340"/>
        <v>5.5477499999999997</v>
      </c>
      <c r="T451" s="6">
        <f t="shared" si="2341"/>
        <v>0.86134999999999451</v>
      </c>
      <c r="U451" s="6">
        <f t="shared" si="2342"/>
        <v>-0.81625000000000192</v>
      </c>
      <c r="V451" s="6">
        <f t="shared" si="2343"/>
        <v>-0.85000000000000853</v>
      </c>
      <c r="W451" s="9">
        <f>Tabla1[[#This Row],[Protein]]/Tabla1[[#This Row],[Peso (Kg)]]</f>
        <v>0.26282073813708245</v>
      </c>
      <c r="X451" s="9">
        <f t="shared" si="2110"/>
        <v>0.26408589889697021</v>
      </c>
      <c r="Y451" s="6">
        <f t="shared" si="2344"/>
        <v>38.748899999999985</v>
      </c>
      <c r="Z451" s="6">
        <f t="shared" si="2111"/>
        <v>85.600000000000009</v>
      </c>
      <c r="AA451" s="6">
        <f t="shared" ref="AA451" si="2356">AVERAGE(N445:N451)</f>
        <v>12.682135714285716</v>
      </c>
      <c r="AB451" s="6">
        <f t="shared" ref="AB451" si="2357">AVERAGE(R445:R451)</f>
        <v>22.604014285714278</v>
      </c>
      <c r="AC451" s="6">
        <f t="shared" si="2347"/>
        <v>-0.32621304669503415</v>
      </c>
      <c r="AD451" s="42">
        <f>Tabla1[[#This Row],[Avg Agua)]]/Tabla1[[#This Row],[Avg Musculo]]</f>
        <v>2.0666174339450465</v>
      </c>
    </row>
    <row r="452" spans="1:31" x14ac:dyDescent="0.3">
      <c r="A452" t="s">
        <v>120</v>
      </c>
      <c r="B452">
        <v>4</v>
      </c>
      <c r="C452" t="s">
        <v>23</v>
      </c>
      <c r="D452" s="4">
        <v>45678</v>
      </c>
      <c r="E452" s="6">
        <v>85.05</v>
      </c>
      <c r="F452" s="7">
        <f t="shared" ref="F452:F457" si="2358">E452/(1.88^2)</f>
        <v>24.063490267089183</v>
      </c>
      <c r="G452" s="9">
        <v>0.14599999999999999</v>
      </c>
      <c r="H452" s="6">
        <f t="shared" ref="H452:H457" si="2359">E452-N452</f>
        <v>72.6327</v>
      </c>
      <c r="I452" s="6">
        <f t="shared" ref="I452:I457" si="2360">E452-N452-O452-J452</f>
        <v>22.765499999999996</v>
      </c>
      <c r="J452">
        <v>3.6</v>
      </c>
      <c r="K452" s="5">
        <v>6.5000000000000002E-2</v>
      </c>
      <c r="L452" s="17">
        <v>2087</v>
      </c>
      <c r="M452" s="5">
        <v>0.54400000000000004</v>
      </c>
      <c r="N452" s="6">
        <f t="shared" ref="N452:N457" si="2361">E452*G452</f>
        <v>12.417299999999999</v>
      </c>
      <c r="O452" s="21">
        <f t="shared" ref="O452:O457" si="2362">M452*E452</f>
        <v>46.267200000000003</v>
      </c>
      <c r="P452" s="8">
        <f t="shared" si="2109"/>
        <v>46.591442857142866</v>
      </c>
      <c r="Q452" s="8">
        <f t="shared" ref="Q452:Q457" si="2363">E452-R452</f>
        <v>62.284500000000001</v>
      </c>
      <c r="R452" s="6">
        <f t="shared" ref="R452:R457" si="2364">I452</f>
        <v>22.765499999999996</v>
      </c>
      <c r="S452" s="6">
        <f t="shared" ref="S452:S457" si="2365">K452*E452</f>
        <v>5.5282499999999999</v>
      </c>
      <c r="T452" s="6">
        <f t="shared" ref="T452:T457" si="2366">I452-I451</f>
        <v>0.33375000000000909</v>
      </c>
      <c r="U452" s="6">
        <f t="shared" ref="U452:U457" si="2367">N452-N451</f>
        <v>-0.29984999999999928</v>
      </c>
      <c r="V452" s="6">
        <f t="shared" ref="V452:V457" si="2368">E452-E451</f>
        <v>-0.29999999999999716</v>
      </c>
      <c r="W452" s="9">
        <f>Tabla1[[#This Row],[Protein]]/Tabla1[[#This Row],[Peso (Kg)]]</f>
        <v>0.26767195767195762</v>
      </c>
      <c r="X452" s="9">
        <f t="shared" si="2110"/>
        <v>0.26458011853620267</v>
      </c>
      <c r="Y452" s="6">
        <f t="shared" ref="Y452:Y457" si="2369">R452+N452+J452</f>
        <v>38.782799999999995</v>
      </c>
      <c r="Z452" s="6">
        <f t="shared" si="2111"/>
        <v>85.442857142857136</v>
      </c>
      <c r="AA452" s="6">
        <f t="shared" ref="AA452" si="2370">AVERAGE(N446:N452)</f>
        <v>12.646885714285714</v>
      </c>
      <c r="AB452" s="6">
        <f t="shared" ref="AB452" si="2371">AVERAGE(R446:R452)</f>
        <v>22.604528571428563</v>
      </c>
      <c r="AC452" s="6">
        <f t="shared" ref="AC452:AC457" si="2372">100*(AB452/AB451-1)</f>
        <v>2.2751963778766537E-3</v>
      </c>
      <c r="AD452" s="42">
        <f>Tabla1[[#This Row],[Avg Agua)]]/Tabla1[[#This Row],[Avg Musculo]]</f>
        <v>2.0611552552364678</v>
      </c>
    </row>
    <row r="453" spans="1:31" x14ac:dyDescent="0.3">
      <c r="A453" t="s">
        <v>120</v>
      </c>
      <c r="B453">
        <v>4</v>
      </c>
      <c r="C453" t="s">
        <v>24</v>
      </c>
      <c r="D453" s="4">
        <v>45679</v>
      </c>
      <c r="E453" s="6">
        <v>85.1</v>
      </c>
      <c r="F453" s="7">
        <f t="shared" si="2358"/>
        <v>24.077636939791763</v>
      </c>
      <c r="G453" s="9">
        <v>0.14499999999999999</v>
      </c>
      <c r="H453" s="6">
        <f t="shared" si="2359"/>
        <v>72.760499999999993</v>
      </c>
      <c r="I453" s="6">
        <f t="shared" si="2360"/>
        <v>22.866099999999989</v>
      </c>
      <c r="J453">
        <v>3.6</v>
      </c>
      <c r="K453" s="5">
        <v>6.5000000000000002E-2</v>
      </c>
      <c r="L453" s="17">
        <v>2092</v>
      </c>
      <c r="M453" s="5">
        <v>0.54400000000000004</v>
      </c>
      <c r="N453" s="6">
        <f t="shared" si="2361"/>
        <v>12.339499999999997</v>
      </c>
      <c r="O453" s="21">
        <f t="shared" si="2362"/>
        <v>46.294400000000003</v>
      </c>
      <c r="P453" s="8">
        <f t="shared" si="2109"/>
        <v>46.548700000000004</v>
      </c>
      <c r="Q453" s="8">
        <f t="shared" si="2363"/>
        <v>62.233900000000006</v>
      </c>
      <c r="R453" s="6">
        <f t="shared" si="2364"/>
        <v>22.866099999999989</v>
      </c>
      <c r="S453" s="6">
        <f t="shared" si="2365"/>
        <v>5.5314999999999994</v>
      </c>
      <c r="T453" s="6">
        <f t="shared" si="2366"/>
        <v>0.10059999999999292</v>
      </c>
      <c r="U453" s="6">
        <f t="shared" si="2367"/>
        <v>-7.7800000000001646E-2</v>
      </c>
      <c r="V453" s="6">
        <f t="shared" si="2368"/>
        <v>4.9999999999997158E-2</v>
      </c>
      <c r="W453" s="9">
        <f>Tabla1[[#This Row],[Protein]]/Tabla1[[#This Row],[Peso (Kg)]]</f>
        <v>0.26869682726204452</v>
      </c>
      <c r="X453" s="9">
        <f t="shared" si="2110"/>
        <v>0.26425559723688508</v>
      </c>
      <c r="Y453" s="6">
        <f t="shared" si="2369"/>
        <v>38.805599999999991</v>
      </c>
      <c r="Z453" s="6">
        <f t="shared" si="2111"/>
        <v>85.364285714285714</v>
      </c>
      <c r="AA453" s="6">
        <f t="shared" ref="AA453" si="2373">AVERAGE(N447:N453)</f>
        <v>12.659964285714285</v>
      </c>
      <c r="AB453" s="6">
        <f t="shared" ref="AB453" si="2374">AVERAGE(R447:R453)</f>
        <v>22.55562142857142</v>
      </c>
      <c r="AC453" s="6">
        <f t="shared" si="2372"/>
        <v>-0.21635993293379618</v>
      </c>
      <c r="AD453" s="42">
        <f>Tabla1[[#This Row],[Avg Agua)]]/Tabla1[[#This Row],[Avg Musculo]]</f>
        <v>2.0637294409027596</v>
      </c>
    </row>
    <row r="454" spans="1:31" x14ac:dyDescent="0.3">
      <c r="A454" t="s">
        <v>120</v>
      </c>
      <c r="B454">
        <v>4</v>
      </c>
      <c r="C454" t="s">
        <v>22</v>
      </c>
      <c r="D454" s="4">
        <v>45680</v>
      </c>
      <c r="E454" s="6">
        <v>84.85</v>
      </c>
      <c r="F454" s="7">
        <f t="shared" si="2358"/>
        <v>24.006903576278859</v>
      </c>
      <c r="G454" s="9">
        <v>0.14199999999999999</v>
      </c>
      <c r="H454" s="6">
        <f t="shared" si="2359"/>
        <v>72.801299999999998</v>
      </c>
      <c r="I454" s="6">
        <f t="shared" si="2360"/>
        <v>22.958049999999993</v>
      </c>
      <c r="J454">
        <v>3.6</v>
      </c>
      <c r="K454" s="5">
        <v>6.5000000000000002E-2</v>
      </c>
      <c r="L454" s="17">
        <v>2092</v>
      </c>
      <c r="M454" s="5">
        <v>0.54500000000000004</v>
      </c>
      <c r="N454" s="6">
        <f t="shared" si="2361"/>
        <v>12.048699999999998</v>
      </c>
      <c r="O454" s="21">
        <f t="shared" si="2362"/>
        <v>46.243250000000003</v>
      </c>
      <c r="P454" s="8">
        <f t="shared" si="2109"/>
        <v>46.497578571428576</v>
      </c>
      <c r="Q454" s="8">
        <f t="shared" si="2363"/>
        <v>61.891950000000001</v>
      </c>
      <c r="R454" s="6">
        <f t="shared" si="2364"/>
        <v>22.958049999999993</v>
      </c>
      <c r="S454" s="6">
        <f t="shared" si="2365"/>
        <v>5.51525</v>
      </c>
      <c r="T454" s="6">
        <f t="shared" si="2366"/>
        <v>9.1950000000004195E-2</v>
      </c>
      <c r="U454" s="6">
        <f t="shared" si="2367"/>
        <v>-0.29079999999999906</v>
      </c>
      <c r="V454" s="6">
        <f t="shared" si="2368"/>
        <v>-0.25</v>
      </c>
      <c r="W454" s="9">
        <f>Tabla1[[#This Row],[Protein]]/Tabla1[[#This Row],[Peso (Kg)]]</f>
        <v>0.27057218621096046</v>
      </c>
      <c r="X454" s="9">
        <f t="shared" si="2110"/>
        <v>0.2649343755331533</v>
      </c>
      <c r="Y454" s="6">
        <f t="shared" si="2369"/>
        <v>38.606749999999991</v>
      </c>
      <c r="Z454" s="6">
        <f t="shared" si="2111"/>
        <v>85.29285714285713</v>
      </c>
      <c r="AA454" s="6">
        <f t="shared" ref="AA454" si="2375">AVERAGE(N448:N454)</f>
        <v>12.601049999999999</v>
      </c>
      <c r="AB454" s="6">
        <f t="shared" ref="AB454" si="2376">AVERAGE(R448:R454)</f>
        <v>22.594228571428566</v>
      </c>
      <c r="AC454" s="6">
        <f t="shared" si="2372"/>
        <v>0.17116417288438601</v>
      </c>
      <c r="AD454" s="42">
        <f>Tabla1[[#This Row],[Avg Agua)]]/Tabla1[[#This Row],[Avg Musculo]]</f>
        <v>2.0579405233700649</v>
      </c>
    </row>
    <row r="455" spans="1:31" x14ac:dyDescent="0.3">
      <c r="A455" t="s">
        <v>120</v>
      </c>
      <c r="B455">
        <v>4</v>
      </c>
      <c r="C455" t="s">
        <v>20</v>
      </c>
      <c r="D455" s="4">
        <v>45681</v>
      </c>
      <c r="E455" s="6">
        <v>84.75</v>
      </c>
      <c r="F455" s="7">
        <f t="shared" si="2358"/>
        <v>23.978610230873699</v>
      </c>
      <c r="G455" s="9">
        <v>0.14199999999999999</v>
      </c>
      <c r="H455" s="6">
        <f t="shared" si="2359"/>
        <v>72.715500000000006</v>
      </c>
      <c r="I455" s="6">
        <f t="shared" si="2360"/>
        <v>23.011499999999998</v>
      </c>
      <c r="J455">
        <v>3.6</v>
      </c>
      <c r="K455" s="5">
        <v>6.5000000000000002E-2</v>
      </c>
      <c r="L455" s="17">
        <v>2091</v>
      </c>
      <c r="M455" s="5">
        <v>0.54400000000000004</v>
      </c>
      <c r="N455" s="6">
        <f t="shared" si="2361"/>
        <v>12.0345</v>
      </c>
      <c r="O455" s="21">
        <f t="shared" si="2362"/>
        <v>46.104000000000006</v>
      </c>
      <c r="P455" s="8">
        <f t="shared" si="2109"/>
        <v>46.458221428571434</v>
      </c>
      <c r="Q455" s="8">
        <f t="shared" si="2363"/>
        <v>61.738500000000002</v>
      </c>
      <c r="R455" s="6">
        <f t="shared" si="2364"/>
        <v>23.011499999999998</v>
      </c>
      <c r="S455" s="6">
        <f t="shared" si="2365"/>
        <v>5.50875</v>
      </c>
      <c r="T455" s="6">
        <f t="shared" si="2366"/>
        <v>5.3450000000005105E-2</v>
      </c>
      <c r="U455" s="6">
        <f t="shared" si="2367"/>
        <v>-1.419999999999888E-2</v>
      </c>
      <c r="V455" s="6">
        <f t="shared" si="2368"/>
        <v>-9.9999999999994316E-2</v>
      </c>
      <c r="W455" s="9">
        <f>Tabla1[[#This Row],[Protein]]/Tabla1[[#This Row],[Peso (Kg)]]</f>
        <v>0.27152212389380531</v>
      </c>
      <c r="X455" s="9">
        <f t="shared" si="2110"/>
        <v>0.26462370362340487</v>
      </c>
      <c r="Y455" s="6">
        <f t="shared" si="2369"/>
        <v>38.646000000000001</v>
      </c>
      <c r="Z455" s="6">
        <f t="shared" si="2111"/>
        <v>85.242857142857147</v>
      </c>
      <c r="AA455" s="6">
        <f t="shared" ref="AA455" si="2377">AVERAGE(N449:N455)</f>
        <v>12.630421428571426</v>
      </c>
      <c r="AB455" s="6">
        <f t="shared" ref="AB455" si="2378">AVERAGE(R449:R455)</f>
        <v>22.554214285714277</v>
      </c>
      <c r="AC455" s="6">
        <f t="shared" si="2372"/>
        <v>-0.17709958801110925</v>
      </c>
      <c r="AD455" s="42">
        <f>Tabla1[[#This Row],[Avg Agua)]]/Tabla1[[#This Row],[Avg Musculo]]</f>
        <v>2.0598465918627826</v>
      </c>
    </row>
    <row r="456" spans="1:31" x14ac:dyDescent="0.3">
      <c r="A456" t="s">
        <v>120</v>
      </c>
      <c r="B456">
        <v>4</v>
      </c>
      <c r="C456" t="s">
        <v>121</v>
      </c>
      <c r="D456" s="4">
        <v>45682</v>
      </c>
      <c r="E456" s="6">
        <v>84.45</v>
      </c>
      <c r="F456" s="7">
        <f t="shared" si="2358"/>
        <v>23.893730194658218</v>
      </c>
      <c r="G456" s="9">
        <v>0.14299999999999999</v>
      </c>
      <c r="H456" s="6">
        <f t="shared" si="2359"/>
        <v>72.373649999999998</v>
      </c>
      <c r="I456" s="6">
        <f t="shared" si="2360"/>
        <v>22.74839999999999</v>
      </c>
      <c r="J456">
        <v>3.6</v>
      </c>
      <c r="K456" s="5">
        <v>6.5000000000000002E-2</v>
      </c>
      <c r="L456" s="17">
        <v>2080</v>
      </c>
      <c r="M456" s="5">
        <v>0.54500000000000004</v>
      </c>
      <c r="N456" s="6">
        <f t="shared" si="2361"/>
        <v>12.07635</v>
      </c>
      <c r="O456" s="21">
        <f t="shared" si="2362"/>
        <v>46.025250000000007</v>
      </c>
      <c r="P456" s="8">
        <f t="shared" si="2109"/>
        <v>46.433057142857145</v>
      </c>
      <c r="Q456" s="8">
        <f t="shared" si="2363"/>
        <v>61.701600000000013</v>
      </c>
      <c r="R456" s="6">
        <f t="shared" si="2364"/>
        <v>22.74839999999999</v>
      </c>
      <c r="S456" s="6">
        <f t="shared" si="2365"/>
        <v>5.4892500000000002</v>
      </c>
      <c r="T456" s="6">
        <f t="shared" si="2366"/>
        <v>-0.26310000000000855</v>
      </c>
      <c r="U456" s="6">
        <f t="shared" si="2367"/>
        <v>4.1850000000000165E-2</v>
      </c>
      <c r="V456" s="6">
        <f t="shared" si="2368"/>
        <v>-0.29999999999999716</v>
      </c>
      <c r="W456" s="9">
        <f>Tabla1[[#This Row],[Protein]]/Tabla1[[#This Row],[Peso (Kg)]]</f>
        <v>0.26937122557726451</v>
      </c>
      <c r="X456" s="9">
        <f t="shared" si="2110"/>
        <v>0.26584167395511848</v>
      </c>
      <c r="Y456" s="6">
        <f t="shared" si="2369"/>
        <v>38.424749999999989</v>
      </c>
      <c r="Z456" s="6">
        <f t="shared" si="2111"/>
        <v>85.107142857142875</v>
      </c>
      <c r="AA456" s="6">
        <f t="shared" ref="AA456" si="2379">AVERAGE(N450:N456)</f>
        <v>12.452414285714283</v>
      </c>
      <c r="AB456" s="6">
        <f t="shared" ref="AB456" si="2380">AVERAGE(R450:R456)</f>
        <v>22.621671428571421</v>
      </c>
      <c r="AC456" s="6">
        <f t="shared" si="2372"/>
        <v>0.29908886207519192</v>
      </c>
      <c r="AD456" s="42">
        <f>Tabla1[[#This Row],[Avg Agua)]]/Tabla1[[#This Row],[Avg Musculo]]</f>
        <v>2.0525917940887286</v>
      </c>
    </row>
    <row r="457" spans="1:31" x14ac:dyDescent="0.3">
      <c r="A457" t="s">
        <v>120</v>
      </c>
      <c r="B457">
        <v>4</v>
      </c>
      <c r="C457" t="s">
        <v>26</v>
      </c>
      <c r="D457" s="4">
        <v>45683</v>
      </c>
      <c r="E457" s="6">
        <v>84.3</v>
      </c>
      <c r="F457" s="7">
        <f t="shared" si="2358"/>
        <v>23.851290176550474</v>
      </c>
      <c r="G457" s="9">
        <v>0.14000000000000001</v>
      </c>
      <c r="H457" s="6">
        <f t="shared" si="2359"/>
        <v>72.49799999999999</v>
      </c>
      <c r="I457" s="6">
        <f t="shared" si="2360"/>
        <v>22.954499999999989</v>
      </c>
      <c r="J457">
        <v>3.6</v>
      </c>
      <c r="K457" s="5">
        <v>6.5000000000000002E-2</v>
      </c>
      <c r="L457" s="17">
        <v>2082</v>
      </c>
      <c r="M457" s="5">
        <v>0.54500000000000004</v>
      </c>
      <c r="N457" s="6">
        <f t="shared" si="2361"/>
        <v>11.802000000000001</v>
      </c>
      <c r="O457" s="21">
        <f t="shared" si="2362"/>
        <v>45.9435</v>
      </c>
      <c r="P457" s="8">
        <f t="shared" ref="P457:P520" si="2381">AVERAGE(O451:O457)</f>
        <v>46.211242857142857</v>
      </c>
      <c r="Q457" s="8">
        <f t="shared" si="2363"/>
        <v>61.345500000000008</v>
      </c>
      <c r="R457" s="6">
        <f t="shared" si="2364"/>
        <v>22.954499999999989</v>
      </c>
      <c r="S457" s="6">
        <f t="shared" si="2365"/>
        <v>5.4794999999999998</v>
      </c>
      <c r="T457" s="6">
        <f t="shared" si="2366"/>
        <v>0.20609999999999928</v>
      </c>
      <c r="U457" s="6">
        <f t="shared" si="2367"/>
        <v>-0.27434999999999832</v>
      </c>
      <c r="V457" s="6">
        <f t="shared" si="2368"/>
        <v>-0.15000000000000568</v>
      </c>
      <c r="W457" s="9">
        <f>Tabla1[[#This Row],[Protein]]/Tabla1[[#This Row],[Peso (Kg)]]</f>
        <v>0.27229537366548029</v>
      </c>
      <c r="X457" s="9">
        <f t="shared" ref="X457:X526" si="2382">AVERAGE(W451:W457)</f>
        <v>0.26899291891694216</v>
      </c>
      <c r="Y457" s="6">
        <f t="shared" si="2369"/>
        <v>38.35649999999999</v>
      </c>
      <c r="Z457" s="6">
        <f t="shared" ref="Z457:Z466" si="2383">AVERAGE(E451:E457)</f>
        <v>84.835714285714275</v>
      </c>
      <c r="AA457" s="6">
        <f t="shared" ref="AA457" si="2384">AVERAGE(N451:N457)</f>
        <v>12.205071428571429</v>
      </c>
      <c r="AB457" s="6">
        <f t="shared" ref="AB457" si="2385">AVERAGE(R451:R457)</f>
        <v>22.819399999999995</v>
      </c>
      <c r="AC457" s="6">
        <f t="shared" si="2372"/>
        <v>0.87406702927723678</v>
      </c>
      <c r="AD457" s="42">
        <f>Tabla1[[#This Row],[Avg Agua)]]/Tabla1[[#This Row],[Avg Musculo]]</f>
        <v>2.0250857979238224</v>
      </c>
    </row>
    <row r="458" spans="1:31" x14ac:dyDescent="0.3">
      <c r="A458" t="s">
        <v>120</v>
      </c>
      <c r="B458">
        <v>5</v>
      </c>
      <c r="C458" t="s">
        <v>21</v>
      </c>
      <c r="D458" s="4">
        <v>45684</v>
      </c>
      <c r="E458" s="6">
        <v>85.15</v>
      </c>
      <c r="F458" s="7">
        <f t="shared" ref="F458:F463" si="2386">E458/(1.88^2)</f>
        <v>24.091783612494346</v>
      </c>
      <c r="G458" s="9">
        <v>0.14699999999999999</v>
      </c>
      <c r="H458" s="6">
        <f t="shared" ref="H458:H463" si="2387">E458-N458</f>
        <v>72.632950000000008</v>
      </c>
      <c r="I458" s="6">
        <f t="shared" ref="I458:I463" si="2388">E458-N458-O458-J458</f>
        <v>22.200449999999996</v>
      </c>
      <c r="J458">
        <v>3.6</v>
      </c>
      <c r="K458" s="5">
        <v>6.5000000000000002E-2</v>
      </c>
      <c r="L458" s="17">
        <v>2089</v>
      </c>
      <c r="M458" s="5">
        <v>0.55000000000000004</v>
      </c>
      <c r="N458" s="6">
        <f t="shared" ref="N458:N463" si="2389">E458*G458</f>
        <v>12.517049999999999</v>
      </c>
      <c r="O458" s="21">
        <f t="shared" ref="O458:O463" si="2390">M458*E458</f>
        <v>46.83250000000001</v>
      </c>
      <c r="P458" s="8">
        <f t="shared" si="2381"/>
        <v>46.244300000000003</v>
      </c>
      <c r="Q458" s="8">
        <f t="shared" ref="Q458:Q463" si="2391">E458-R458</f>
        <v>62.949550000000009</v>
      </c>
      <c r="R458" s="6">
        <f t="shared" ref="R458:R463" si="2392">I458</f>
        <v>22.200449999999996</v>
      </c>
      <c r="S458" s="6">
        <f t="shared" ref="S458:S463" si="2393">K458*E458</f>
        <v>5.5347500000000007</v>
      </c>
      <c r="T458" s="6">
        <f t="shared" ref="T458:T463" si="2394">I458-I457</f>
        <v>-0.75404999999999234</v>
      </c>
      <c r="U458" s="6">
        <f t="shared" ref="U458:U463" si="2395">N458-N457</f>
        <v>0.71504999999999797</v>
      </c>
      <c r="V458" s="6">
        <f t="shared" ref="V458:V463" si="2396">E458-E457</f>
        <v>0.85000000000000853</v>
      </c>
      <c r="W458" s="9">
        <f>Tabla1[[#This Row],[Protein]]/Tabla1[[#This Row],[Peso (Kg)]]</f>
        <v>0.26072166764533172</v>
      </c>
      <c r="X458" s="9">
        <f t="shared" si="2382"/>
        <v>0.2686930517038349</v>
      </c>
      <c r="Y458" s="6">
        <f t="shared" ref="Y458:Y463" si="2397">R458+N458+J458</f>
        <v>38.317499999999995</v>
      </c>
      <c r="Z458" s="6">
        <f t="shared" si="2383"/>
        <v>84.80714285714285</v>
      </c>
      <c r="AA458" s="6">
        <f t="shared" ref="AA458" si="2398">AVERAGE(N452:N458)</f>
        <v>12.176485714285715</v>
      </c>
      <c r="AB458" s="6">
        <f t="shared" ref="AB458" si="2399">AVERAGE(R452:R458)</f>
        <v>22.786357142857135</v>
      </c>
      <c r="AC458" s="6">
        <f t="shared" ref="AC458:AC463" si="2400">100*(AB458/AB457-1)</f>
        <v>-0.14480160364803707</v>
      </c>
      <c r="AD458" s="42">
        <f>Tabla1[[#This Row],[Avg Agua)]]/Tabla1[[#This Row],[Avg Musculo]]</f>
        <v>2.0294731496603551</v>
      </c>
    </row>
    <row r="459" spans="1:31" x14ac:dyDescent="0.3">
      <c r="A459" t="s">
        <v>120</v>
      </c>
      <c r="B459">
        <v>5</v>
      </c>
      <c r="C459" t="s">
        <v>23</v>
      </c>
      <c r="D459" s="4">
        <v>45685</v>
      </c>
      <c r="E459" s="6">
        <v>85.1</v>
      </c>
      <c r="F459" s="7">
        <f t="shared" si="2386"/>
        <v>24.077636939791763</v>
      </c>
      <c r="G459" s="9">
        <v>0.14499999999999999</v>
      </c>
      <c r="H459" s="6">
        <f t="shared" si="2387"/>
        <v>72.760499999999993</v>
      </c>
      <c r="I459" s="6">
        <f t="shared" si="2388"/>
        <v>22.440599999999989</v>
      </c>
      <c r="J459">
        <v>3.6</v>
      </c>
      <c r="K459" s="5">
        <v>6.5000000000000002E-2</v>
      </c>
      <c r="L459" s="17">
        <v>2091</v>
      </c>
      <c r="M459" s="5">
        <v>0.54900000000000004</v>
      </c>
      <c r="N459" s="6">
        <f t="shared" si="2389"/>
        <v>12.339499999999997</v>
      </c>
      <c r="O459" s="21">
        <f t="shared" si="2390"/>
        <v>46.719900000000003</v>
      </c>
      <c r="P459" s="8">
        <f t="shared" si="2381"/>
        <v>46.308971428571432</v>
      </c>
      <c r="Q459" s="8">
        <f t="shared" si="2391"/>
        <v>62.659400000000005</v>
      </c>
      <c r="R459" s="6">
        <f t="shared" si="2392"/>
        <v>22.440599999999989</v>
      </c>
      <c r="S459" s="6">
        <f t="shared" si="2393"/>
        <v>5.5314999999999994</v>
      </c>
      <c r="T459" s="6">
        <f t="shared" si="2394"/>
        <v>0.24014999999999276</v>
      </c>
      <c r="U459" s="6">
        <f t="shared" si="2395"/>
        <v>-0.17755000000000187</v>
      </c>
      <c r="V459" s="6">
        <f t="shared" si="2396"/>
        <v>-5.0000000000011369E-2</v>
      </c>
      <c r="W459" s="9">
        <f>Tabla1[[#This Row],[Protein]]/Tabla1[[#This Row],[Peso (Kg)]]</f>
        <v>0.26369682726204452</v>
      </c>
      <c r="X459" s="9">
        <f t="shared" si="2382"/>
        <v>0.26812517593099017</v>
      </c>
      <c r="Y459" s="6">
        <f t="shared" si="2397"/>
        <v>38.380099999999992</v>
      </c>
      <c r="Z459" s="6">
        <f t="shared" si="2383"/>
        <v>84.814285714285717</v>
      </c>
      <c r="AA459" s="6">
        <f t="shared" ref="AA459" si="2401">AVERAGE(N453:N459)</f>
        <v>12.165371428571429</v>
      </c>
      <c r="AB459" s="6">
        <f t="shared" ref="AB459" si="2402">AVERAGE(R453:R459)</f>
        <v>22.739942857142847</v>
      </c>
      <c r="AC459" s="6">
        <f t="shared" si="2400"/>
        <v>-0.20369331272785951</v>
      </c>
      <c r="AD459" s="42">
        <f>Tabla1[[#This Row],[Avg Agua)]]/Tabla1[[#This Row],[Avg Musculo]]</f>
        <v>2.0364594458083838</v>
      </c>
    </row>
    <row r="460" spans="1:31" x14ac:dyDescent="0.3">
      <c r="A460" t="s">
        <v>120</v>
      </c>
      <c r="B460">
        <v>5</v>
      </c>
      <c r="C460" t="s">
        <v>24</v>
      </c>
      <c r="D460" s="4">
        <v>45686</v>
      </c>
      <c r="E460" s="6">
        <v>85.1</v>
      </c>
      <c r="F460" s="7">
        <f t="shared" si="2386"/>
        <v>24.077636939791763</v>
      </c>
      <c r="G460" s="9">
        <v>0.14899999999999999</v>
      </c>
      <c r="H460" s="6">
        <f t="shared" si="2387"/>
        <v>72.420099999999991</v>
      </c>
      <c r="I460" s="6">
        <f t="shared" si="2388"/>
        <v>22.100199999999987</v>
      </c>
      <c r="J460">
        <v>3.6</v>
      </c>
      <c r="K460" s="5">
        <v>6.5000000000000002E-2</v>
      </c>
      <c r="L460" s="17">
        <v>2084</v>
      </c>
      <c r="M460" s="5">
        <v>0.54900000000000004</v>
      </c>
      <c r="N460" s="6">
        <f t="shared" si="2389"/>
        <v>12.679899999999998</v>
      </c>
      <c r="O460" s="21">
        <f t="shared" si="2390"/>
        <v>46.719900000000003</v>
      </c>
      <c r="P460" s="8">
        <f t="shared" si="2381"/>
        <v>46.369757142857146</v>
      </c>
      <c r="Q460" s="8">
        <f t="shared" si="2391"/>
        <v>62.999800000000008</v>
      </c>
      <c r="R460" s="6">
        <f t="shared" si="2392"/>
        <v>22.100199999999987</v>
      </c>
      <c r="S460" s="6">
        <f t="shared" si="2393"/>
        <v>5.5314999999999994</v>
      </c>
      <c r="T460" s="6">
        <f t="shared" si="2394"/>
        <v>-0.34040000000000248</v>
      </c>
      <c r="U460" s="6">
        <f t="shared" si="2395"/>
        <v>0.3404000000000007</v>
      </c>
      <c r="V460" s="6">
        <f t="shared" si="2396"/>
        <v>0</v>
      </c>
      <c r="W460" s="9">
        <f>Tabla1[[#This Row],[Protein]]/Tabla1[[#This Row],[Peso (Kg)]]</f>
        <v>0.25969682726204452</v>
      </c>
      <c r="X460" s="9">
        <f t="shared" si="2382"/>
        <v>0.26683946164527589</v>
      </c>
      <c r="Y460" s="6">
        <f t="shared" si="2397"/>
        <v>38.380099999999985</v>
      </c>
      <c r="Z460" s="6">
        <f t="shared" si="2383"/>
        <v>84.814285714285717</v>
      </c>
      <c r="AA460" s="6">
        <f t="shared" ref="AA460" si="2403">AVERAGE(N454:N460)</f>
        <v>12.213999999999999</v>
      </c>
      <c r="AB460" s="6">
        <f t="shared" ref="AB460" si="2404">AVERAGE(R454:R460)</f>
        <v>22.630528571428563</v>
      </c>
      <c r="AC460" s="6">
        <f t="shared" si="2400"/>
        <v>-0.48115462031566025</v>
      </c>
      <c r="AD460" s="42">
        <f>Tabla1[[#This Row],[Avg Agua)]]/Tabla1[[#This Row],[Avg Musculo]]</f>
        <v>2.0489913435517266</v>
      </c>
    </row>
    <row r="461" spans="1:31" x14ac:dyDescent="0.3">
      <c r="A461" t="s">
        <v>120</v>
      </c>
      <c r="B461">
        <v>5</v>
      </c>
      <c r="C461" t="s">
        <v>22</v>
      </c>
      <c r="D461" s="4">
        <v>45687</v>
      </c>
      <c r="E461" s="6">
        <v>84.55</v>
      </c>
      <c r="F461" s="7">
        <f t="shared" si="2386"/>
        <v>23.922023540063378</v>
      </c>
      <c r="G461" s="9">
        <v>0.14499999999999999</v>
      </c>
      <c r="H461" s="6">
        <f t="shared" si="2387"/>
        <v>72.29025</v>
      </c>
      <c r="I461" s="6">
        <f t="shared" si="2388"/>
        <v>23.033249999999995</v>
      </c>
      <c r="J461">
        <v>3.6</v>
      </c>
      <c r="K461" s="5">
        <v>6.5000000000000002E-2</v>
      </c>
      <c r="L461" s="17">
        <v>2076</v>
      </c>
      <c r="M461" s="5">
        <v>0.54</v>
      </c>
      <c r="N461" s="6">
        <f t="shared" si="2389"/>
        <v>12.259749999999999</v>
      </c>
      <c r="O461" s="21">
        <f t="shared" si="2390"/>
        <v>45.657000000000004</v>
      </c>
      <c r="P461" s="8">
        <f t="shared" si="2381"/>
        <v>46.286007142857144</v>
      </c>
      <c r="Q461" s="8">
        <f t="shared" si="2391"/>
        <v>61.516750000000002</v>
      </c>
      <c r="R461" s="6">
        <f t="shared" si="2392"/>
        <v>23.033249999999995</v>
      </c>
      <c r="S461" s="6">
        <f t="shared" si="2393"/>
        <v>5.4957500000000001</v>
      </c>
      <c r="T461" s="6">
        <f t="shared" si="2394"/>
        <v>0.93305000000000859</v>
      </c>
      <c r="U461" s="6">
        <f t="shared" si="2395"/>
        <v>-0.42014999999999958</v>
      </c>
      <c r="V461" s="6">
        <f t="shared" si="2396"/>
        <v>-0.54999999999999716</v>
      </c>
      <c r="W461" s="9">
        <f>Tabla1[[#This Row],[Protein]]/Tabla1[[#This Row],[Peso (Kg)]]</f>
        <v>0.27242164399763447</v>
      </c>
      <c r="X461" s="9">
        <f t="shared" si="2382"/>
        <v>0.26710366990051509</v>
      </c>
      <c r="Y461" s="6">
        <f t="shared" si="2397"/>
        <v>38.892999999999994</v>
      </c>
      <c r="Z461" s="6">
        <f t="shared" si="2383"/>
        <v>84.771428571428572</v>
      </c>
      <c r="AA461" s="6">
        <f t="shared" ref="AA461" si="2405">AVERAGE(N455:N461)</f>
        <v>12.244149999999999</v>
      </c>
      <c r="AB461" s="6">
        <f t="shared" ref="AB461" si="2406">AVERAGE(R455:R461)</f>
        <v>22.641271428571422</v>
      </c>
      <c r="AC461" s="6">
        <f t="shared" si="2400"/>
        <v>4.747064174375204E-2</v>
      </c>
      <c r="AD461" s="42">
        <f>Tabla1[[#This Row],[Avg Agua)]]/Tabla1[[#This Row],[Avg Musculo]]</f>
        <v>2.0443201385081236</v>
      </c>
    </row>
    <row r="462" spans="1:31" x14ac:dyDescent="0.3">
      <c r="A462" t="s">
        <v>120</v>
      </c>
      <c r="B462">
        <v>5</v>
      </c>
      <c r="C462" t="s">
        <v>20</v>
      </c>
      <c r="D462" s="4">
        <v>45688</v>
      </c>
      <c r="E462" s="6">
        <v>84.4</v>
      </c>
      <c r="F462" s="7">
        <f t="shared" si="2386"/>
        <v>23.879583521955638</v>
      </c>
      <c r="G462" s="9">
        <v>0.13800000000000001</v>
      </c>
      <c r="H462" s="6">
        <f t="shared" si="2387"/>
        <v>72.752800000000008</v>
      </c>
      <c r="I462" s="6">
        <f t="shared" si="2388"/>
        <v>23.576799999999999</v>
      </c>
      <c r="J462">
        <v>3.6</v>
      </c>
      <c r="K462" s="5">
        <v>6.5000000000000002E-2</v>
      </c>
      <c r="L462" s="17">
        <v>2089</v>
      </c>
      <c r="M462" s="5">
        <v>0.54</v>
      </c>
      <c r="N462" s="6">
        <f t="shared" si="2389"/>
        <v>11.647200000000002</v>
      </c>
      <c r="O462" s="21">
        <f t="shared" si="2390"/>
        <v>45.576000000000008</v>
      </c>
      <c r="P462" s="8">
        <f t="shared" si="2381"/>
        <v>46.210578571428577</v>
      </c>
      <c r="Q462" s="8">
        <f t="shared" si="2391"/>
        <v>60.823200000000007</v>
      </c>
      <c r="R462" s="6">
        <f t="shared" si="2392"/>
        <v>23.576799999999999</v>
      </c>
      <c r="S462" s="6">
        <f t="shared" si="2393"/>
        <v>5.4860000000000007</v>
      </c>
      <c r="T462" s="6">
        <f t="shared" si="2394"/>
        <v>0.54355000000000331</v>
      </c>
      <c r="U462" s="6">
        <f t="shared" si="2395"/>
        <v>-0.61254999999999704</v>
      </c>
      <c r="V462" s="6">
        <f t="shared" si="2396"/>
        <v>-0.14999999999999147</v>
      </c>
      <c r="W462" s="9">
        <f>Tabla1[[#This Row],[Protein]]/Tabla1[[#This Row],[Peso (Kg)]]</f>
        <v>0.279345971563981</v>
      </c>
      <c r="X462" s="9">
        <f t="shared" si="2382"/>
        <v>0.26822136242482586</v>
      </c>
      <c r="Y462" s="6">
        <f t="shared" si="2397"/>
        <v>38.824000000000005</v>
      </c>
      <c r="Z462" s="6">
        <f t="shared" si="2383"/>
        <v>84.721428571428575</v>
      </c>
      <c r="AA462" s="6">
        <f t="shared" ref="AA462" si="2407">AVERAGE(N456:N462)</f>
        <v>12.188821428571428</v>
      </c>
      <c r="AB462" s="6">
        <f t="shared" ref="AB462" si="2408">AVERAGE(R456:R462)</f>
        <v>22.722028571428559</v>
      </c>
      <c r="AC462" s="6">
        <f t="shared" si="2400"/>
        <v>0.35668113035043358</v>
      </c>
      <c r="AD462" s="42">
        <f>Tabla1[[#This Row],[Avg Agua)]]/Tabla1[[#This Row],[Avg Musculo]]</f>
        <v>2.0337347269044153</v>
      </c>
    </row>
    <row r="463" spans="1:31" x14ac:dyDescent="0.3">
      <c r="A463" t="s">
        <v>120</v>
      </c>
      <c r="B463">
        <v>5</v>
      </c>
      <c r="C463" t="s">
        <v>121</v>
      </c>
      <c r="D463" s="4">
        <v>45689</v>
      </c>
      <c r="E463" s="6">
        <v>84.8</v>
      </c>
      <c r="F463" s="7">
        <f t="shared" si="2386"/>
        <v>23.992756903576279</v>
      </c>
      <c r="G463" s="9">
        <v>0.14299999999999999</v>
      </c>
      <c r="H463" s="6">
        <f t="shared" si="2387"/>
        <v>72.673599999999993</v>
      </c>
      <c r="I463" s="6">
        <f t="shared" si="2388"/>
        <v>23.196799999999989</v>
      </c>
      <c r="J463">
        <v>3.6</v>
      </c>
      <c r="K463" s="5">
        <v>6.5000000000000002E-2</v>
      </c>
      <c r="L463" s="17">
        <v>2088</v>
      </c>
      <c r="M463" s="5">
        <v>0.54100000000000004</v>
      </c>
      <c r="N463" s="6">
        <f t="shared" si="2389"/>
        <v>12.126399999999999</v>
      </c>
      <c r="O463" s="21">
        <f t="shared" si="2390"/>
        <v>45.876800000000003</v>
      </c>
      <c r="P463" s="8">
        <f t="shared" si="2381"/>
        <v>46.189371428571427</v>
      </c>
      <c r="Q463" s="8">
        <f t="shared" si="2391"/>
        <v>61.603200000000008</v>
      </c>
      <c r="R463" s="6">
        <f t="shared" si="2392"/>
        <v>23.196799999999989</v>
      </c>
      <c r="S463" s="6">
        <f t="shared" si="2393"/>
        <v>5.5119999999999996</v>
      </c>
      <c r="T463" s="6">
        <f t="shared" si="2394"/>
        <v>-0.38000000000000966</v>
      </c>
      <c r="U463" s="6">
        <f t="shared" si="2395"/>
        <v>0.47919999999999696</v>
      </c>
      <c r="V463" s="6">
        <f t="shared" si="2396"/>
        <v>0.39999999999999147</v>
      </c>
      <c r="W463" s="9">
        <f>Tabla1[[#This Row],[Protein]]/Tabla1[[#This Row],[Peso (Kg)]]</f>
        <v>0.27354716981132066</v>
      </c>
      <c r="X463" s="9">
        <f t="shared" si="2382"/>
        <v>0.2688179258868339</v>
      </c>
      <c r="Y463" s="6">
        <f t="shared" si="2397"/>
        <v>38.923199999999987</v>
      </c>
      <c r="Z463" s="6">
        <f t="shared" si="2383"/>
        <v>84.771428571428572</v>
      </c>
      <c r="AA463" s="6">
        <f t="shared" ref="AA463" si="2409">AVERAGE(N457:N463)</f>
        <v>12.195971428571427</v>
      </c>
      <c r="AB463" s="6">
        <f t="shared" ref="AB463" si="2410">AVERAGE(R457:R463)</f>
        <v>22.786085714285708</v>
      </c>
      <c r="AC463" s="6">
        <f t="shared" si="2400"/>
        <v>0.28191647878523796</v>
      </c>
      <c r="AD463" s="42">
        <f>Tabla1[[#This Row],[Avg Agua)]]/Tabla1[[#This Row],[Avg Musculo]]</f>
        <v>2.0270867057966457</v>
      </c>
      <c r="AE463" t="s">
        <v>132</v>
      </c>
    </row>
    <row r="464" spans="1:31" x14ac:dyDescent="0.3">
      <c r="A464" t="s">
        <v>120</v>
      </c>
      <c r="B464">
        <v>5</v>
      </c>
      <c r="C464" t="s">
        <v>26</v>
      </c>
      <c r="D464" s="4">
        <v>45690</v>
      </c>
      <c r="E464" s="6">
        <v>84.7</v>
      </c>
      <c r="F464" s="7">
        <f t="shared" ref="F464:F469" si="2411">E464/(1.88^2)</f>
        <v>23.964463558171122</v>
      </c>
      <c r="G464" s="9">
        <v>0.14699999999999999</v>
      </c>
      <c r="H464" s="6">
        <f t="shared" ref="H464:H469" si="2412">E464-N464</f>
        <v>72.249099999999999</v>
      </c>
      <c r="I464" s="6">
        <f t="shared" ref="I464:I469" si="2413">E464-N464-O464-J464</f>
        <v>22.487599999999993</v>
      </c>
      <c r="J464">
        <v>3.6</v>
      </c>
      <c r="K464" s="5">
        <v>6.5000000000000002E-2</v>
      </c>
      <c r="L464" s="17">
        <v>2077</v>
      </c>
      <c r="M464" s="5">
        <v>0.54500000000000004</v>
      </c>
      <c r="N464" s="6">
        <f t="shared" ref="N464:N469" si="2414">E464*G464</f>
        <v>12.450899999999999</v>
      </c>
      <c r="O464" s="21">
        <f t="shared" ref="O464:O469" si="2415">M464*E464</f>
        <v>46.161500000000004</v>
      </c>
      <c r="P464" s="8">
        <f t="shared" si="2381"/>
        <v>46.220514285714287</v>
      </c>
      <c r="Q464" s="8">
        <f t="shared" ref="Q464:Q469" si="2416">E464-R464</f>
        <v>62.212400000000009</v>
      </c>
      <c r="R464" s="6">
        <f t="shared" ref="R464:R469" si="2417">I464</f>
        <v>22.487599999999993</v>
      </c>
      <c r="S464" s="6">
        <f t="shared" ref="S464:S469" si="2418">K464*E464</f>
        <v>5.5055000000000005</v>
      </c>
      <c r="T464" s="6">
        <f t="shared" ref="T464:T469" si="2419">I464-I463</f>
        <v>-0.70919999999999561</v>
      </c>
      <c r="U464" s="6">
        <f t="shared" ref="U464:U469" si="2420">N464-N463</f>
        <v>0.32450000000000045</v>
      </c>
      <c r="V464" s="6">
        <f t="shared" ref="V464:V469" si="2421">E464-E463</f>
        <v>-9.9999999999994316E-2</v>
      </c>
      <c r="W464" s="9">
        <f>Tabla1[[#This Row],[Protein]]/Tabla1[[#This Row],[Peso (Kg)]]</f>
        <v>0.26549704840613925</v>
      </c>
      <c r="X464" s="9">
        <f t="shared" si="2382"/>
        <v>0.26784673656407088</v>
      </c>
      <c r="Y464" s="6">
        <f t="shared" ref="Y464:Y469" si="2422">R464+N464+J464</f>
        <v>38.538499999999992</v>
      </c>
      <c r="Z464" s="6">
        <f t="shared" si="2383"/>
        <v>84.828571428571422</v>
      </c>
      <c r="AA464" s="6">
        <f t="shared" ref="AA464" si="2423">AVERAGE(N458:N464)</f>
        <v>12.28867142857143</v>
      </c>
      <c r="AB464" s="6">
        <f t="shared" ref="AB464" si="2424">AVERAGE(R458:R464)</f>
        <v>22.719385714285711</v>
      </c>
      <c r="AC464" s="6">
        <f t="shared" ref="AC464:AC469" si="2425">100*(AB464/AB463-1)</f>
        <v>-0.29272250107520437</v>
      </c>
      <c r="AD464" s="42">
        <f>Tabla1[[#This Row],[Avg Agua)]]/Tabla1[[#This Row],[Avg Musculo]]</f>
        <v>2.0344086264907819</v>
      </c>
    </row>
    <row r="465" spans="1:31" x14ac:dyDescent="0.3">
      <c r="A465" t="s">
        <v>120</v>
      </c>
      <c r="B465">
        <v>6</v>
      </c>
      <c r="C465" t="s">
        <v>21</v>
      </c>
      <c r="D465" s="4">
        <v>45691</v>
      </c>
      <c r="E465" s="6">
        <v>84.65</v>
      </c>
      <c r="F465" s="7">
        <f t="shared" si="2411"/>
        <v>23.950316885468542</v>
      </c>
      <c r="G465" s="9">
        <v>0.14399999999999999</v>
      </c>
      <c r="H465" s="6">
        <f t="shared" si="2412"/>
        <v>72.460400000000007</v>
      </c>
      <c r="I465" s="6">
        <f t="shared" si="2413"/>
        <v>22.641500000000001</v>
      </c>
      <c r="J465">
        <v>3.6</v>
      </c>
      <c r="K465" s="5">
        <v>6.5000000000000002E-2</v>
      </c>
      <c r="L465" s="17">
        <v>2084</v>
      </c>
      <c r="M465" s="5">
        <v>0.54600000000000004</v>
      </c>
      <c r="N465" s="6">
        <f t="shared" si="2414"/>
        <v>12.1896</v>
      </c>
      <c r="O465" s="21">
        <f t="shared" si="2415"/>
        <v>46.218900000000005</v>
      </c>
      <c r="P465" s="8">
        <f t="shared" si="2381"/>
        <v>46.132857142857141</v>
      </c>
      <c r="Q465" s="8">
        <f t="shared" si="2416"/>
        <v>62.008500000000005</v>
      </c>
      <c r="R465" s="6">
        <f t="shared" si="2417"/>
        <v>22.641500000000001</v>
      </c>
      <c r="S465" s="6">
        <f t="shared" si="2418"/>
        <v>5.502250000000001</v>
      </c>
      <c r="T465" s="6">
        <f t="shared" si="2419"/>
        <v>0.15390000000000725</v>
      </c>
      <c r="U465" s="6">
        <f t="shared" si="2420"/>
        <v>-0.26129999999999853</v>
      </c>
      <c r="V465" s="6">
        <f t="shared" si="2421"/>
        <v>-4.9999999999997158E-2</v>
      </c>
      <c r="W465" s="9">
        <f>Tabla1[[#This Row],[Protein]]/Tabla1[[#This Row],[Peso (Kg)]]</f>
        <v>0.26747194329592439</v>
      </c>
      <c r="X465" s="9">
        <f t="shared" si="2382"/>
        <v>0.26881106165701268</v>
      </c>
      <c r="Y465" s="6">
        <f t="shared" si="2422"/>
        <v>38.431100000000001</v>
      </c>
      <c r="Z465" s="6">
        <f t="shared" si="2383"/>
        <v>84.757142857142853</v>
      </c>
      <c r="AA465" s="6">
        <f t="shared" ref="AA465" si="2426">AVERAGE(N459:N465)</f>
        <v>12.241892857142856</v>
      </c>
      <c r="AB465" s="6">
        <f t="shared" ref="AB465" si="2427">AVERAGE(R459:R465)</f>
        <v>22.782392857142849</v>
      </c>
      <c r="AC465" s="6">
        <f t="shared" si="2425"/>
        <v>0.27732766919625895</v>
      </c>
      <c r="AD465" s="42">
        <f>Tabla1[[#This Row],[Avg Agua)]]/Tabla1[[#This Row],[Avg Musculo]]</f>
        <v>2.0249346691602388</v>
      </c>
    </row>
    <row r="466" spans="1:31" x14ac:dyDescent="0.3">
      <c r="A466" t="s">
        <v>120</v>
      </c>
      <c r="B466">
        <v>6</v>
      </c>
      <c r="C466" t="s">
        <v>121</v>
      </c>
      <c r="D466" s="4">
        <v>45696</v>
      </c>
      <c r="E466" s="6">
        <v>84.5</v>
      </c>
      <c r="F466" s="7">
        <f t="shared" si="2411"/>
        <v>23.907876867360798</v>
      </c>
      <c r="G466" s="9">
        <v>0.14199999999999999</v>
      </c>
      <c r="H466" s="6">
        <f t="shared" si="2412"/>
        <v>72.501000000000005</v>
      </c>
      <c r="I466" s="6">
        <f t="shared" si="2413"/>
        <v>22.256999999999998</v>
      </c>
      <c r="J466">
        <v>3.6</v>
      </c>
      <c r="K466" s="5">
        <v>6.5000000000000002E-2</v>
      </c>
      <c r="L466" s="17">
        <v>2082</v>
      </c>
      <c r="M466" s="5">
        <v>0.55200000000000005</v>
      </c>
      <c r="N466" s="6">
        <f t="shared" si="2414"/>
        <v>11.998999999999999</v>
      </c>
      <c r="O466" s="21">
        <f t="shared" si="2415"/>
        <v>46.644000000000005</v>
      </c>
      <c r="P466" s="8">
        <f t="shared" si="2381"/>
        <v>46.122014285714286</v>
      </c>
      <c r="Q466" s="8">
        <f t="shared" si="2416"/>
        <v>62.243000000000002</v>
      </c>
      <c r="R466" s="6">
        <f t="shared" si="2417"/>
        <v>22.256999999999998</v>
      </c>
      <c r="S466" s="6">
        <f t="shared" si="2418"/>
        <v>5.4925000000000006</v>
      </c>
      <c r="T466" s="6">
        <f t="shared" si="2419"/>
        <v>-0.38450000000000273</v>
      </c>
      <c r="U466" s="6">
        <f t="shared" si="2420"/>
        <v>-0.19060000000000166</v>
      </c>
      <c r="V466" s="6">
        <f t="shared" si="2421"/>
        <v>-0.15000000000000568</v>
      </c>
      <c r="W466" s="9">
        <f>Tabla1[[#This Row],[Protein]]/Tabla1[[#This Row],[Peso (Kg)]]</f>
        <v>0.263396449704142</v>
      </c>
      <c r="X466" s="9">
        <f t="shared" si="2382"/>
        <v>0.26876815057731235</v>
      </c>
      <c r="Y466" s="6">
        <f t="shared" si="2422"/>
        <v>37.856000000000002</v>
      </c>
      <c r="Z466" s="6">
        <f t="shared" si="2383"/>
        <v>84.671428571428564</v>
      </c>
      <c r="AA466" s="6">
        <f t="shared" ref="AA466" si="2428">AVERAGE(N460:N466)</f>
        <v>12.193249999999997</v>
      </c>
      <c r="AB466" s="6">
        <f t="shared" ref="AB466" si="2429">AVERAGE(R460:R466)</f>
        <v>22.756164285714281</v>
      </c>
      <c r="AC466" s="6">
        <f t="shared" si="2425"/>
        <v>-0.11512649963081323</v>
      </c>
      <c r="AD466" s="42">
        <f>Tabla1[[#This Row],[Avg Agua)]]/Tabla1[[#This Row],[Avg Musculo]]</f>
        <v>2.0267921125296353</v>
      </c>
      <c r="AE466" t="s">
        <v>44</v>
      </c>
    </row>
    <row r="467" spans="1:31" x14ac:dyDescent="0.3">
      <c r="A467" t="s">
        <v>120</v>
      </c>
      <c r="B467">
        <v>6</v>
      </c>
      <c r="C467" t="s">
        <v>26</v>
      </c>
      <c r="D467" s="4">
        <v>45697</v>
      </c>
      <c r="E467" s="6">
        <v>84.9</v>
      </c>
      <c r="F467" s="7">
        <f t="shared" si="2411"/>
        <v>24.021050248981442</v>
      </c>
      <c r="G467" s="9">
        <v>0.14499999999999999</v>
      </c>
      <c r="H467" s="6">
        <f t="shared" si="2412"/>
        <v>72.589500000000001</v>
      </c>
      <c r="I467" s="6">
        <f t="shared" si="2413"/>
        <v>22.294499999999992</v>
      </c>
      <c r="J467">
        <v>3.6</v>
      </c>
      <c r="K467" s="5">
        <v>6.5000000000000002E-2</v>
      </c>
      <c r="L467" s="17">
        <v>2087</v>
      </c>
      <c r="M467" s="5">
        <v>0.55000000000000004</v>
      </c>
      <c r="N467" s="6">
        <f t="shared" si="2414"/>
        <v>12.310499999999999</v>
      </c>
      <c r="O467" s="21">
        <f t="shared" si="2415"/>
        <v>46.695000000000007</v>
      </c>
      <c r="P467" s="8">
        <f t="shared" si="2381"/>
        <v>46.118457142857146</v>
      </c>
      <c r="Q467" s="8">
        <f t="shared" si="2416"/>
        <v>62.605500000000013</v>
      </c>
      <c r="R467" s="6">
        <f t="shared" si="2417"/>
        <v>22.294499999999992</v>
      </c>
      <c r="S467" s="6">
        <f t="shared" si="2418"/>
        <v>5.5185000000000004</v>
      </c>
      <c r="T467" s="6">
        <f t="shared" si="2419"/>
        <v>3.7499999999994316E-2</v>
      </c>
      <c r="U467" s="6">
        <f t="shared" si="2420"/>
        <v>0.31150000000000055</v>
      </c>
      <c r="V467" s="6">
        <f t="shared" si="2421"/>
        <v>0.40000000000000568</v>
      </c>
      <c r="W467" s="9">
        <f>Tabla1[[#This Row],[Protein]]/Tabla1[[#This Row],[Peso (Kg)]]</f>
        <v>0.26259717314487624</v>
      </c>
      <c r="X467" s="9">
        <f t="shared" si="2382"/>
        <v>0.26918248570343112</v>
      </c>
      <c r="Y467" s="6">
        <f t="shared" si="2422"/>
        <v>38.204999999999991</v>
      </c>
      <c r="Z467" s="6">
        <f t="shared" ref="Z467" si="2430">AVERAGE(E461:E467)</f>
        <v>84.642857142857139</v>
      </c>
      <c r="AA467" s="6">
        <f t="shared" ref="AA467" si="2431">AVERAGE(N461:N467)</f>
        <v>12.140478571428572</v>
      </c>
      <c r="AB467" s="6">
        <f t="shared" ref="AB467" si="2432">AVERAGE(R461:R467)</f>
        <v>22.783921428571428</v>
      </c>
      <c r="AC467" s="6">
        <f t="shared" si="2425"/>
        <v>0.1219763687264841</v>
      </c>
      <c r="AD467" s="42">
        <f>Tabla1[[#This Row],[Avg Agua)]]/Tabla1[[#This Row],[Avg Musculo]]</f>
        <v>2.0241667918071298</v>
      </c>
      <c r="AE467" t="s">
        <v>133</v>
      </c>
    </row>
    <row r="468" spans="1:31" x14ac:dyDescent="0.3">
      <c r="A468" t="s">
        <v>120</v>
      </c>
      <c r="B468">
        <v>7</v>
      </c>
      <c r="C468" t="s">
        <v>21</v>
      </c>
      <c r="D468" s="4">
        <v>45698</v>
      </c>
      <c r="E468" s="6">
        <v>85.15</v>
      </c>
      <c r="F468" s="7">
        <f t="shared" si="2411"/>
        <v>24.091783612494346</v>
      </c>
      <c r="G468" s="9">
        <v>0.14599999999999999</v>
      </c>
      <c r="H468" s="6">
        <f t="shared" si="2412"/>
        <v>72.718100000000007</v>
      </c>
      <c r="I468" s="6">
        <f t="shared" si="2413"/>
        <v>22.285599999999995</v>
      </c>
      <c r="J468">
        <v>3.6</v>
      </c>
      <c r="K468" s="5">
        <v>6.5000000000000002E-2</v>
      </c>
      <c r="L468" s="17">
        <v>2091</v>
      </c>
      <c r="M468" s="5">
        <v>0.55000000000000004</v>
      </c>
      <c r="N468" s="6">
        <f t="shared" si="2414"/>
        <v>12.431900000000001</v>
      </c>
      <c r="O468" s="21">
        <f t="shared" si="2415"/>
        <v>46.83250000000001</v>
      </c>
      <c r="P468" s="8">
        <f t="shared" si="2381"/>
        <v>46.286385714285721</v>
      </c>
      <c r="Q468" s="8">
        <f t="shared" si="2416"/>
        <v>62.86440000000001</v>
      </c>
      <c r="R468" s="6">
        <f t="shared" si="2417"/>
        <v>22.285599999999995</v>
      </c>
      <c r="S468" s="6">
        <f t="shared" si="2418"/>
        <v>5.5347500000000007</v>
      </c>
      <c r="T468" s="6">
        <f t="shared" si="2419"/>
        <v>-8.8999999999970214E-3</v>
      </c>
      <c r="U468" s="6">
        <f t="shared" si="2420"/>
        <v>0.12140000000000128</v>
      </c>
      <c r="V468" s="6">
        <f t="shared" si="2421"/>
        <v>0.25</v>
      </c>
      <c r="W468" s="9">
        <f>Tabla1[[#This Row],[Protein]]/Tabla1[[#This Row],[Peso (Kg)]]</f>
        <v>0.26172166764533167</v>
      </c>
      <c r="X468" s="9">
        <f t="shared" si="2382"/>
        <v>0.26765391765310215</v>
      </c>
      <c r="Y468" s="6">
        <f t="shared" si="2422"/>
        <v>38.317499999999995</v>
      </c>
      <c r="Z468" s="6">
        <f t="shared" ref="Z468" si="2433">AVERAGE(E462:E468)</f>
        <v>84.728571428571414</v>
      </c>
      <c r="AA468" s="6">
        <f t="shared" ref="AA468" si="2434">AVERAGE(N462:N468)</f>
        <v>12.165071428571428</v>
      </c>
      <c r="AB468" s="6">
        <f t="shared" ref="AB468" si="2435">AVERAGE(R462:R468)</f>
        <v>22.677114285714282</v>
      </c>
      <c r="AC468" s="6">
        <f t="shared" si="2425"/>
        <v>-0.46878296693565469</v>
      </c>
      <c r="AD468" s="42">
        <f>Tabla1[[#This Row],[Avg Agua)]]/Tabla1[[#This Row],[Avg Musculo]]</f>
        <v>2.0411056332438373</v>
      </c>
    </row>
    <row r="469" spans="1:31" x14ac:dyDescent="0.3">
      <c r="A469" t="s">
        <v>120</v>
      </c>
      <c r="B469">
        <v>7</v>
      </c>
      <c r="C469" t="s">
        <v>23</v>
      </c>
      <c r="D469" s="4">
        <v>45699</v>
      </c>
      <c r="E469" s="6">
        <v>85.35</v>
      </c>
      <c r="F469" s="7">
        <f t="shared" si="2411"/>
        <v>24.148370303304663</v>
      </c>
      <c r="G469" s="9">
        <v>0.14599999999999999</v>
      </c>
      <c r="H469" s="6">
        <f t="shared" si="2412"/>
        <v>72.888899999999992</v>
      </c>
      <c r="I469" s="6">
        <f t="shared" si="2413"/>
        <v>22.431749999999994</v>
      </c>
      <c r="J469">
        <v>3.6</v>
      </c>
      <c r="K469" s="5">
        <v>6.5000000000000002E-2</v>
      </c>
      <c r="L469" s="17">
        <v>2097</v>
      </c>
      <c r="M469" s="5">
        <v>0.54900000000000004</v>
      </c>
      <c r="N469" s="6">
        <f t="shared" si="2414"/>
        <v>12.461099999999998</v>
      </c>
      <c r="O469" s="21">
        <f t="shared" si="2415"/>
        <v>46.857149999999997</v>
      </c>
      <c r="P469" s="8">
        <f t="shared" si="2381"/>
        <v>46.46940714285715</v>
      </c>
      <c r="Q469" s="8">
        <f t="shared" si="2416"/>
        <v>62.91825</v>
      </c>
      <c r="R469" s="6">
        <f t="shared" si="2417"/>
        <v>22.431749999999994</v>
      </c>
      <c r="S469" s="6">
        <f t="shared" si="2418"/>
        <v>5.5477499999999997</v>
      </c>
      <c r="T469" s="6">
        <f t="shared" si="2419"/>
        <v>0.14614999999999867</v>
      </c>
      <c r="U469" s="6">
        <f t="shared" si="2420"/>
        <v>2.9199999999997672E-2</v>
      </c>
      <c r="V469" s="6">
        <f t="shared" si="2421"/>
        <v>0.19999999999998863</v>
      </c>
      <c r="W469" s="9">
        <f>Tabla1[[#This Row],[Protein]]/Tabla1[[#This Row],[Peso (Kg)]]</f>
        <v>0.26282073813708257</v>
      </c>
      <c r="X469" s="9">
        <f t="shared" si="2382"/>
        <v>0.26529317002068808</v>
      </c>
      <c r="Y469" s="6">
        <f t="shared" si="2422"/>
        <v>38.492849999999997</v>
      </c>
      <c r="Z469" s="6">
        <f t="shared" ref="Z469" si="2436">AVERAGE(E463:E469)</f>
        <v>84.864285714285714</v>
      </c>
      <c r="AA469" s="6">
        <f t="shared" ref="AA469" si="2437">AVERAGE(N463:N469)</f>
        <v>12.281342857142858</v>
      </c>
      <c r="AB469" s="6">
        <f t="shared" ref="AB469" si="2438">AVERAGE(R463:R469)</f>
        <v>22.513535714285712</v>
      </c>
      <c r="AC469" s="6">
        <f t="shared" si="2425"/>
        <v>-0.72133768594895287</v>
      </c>
      <c r="AD469" s="42">
        <f>Tabla1[[#This Row],[Avg Agua)]]/Tabla1[[#This Row],[Avg Musculo]]</f>
        <v>2.0640652686717043</v>
      </c>
    </row>
    <row r="470" spans="1:31" x14ac:dyDescent="0.3">
      <c r="A470" t="s">
        <v>120</v>
      </c>
      <c r="B470">
        <v>7</v>
      </c>
      <c r="C470" t="s">
        <v>24</v>
      </c>
      <c r="D470" s="4">
        <v>45700</v>
      </c>
      <c r="E470" s="6">
        <v>84.25</v>
      </c>
      <c r="F470" s="7">
        <f t="shared" ref="F470:F475" si="2439">E470/(1.88^2)</f>
        <v>23.837143503847898</v>
      </c>
      <c r="G470" s="9">
        <v>0.14099999999999999</v>
      </c>
      <c r="H470" s="6">
        <f t="shared" ref="H470:H475" si="2440">E470-N470</f>
        <v>72.370750000000001</v>
      </c>
      <c r="I470" s="6">
        <f t="shared" ref="I470:I475" si="2441">E470-N470-O470-J470</f>
        <v>22.770249999999997</v>
      </c>
      <c r="J470">
        <v>3.6</v>
      </c>
      <c r="K470" s="5">
        <v>6.5000000000000002E-2</v>
      </c>
      <c r="L470" s="17">
        <v>2080</v>
      </c>
      <c r="M470" s="5">
        <v>0.54600000000000004</v>
      </c>
      <c r="N470" s="6">
        <f t="shared" ref="N470:N475" si="2442">E470*G470</f>
        <v>11.879249999999999</v>
      </c>
      <c r="O470" s="21">
        <f t="shared" ref="O470:O475" si="2443">M470*E470</f>
        <v>46.000500000000002</v>
      </c>
      <c r="P470" s="8">
        <f t="shared" si="2381"/>
        <v>46.487078571428576</v>
      </c>
      <c r="Q470" s="8">
        <f t="shared" ref="Q470:Q475" si="2444">E470-R470</f>
        <v>61.479750000000003</v>
      </c>
      <c r="R470" s="6">
        <f t="shared" ref="R470:R475" si="2445">I470</f>
        <v>22.770249999999997</v>
      </c>
      <c r="S470" s="6">
        <f t="shared" ref="S470:S475" si="2446">K470*E470</f>
        <v>5.4762500000000003</v>
      </c>
      <c r="T470" s="6">
        <f t="shared" ref="T470:T475" si="2447">I470-I469</f>
        <v>0.33850000000000335</v>
      </c>
      <c r="U470" s="6">
        <f t="shared" ref="U470:U475" si="2448">N470-N469</f>
        <v>-0.58184999999999931</v>
      </c>
      <c r="V470" s="6">
        <f t="shared" ref="V470:V475" si="2449">E470-E469</f>
        <v>-1.0999999999999943</v>
      </c>
      <c r="W470" s="9">
        <f>Tabla1[[#This Row],[Protein]]/Tabla1[[#This Row],[Peso (Kg)]]</f>
        <v>0.27027002967359048</v>
      </c>
      <c r="X470" s="9">
        <f t="shared" si="2382"/>
        <v>0.26482500714386953</v>
      </c>
      <c r="Y470" s="6">
        <f t="shared" ref="Y470:Y475" si="2450">R470+N470+J470</f>
        <v>38.249499999999998</v>
      </c>
      <c r="Z470" s="6">
        <f t="shared" ref="Z470" si="2451">AVERAGE(E464:E470)</f>
        <v>84.785714285714292</v>
      </c>
      <c r="AA470" s="6">
        <f t="shared" ref="AA470" si="2452">AVERAGE(N464:N470)</f>
        <v>12.246035714285712</v>
      </c>
      <c r="AB470" s="6">
        <f t="shared" ref="AB470" si="2453">AVERAGE(R464:R470)</f>
        <v>22.452599999999997</v>
      </c>
      <c r="AC470" s="6">
        <f t="shared" ref="AC470:AC475" si="2454">100*(AB470/AB469-1)</f>
        <v>-0.27066256966048474</v>
      </c>
      <c r="AD470" s="42">
        <f>Tabla1[[#This Row],[Avg Agua)]]/Tabla1[[#This Row],[Avg Musculo]]</f>
        <v>2.070454137669071</v>
      </c>
    </row>
    <row r="471" spans="1:31" x14ac:dyDescent="0.3">
      <c r="A471" t="s">
        <v>120</v>
      </c>
      <c r="B471">
        <v>7</v>
      </c>
      <c r="C471" t="s">
        <v>22</v>
      </c>
      <c r="D471" s="4">
        <v>45701</v>
      </c>
      <c r="E471" s="6">
        <v>85</v>
      </c>
      <c r="F471" s="7">
        <f t="shared" si="2439"/>
        <v>24.049343594386603</v>
      </c>
      <c r="G471" s="9">
        <v>0.14899999999999999</v>
      </c>
      <c r="H471" s="6">
        <f t="shared" si="2440"/>
        <v>72.335000000000008</v>
      </c>
      <c r="I471" s="6">
        <f t="shared" si="2441"/>
        <v>22.410000000000004</v>
      </c>
      <c r="J471">
        <v>3.6</v>
      </c>
      <c r="K471" s="5">
        <v>6.5000000000000002E-2</v>
      </c>
      <c r="L471" s="17">
        <v>2081</v>
      </c>
      <c r="M471" s="5">
        <v>0.54500000000000004</v>
      </c>
      <c r="N471" s="6">
        <f t="shared" si="2442"/>
        <v>12.664999999999999</v>
      </c>
      <c r="O471" s="21">
        <f t="shared" si="2443"/>
        <v>46.325000000000003</v>
      </c>
      <c r="P471" s="8">
        <f t="shared" si="2381"/>
        <v>46.51043571428572</v>
      </c>
      <c r="Q471" s="8">
        <f t="shared" si="2444"/>
        <v>62.589999999999996</v>
      </c>
      <c r="R471" s="6">
        <f t="shared" si="2445"/>
        <v>22.410000000000004</v>
      </c>
      <c r="S471" s="6">
        <f t="shared" si="2446"/>
        <v>5.5250000000000004</v>
      </c>
      <c r="T471" s="6">
        <f t="shared" si="2447"/>
        <v>-0.36024999999999352</v>
      </c>
      <c r="U471" s="6">
        <f t="shared" si="2448"/>
        <v>0.78575000000000017</v>
      </c>
      <c r="V471" s="6">
        <f t="shared" si="2449"/>
        <v>0.75</v>
      </c>
      <c r="W471" s="9">
        <f>Tabla1[[#This Row],[Protein]]/Tabla1[[#This Row],[Peso (Kg)]]</f>
        <v>0.26364705882352946</v>
      </c>
      <c r="X471" s="9">
        <f t="shared" si="2382"/>
        <v>0.26456072291778243</v>
      </c>
      <c r="Y471" s="6">
        <f t="shared" si="2450"/>
        <v>38.675000000000004</v>
      </c>
      <c r="Z471" s="6">
        <f t="shared" ref="Z471" si="2455">AVERAGE(E465:E471)</f>
        <v>84.828571428571436</v>
      </c>
      <c r="AA471" s="6">
        <f t="shared" ref="AA471" si="2456">AVERAGE(N465:N471)</f>
        <v>12.276621428571429</v>
      </c>
      <c r="AB471" s="6">
        <f t="shared" ref="AB471" si="2457">AVERAGE(R465:R471)</f>
        <v>22.44151428571428</v>
      </c>
      <c r="AC471" s="6">
        <f t="shared" si="2454"/>
        <v>-4.9373855525491894E-2</v>
      </c>
      <c r="AD471" s="42">
        <f>Tabla1[[#This Row],[Avg Agua)]]/Tabla1[[#This Row],[Avg Musculo]]</f>
        <v>2.07251770634271</v>
      </c>
    </row>
    <row r="472" spans="1:31" x14ac:dyDescent="0.3">
      <c r="A472" t="s">
        <v>120</v>
      </c>
      <c r="B472">
        <v>7</v>
      </c>
      <c r="C472" t="s">
        <v>20</v>
      </c>
      <c r="D472" s="4">
        <v>45702</v>
      </c>
      <c r="E472" s="6">
        <v>84.7</v>
      </c>
      <c r="F472" s="7">
        <f t="shared" si="2439"/>
        <v>23.964463558171122</v>
      </c>
      <c r="G472" s="9">
        <v>0.14799999999999999</v>
      </c>
      <c r="H472" s="6">
        <f t="shared" si="2440"/>
        <v>72.164400000000001</v>
      </c>
      <c r="I472" s="6">
        <f t="shared" si="2441"/>
        <v>22.487599999999993</v>
      </c>
      <c r="J472">
        <v>3.6</v>
      </c>
      <c r="K472" s="5">
        <v>6.5000000000000002E-2</v>
      </c>
      <c r="L472" s="17">
        <v>2076</v>
      </c>
      <c r="M472" s="5">
        <v>0.54400000000000004</v>
      </c>
      <c r="N472" s="6">
        <f t="shared" si="2442"/>
        <v>12.535600000000001</v>
      </c>
      <c r="O472" s="21">
        <f t="shared" si="2443"/>
        <v>46.076800000000006</v>
      </c>
      <c r="P472" s="8">
        <f t="shared" si="2381"/>
        <v>46.490135714285714</v>
      </c>
      <c r="Q472" s="8">
        <f t="shared" si="2444"/>
        <v>62.212400000000009</v>
      </c>
      <c r="R472" s="6">
        <f t="shared" si="2445"/>
        <v>22.487599999999993</v>
      </c>
      <c r="S472" s="6">
        <f t="shared" si="2446"/>
        <v>5.5055000000000005</v>
      </c>
      <c r="T472" s="6">
        <f t="shared" si="2447"/>
        <v>7.7599999999989677E-2</v>
      </c>
      <c r="U472" s="6">
        <f t="shared" si="2448"/>
        <v>-0.12939999999999863</v>
      </c>
      <c r="V472" s="6">
        <f t="shared" si="2449"/>
        <v>-0.29999999999999716</v>
      </c>
      <c r="W472" s="9">
        <f>Tabla1[[#This Row],[Protein]]/Tabla1[[#This Row],[Peso (Kg)]]</f>
        <v>0.26549704840613925</v>
      </c>
      <c r="X472" s="9">
        <f t="shared" si="2382"/>
        <v>0.26427859507638451</v>
      </c>
      <c r="Y472" s="6">
        <f t="shared" si="2450"/>
        <v>38.623199999999997</v>
      </c>
      <c r="Z472" s="6">
        <f t="shared" ref="Z472" si="2458">AVERAGE(E466:E472)</f>
        <v>84.835714285714289</v>
      </c>
      <c r="AA472" s="6">
        <f t="shared" ref="AA472" si="2459">AVERAGE(N466:N472)</f>
        <v>12.326049999999999</v>
      </c>
      <c r="AB472" s="6">
        <f t="shared" ref="AB472" si="2460">AVERAGE(R466:R472)</f>
        <v>22.419528571428568</v>
      </c>
      <c r="AC472" s="6">
        <f t="shared" si="2454"/>
        <v>-9.796894276296042E-2</v>
      </c>
      <c r="AD472" s="42">
        <f>Tabla1[[#This Row],[Avg Agua)]]/Tabla1[[#This Row],[Avg Musculo]]</f>
        <v>2.0736446605542236</v>
      </c>
    </row>
    <row r="473" spans="1:31" x14ac:dyDescent="0.3">
      <c r="A473" t="s">
        <v>120</v>
      </c>
      <c r="B473">
        <v>7</v>
      </c>
      <c r="C473" t="s">
        <v>121</v>
      </c>
      <c r="D473" s="4">
        <v>45703</v>
      </c>
      <c r="E473" s="6">
        <v>84.45</v>
      </c>
      <c r="F473" s="7">
        <f t="shared" si="2439"/>
        <v>23.893730194658218</v>
      </c>
      <c r="G473" s="9">
        <v>0.14099999999999999</v>
      </c>
      <c r="H473" s="6">
        <f t="shared" si="2440"/>
        <v>72.542550000000006</v>
      </c>
      <c r="I473" s="6">
        <f t="shared" si="2441"/>
        <v>22.832850000000001</v>
      </c>
      <c r="J473">
        <v>3.6</v>
      </c>
      <c r="K473" s="5">
        <v>6.5000000000000002E-2</v>
      </c>
      <c r="L473" s="17">
        <v>2084</v>
      </c>
      <c r="M473" s="5">
        <v>0.54600000000000004</v>
      </c>
      <c r="N473" s="6">
        <f t="shared" si="2442"/>
        <v>11.907449999999999</v>
      </c>
      <c r="O473" s="21">
        <f t="shared" si="2443"/>
        <v>46.109700000000004</v>
      </c>
      <c r="P473" s="8">
        <f t="shared" si="2381"/>
        <v>46.413807142857145</v>
      </c>
      <c r="Q473" s="8">
        <f t="shared" si="2444"/>
        <v>61.617150000000002</v>
      </c>
      <c r="R473" s="6">
        <f t="shared" si="2445"/>
        <v>22.832850000000001</v>
      </c>
      <c r="S473" s="6">
        <f t="shared" si="2446"/>
        <v>5.4892500000000002</v>
      </c>
      <c r="T473" s="6">
        <f t="shared" si="2447"/>
        <v>0.34525000000000716</v>
      </c>
      <c r="U473" s="6">
        <f t="shared" si="2448"/>
        <v>-0.62815000000000154</v>
      </c>
      <c r="V473" s="6">
        <f t="shared" si="2449"/>
        <v>-0.25</v>
      </c>
      <c r="W473" s="9">
        <f>Tabla1[[#This Row],[Protein]]/Tabla1[[#This Row],[Peso (Kg)]]</f>
        <v>0.27037122557726467</v>
      </c>
      <c r="X473" s="9">
        <f t="shared" si="2382"/>
        <v>0.26527499162968776</v>
      </c>
      <c r="Y473" s="6">
        <f t="shared" si="2450"/>
        <v>38.340299999999999</v>
      </c>
      <c r="Z473" s="6">
        <f t="shared" ref="Z473" si="2461">AVERAGE(E467:E473)</f>
        <v>84.828571428571422</v>
      </c>
      <c r="AA473" s="6">
        <f t="shared" ref="AA473" si="2462">AVERAGE(N467:N473)</f>
        <v>12.312971428571428</v>
      </c>
      <c r="AB473" s="6">
        <f t="shared" ref="AB473" si="2463">AVERAGE(R467:R473)</f>
        <v>22.501792857142853</v>
      </c>
      <c r="AC473" s="6">
        <f t="shared" si="2454"/>
        <v>0.36693138061396624</v>
      </c>
      <c r="AD473" s="42">
        <f>Tabla1[[#This Row],[Avg Agua)]]/Tabla1[[#This Row],[Avg Musculo]]</f>
        <v>2.0626715141110985</v>
      </c>
    </row>
    <row r="474" spans="1:31" x14ac:dyDescent="0.3">
      <c r="A474" t="s">
        <v>120</v>
      </c>
      <c r="B474">
        <v>7</v>
      </c>
      <c r="C474" t="s">
        <v>26</v>
      </c>
      <c r="D474" s="4">
        <v>45704</v>
      </c>
      <c r="E474" s="6">
        <v>83.7</v>
      </c>
      <c r="F474" s="7">
        <f t="shared" si="2439"/>
        <v>23.681530104119513</v>
      </c>
      <c r="G474" s="9">
        <v>0.13800000000000001</v>
      </c>
      <c r="H474" s="6">
        <f t="shared" si="2440"/>
        <v>72.1494</v>
      </c>
      <c r="I474" s="6">
        <f t="shared" si="2441"/>
        <v>22.598099999999995</v>
      </c>
      <c r="J474">
        <v>3.6</v>
      </c>
      <c r="K474" s="5">
        <v>6.5000000000000002E-2</v>
      </c>
      <c r="L474" s="17">
        <v>2071</v>
      </c>
      <c r="M474" s="5">
        <v>0.54900000000000004</v>
      </c>
      <c r="N474" s="6">
        <f t="shared" si="2442"/>
        <v>11.550600000000001</v>
      </c>
      <c r="O474" s="21">
        <f t="shared" si="2443"/>
        <v>45.951300000000003</v>
      </c>
      <c r="P474" s="8">
        <f t="shared" si="2381"/>
        <v>46.307564285714285</v>
      </c>
      <c r="Q474" s="8">
        <f t="shared" si="2444"/>
        <v>61.101900000000008</v>
      </c>
      <c r="R474" s="6">
        <f t="shared" si="2445"/>
        <v>22.598099999999995</v>
      </c>
      <c r="S474" s="6">
        <f t="shared" si="2446"/>
        <v>5.4405000000000001</v>
      </c>
      <c r="T474" s="6">
        <f t="shared" si="2447"/>
        <v>-0.23475000000000534</v>
      </c>
      <c r="U474" s="6">
        <f t="shared" si="2448"/>
        <v>-0.35684999999999789</v>
      </c>
      <c r="V474" s="6">
        <f t="shared" si="2449"/>
        <v>-0.75</v>
      </c>
      <c r="W474" s="9">
        <f>Tabla1[[#This Row],[Protein]]/Tabla1[[#This Row],[Peso (Kg)]]</f>
        <v>0.26998924731182788</v>
      </c>
      <c r="X474" s="9">
        <f t="shared" si="2382"/>
        <v>0.26633100222496658</v>
      </c>
      <c r="Y474" s="6">
        <f t="shared" si="2450"/>
        <v>37.748699999999999</v>
      </c>
      <c r="Z474" s="6">
        <f t="shared" ref="Z474" si="2464">AVERAGE(E468:E474)</f>
        <v>84.657142857142858</v>
      </c>
      <c r="AA474" s="6">
        <f t="shared" ref="AA474" si="2465">AVERAGE(N468:N474)</f>
        <v>12.204414285714288</v>
      </c>
      <c r="AB474" s="6">
        <f t="shared" ref="AB474" si="2466">AVERAGE(R468:R474)</f>
        <v>22.545164285714282</v>
      </c>
      <c r="AC474" s="6">
        <f t="shared" si="2454"/>
        <v>0.19274654622758458</v>
      </c>
      <c r="AD474" s="42">
        <f>Tabla1[[#This Row],[Avg Agua)]]/Tabla1[[#This Row],[Avg Musculo]]</f>
        <v>2.0539909888816834</v>
      </c>
    </row>
    <row r="475" spans="1:31" x14ac:dyDescent="0.3">
      <c r="A475" t="s">
        <v>120</v>
      </c>
      <c r="B475">
        <v>8</v>
      </c>
      <c r="C475" t="s">
        <v>21</v>
      </c>
      <c r="D475" s="4">
        <v>45705</v>
      </c>
      <c r="E475" s="6">
        <v>84.35</v>
      </c>
      <c r="F475" s="7">
        <f t="shared" si="2439"/>
        <v>23.865436849253054</v>
      </c>
      <c r="G475" s="9">
        <v>0.14599999999999999</v>
      </c>
      <c r="H475" s="6">
        <f t="shared" si="2440"/>
        <v>72.034899999999993</v>
      </c>
      <c r="I475" s="6">
        <f t="shared" si="2441"/>
        <v>22.042399999999994</v>
      </c>
      <c r="J475">
        <v>3.6</v>
      </c>
      <c r="K475" s="5">
        <v>6.5000000000000002E-2</v>
      </c>
      <c r="L475" s="17">
        <v>2070</v>
      </c>
      <c r="M475" s="5">
        <v>0.55000000000000004</v>
      </c>
      <c r="N475" s="6">
        <f t="shared" si="2442"/>
        <v>12.315099999999999</v>
      </c>
      <c r="O475" s="21">
        <f t="shared" si="2443"/>
        <v>46.392499999999998</v>
      </c>
      <c r="P475" s="8">
        <f t="shared" si="2381"/>
        <v>46.244707142857145</v>
      </c>
      <c r="Q475" s="8">
        <f t="shared" si="2444"/>
        <v>62.307600000000001</v>
      </c>
      <c r="R475" s="6">
        <f t="shared" si="2445"/>
        <v>22.042399999999994</v>
      </c>
      <c r="S475" s="6">
        <f t="shared" si="2446"/>
        <v>5.4827500000000002</v>
      </c>
      <c r="T475" s="6">
        <f t="shared" si="2447"/>
        <v>-0.55570000000000164</v>
      </c>
      <c r="U475" s="6">
        <f t="shared" si="2448"/>
        <v>0.76449999999999818</v>
      </c>
      <c r="V475" s="6">
        <f t="shared" si="2449"/>
        <v>0.64999999999999147</v>
      </c>
      <c r="W475" s="9">
        <f>Tabla1[[#This Row],[Protein]]/Tabla1[[#This Row],[Peso (Kg)]]</f>
        <v>0.26132068761114396</v>
      </c>
      <c r="X475" s="9">
        <f t="shared" si="2382"/>
        <v>0.26627371936293975</v>
      </c>
      <c r="Y475" s="6">
        <f t="shared" si="2450"/>
        <v>37.957499999999996</v>
      </c>
      <c r="Z475" s="6">
        <f t="shared" ref="Z475" si="2467">AVERAGE(E469:E475)</f>
        <v>84.54285714285713</v>
      </c>
      <c r="AA475" s="6">
        <f t="shared" ref="AA475" si="2468">AVERAGE(N469:N475)</f>
        <v>12.18772857142857</v>
      </c>
      <c r="AB475" s="6">
        <f t="shared" ref="AB475" si="2469">AVERAGE(R469:R475)</f>
        <v>22.510421428571423</v>
      </c>
      <c r="AC475" s="6">
        <f t="shared" si="2454"/>
        <v>-0.15410336648056244</v>
      </c>
      <c r="AD475" s="42">
        <f>Tabla1[[#This Row],[Avg Agua)]]/Tabla1[[#This Row],[Avg Musculo]]</f>
        <v>2.0543687860130824</v>
      </c>
    </row>
    <row r="476" spans="1:31" x14ac:dyDescent="0.3">
      <c r="A476" t="s">
        <v>120</v>
      </c>
      <c r="B476">
        <v>8</v>
      </c>
      <c r="C476" t="s">
        <v>23</v>
      </c>
      <c r="D476" s="4">
        <v>45706</v>
      </c>
      <c r="E476" s="6">
        <v>83.25</v>
      </c>
      <c r="F476" s="7">
        <f t="shared" ref="F476:F481" si="2470">E476/(1.88^2)</f>
        <v>23.554210049796289</v>
      </c>
      <c r="G476" s="9">
        <v>0.13800000000000001</v>
      </c>
      <c r="H476" s="6">
        <f t="shared" ref="H476:H481" si="2471">E476-N476</f>
        <v>71.761499999999998</v>
      </c>
      <c r="I476" s="6">
        <f t="shared" ref="I476:I481" si="2472">E476-N476-O476-J476</f>
        <v>22.706999999999994</v>
      </c>
      <c r="J476">
        <v>3.6</v>
      </c>
      <c r="K476" s="5">
        <v>6.5000000000000002E-2</v>
      </c>
      <c r="L476" s="17">
        <v>2057</v>
      </c>
      <c r="M476" s="5">
        <v>0.54600000000000004</v>
      </c>
      <c r="N476" s="6">
        <f t="shared" ref="N476:N481" si="2473">E476*G476</f>
        <v>11.4885</v>
      </c>
      <c r="O476" s="21">
        <f t="shared" ref="O476:O481" si="2474">M476*E476</f>
        <v>45.454500000000003</v>
      </c>
      <c r="P476" s="8">
        <f t="shared" si="2381"/>
        <v>46.044328571428579</v>
      </c>
      <c r="Q476" s="8">
        <f t="shared" ref="Q476:Q481" si="2475">E476-R476</f>
        <v>60.543000000000006</v>
      </c>
      <c r="R476" s="6">
        <f t="shared" ref="R476:R481" si="2476">I476</f>
        <v>22.706999999999994</v>
      </c>
      <c r="S476" s="6">
        <f t="shared" ref="S476:S481" si="2477">K476*E476</f>
        <v>5.4112499999999999</v>
      </c>
      <c r="T476" s="6">
        <f t="shared" ref="T476:T481" si="2478">I476-I475</f>
        <v>0.66460000000000008</v>
      </c>
      <c r="U476" s="6">
        <f t="shared" ref="U476:U481" si="2479">N476-N475</f>
        <v>-0.82659999999999911</v>
      </c>
      <c r="V476" s="6">
        <f t="shared" ref="V476:V481" si="2480">E476-E475</f>
        <v>-1.0999999999999943</v>
      </c>
      <c r="W476" s="9">
        <f>Tabla1[[#This Row],[Protein]]/Tabla1[[#This Row],[Peso (Kg)]]</f>
        <v>0.2727567567567567</v>
      </c>
      <c r="X476" s="9">
        <f t="shared" si="2382"/>
        <v>0.2676931505943218</v>
      </c>
      <c r="Y476" s="6">
        <f t="shared" ref="Y476:Y481" si="2481">R476+N476+J476</f>
        <v>37.795499999999997</v>
      </c>
      <c r="Z476" s="6">
        <f t="shared" ref="Z476" si="2482">AVERAGE(E470:E476)</f>
        <v>84.242857142857133</v>
      </c>
      <c r="AA476" s="6">
        <f t="shared" ref="AA476" si="2483">AVERAGE(N470:N476)</f>
        <v>12.048785714285714</v>
      </c>
      <c r="AB476" s="6">
        <f t="shared" ref="AB476" si="2484">AVERAGE(R470:R476)</f>
        <v>22.549742857142853</v>
      </c>
      <c r="AC476" s="6">
        <f t="shared" ref="AC476:AC481" si="2485">100*(AB476/AB475-1)</f>
        <v>0.17468099696045236</v>
      </c>
      <c r="AD476" s="42">
        <f>Tabla1[[#This Row],[Avg Agua)]]/Tabla1[[#This Row],[Avg Musculo]]</f>
        <v>2.0419003827728166</v>
      </c>
    </row>
    <row r="477" spans="1:31" x14ac:dyDescent="0.3">
      <c r="A477" t="s">
        <v>120</v>
      </c>
      <c r="B477">
        <v>8</v>
      </c>
      <c r="C477" t="s">
        <v>24</v>
      </c>
      <c r="D477" s="4">
        <v>45707</v>
      </c>
      <c r="E477" s="6">
        <v>82.6</v>
      </c>
      <c r="F477" s="7">
        <f t="shared" si="2470"/>
        <v>23.370303304662745</v>
      </c>
      <c r="G477" s="9">
        <v>0.14199999999999999</v>
      </c>
      <c r="H477" s="6">
        <f t="shared" si="2471"/>
        <v>70.870800000000003</v>
      </c>
      <c r="I477" s="6">
        <f t="shared" si="2472"/>
        <v>22.849400000000003</v>
      </c>
      <c r="J477">
        <v>3.5</v>
      </c>
      <c r="K477" s="5">
        <v>6.5000000000000002E-2</v>
      </c>
      <c r="L477" s="17">
        <v>2032</v>
      </c>
      <c r="M477" s="5">
        <v>0.53900000000000003</v>
      </c>
      <c r="N477" s="6">
        <f t="shared" si="2473"/>
        <v>11.729199999999999</v>
      </c>
      <c r="O477" s="21">
        <f t="shared" si="2474"/>
        <v>44.5214</v>
      </c>
      <c r="P477" s="8">
        <f t="shared" si="2381"/>
        <v>45.833028571428564</v>
      </c>
      <c r="Q477" s="8">
        <f t="shared" si="2475"/>
        <v>59.750599999999991</v>
      </c>
      <c r="R477" s="6">
        <f t="shared" si="2476"/>
        <v>22.849400000000003</v>
      </c>
      <c r="S477" s="6">
        <f t="shared" si="2477"/>
        <v>5.3689999999999998</v>
      </c>
      <c r="T477" s="6">
        <f t="shared" si="2478"/>
        <v>0.14240000000000919</v>
      </c>
      <c r="U477" s="6">
        <f t="shared" si="2479"/>
        <v>0.24069999999999858</v>
      </c>
      <c r="V477" s="6">
        <f t="shared" si="2480"/>
        <v>-0.65000000000000568</v>
      </c>
      <c r="W477" s="9">
        <f>Tabla1[[#This Row],[Protein]]/Tabla1[[#This Row],[Peso (Kg)]]</f>
        <v>0.27662711864406786</v>
      </c>
      <c r="X477" s="9">
        <f t="shared" si="2382"/>
        <v>0.26860130616153283</v>
      </c>
      <c r="Y477" s="6">
        <f t="shared" si="2481"/>
        <v>38.078600000000002</v>
      </c>
      <c r="Z477" s="6">
        <f t="shared" ref="Z477" si="2486">AVERAGE(E471:E477)</f>
        <v>84.007142857142853</v>
      </c>
      <c r="AA477" s="6">
        <f t="shared" ref="AA477" si="2487">AVERAGE(N471:N477)</f>
        <v>12.02735</v>
      </c>
      <c r="AB477" s="6">
        <f t="shared" ref="AB477" si="2488">AVERAGE(R471:R477)</f>
        <v>22.561049999999994</v>
      </c>
      <c r="AC477" s="6">
        <f t="shared" si="2485"/>
        <v>5.0143112179923399E-2</v>
      </c>
      <c r="AD477" s="42">
        <f>Tabla1[[#This Row],[Avg Agua)]]/Tabla1[[#This Row],[Avg Musculo]]</f>
        <v>2.0315113246692231</v>
      </c>
      <c r="AE477" t="s">
        <v>134</v>
      </c>
    </row>
    <row r="478" spans="1:31" x14ac:dyDescent="0.3">
      <c r="A478" t="s">
        <v>120</v>
      </c>
      <c r="B478">
        <v>9</v>
      </c>
      <c r="C478" t="s">
        <v>22</v>
      </c>
      <c r="D478" s="4">
        <v>45715</v>
      </c>
      <c r="E478" s="6">
        <v>82.35</v>
      </c>
      <c r="F478" s="7">
        <f t="shared" si="2470"/>
        <v>23.299569941149841</v>
      </c>
      <c r="G478" s="9">
        <v>0.151</v>
      </c>
      <c r="H478" s="6">
        <f t="shared" si="2471"/>
        <v>69.915149999999997</v>
      </c>
      <c r="I478" s="6">
        <f t="shared" si="2472"/>
        <v>20.628549999999997</v>
      </c>
      <c r="J478">
        <v>3.5</v>
      </c>
      <c r="K478" s="5">
        <v>6.5000000000000002E-2</v>
      </c>
      <c r="L478" s="17">
        <v>2006</v>
      </c>
      <c r="M478" s="5">
        <v>0.55600000000000005</v>
      </c>
      <c r="N478" s="6">
        <f t="shared" si="2473"/>
        <v>12.434849999999999</v>
      </c>
      <c r="O478" s="21">
        <f t="shared" si="2474"/>
        <v>45.7866</v>
      </c>
      <c r="P478" s="8">
        <f t="shared" si="2381"/>
        <v>45.756114285714297</v>
      </c>
      <c r="Q478" s="8">
        <f t="shared" si="2475"/>
        <v>61.721449999999997</v>
      </c>
      <c r="R478" s="6">
        <f t="shared" si="2476"/>
        <v>20.628549999999997</v>
      </c>
      <c r="S478" s="6">
        <f t="shared" si="2477"/>
        <v>5.3527499999999995</v>
      </c>
      <c r="T478" s="6">
        <f t="shared" si="2478"/>
        <v>-2.2208500000000058</v>
      </c>
      <c r="U478" s="6">
        <f t="shared" si="2479"/>
        <v>0.70565000000000033</v>
      </c>
      <c r="V478" s="6">
        <f t="shared" si="2480"/>
        <v>-0.25</v>
      </c>
      <c r="W478" s="9">
        <f>Tabla1[[#This Row],[Protein]]/Tabla1[[#This Row],[Peso (Kg)]]</f>
        <v>0.250498482088646</v>
      </c>
      <c r="X478" s="9">
        <f t="shared" si="2382"/>
        <v>0.26672293805654951</v>
      </c>
      <c r="Y478" s="6">
        <f t="shared" si="2481"/>
        <v>36.563399999999994</v>
      </c>
      <c r="Z478" s="6">
        <f t="shared" ref="Z478" si="2489">AVERAGE(E472:E478)</f>
        <v>83.628571428571448</v>
      </c>
      <c r="AA478" s="6">
        <f t="shared" ref="AA478" si="2490">AVERAGE(N472:N478)</f>
        <v>11.99447142857143</v>
      </c>
      <c r="AB478" s="6">
        <f t="shared" ref="AB478" si="2491">AVERAGE(R472:R478)</f>
        <v>22.306557142857137</v>
      </c>
      <c r="AC478" s="6">
        <f t="shared" si="2485"/>
        <v>-1.12801867440947</v>
      </c>
      <c r="AD478" s="42">
        <f>Tabla1[[#This Row],[Avg Agua)]]/Tabla1[[#This Row],[Avg Musculo]]</f>
        <v>2.0512405384963688</v>
      </c>
      <c r="AE478" t="s">
        <v>135</v>
      </c>
    </row>
    <row r="479" spans="1:31" x14ac:dyDescent="0.3">
      <c r="A479" t="s">
        <v>120</v>
      </c>
      <c r="B479">
        <v>9</v>
      </c>
      <c r="C479" t="s">
        <v>20</v>
      </c>
      <c r="D479" s="4">
        <v>45716</v>
      </c>
      <c r="E479" s="6">
        <v>83.4</v>
      </c>
      <c r="F479" s="7">
        <f t="shared" si="2470"/>
        <v>23.596650067904033</v>
      </c>
      <c r="G479" s="9">
        <v>0.153</v>
      </c>
      <c r="H479" s="6">
        <f t="shared" si="2471"/>
        <v>70.639800000000008</v>
      </c>
      <c r="I479" s="6">
        <f t="shared" si="2472"/>
        <v>20.769399999999997</v>
      </c>
      <c r="J479">
        <v>3.5</v>
      </c>
      <c r="K479" s="5">
        <v>6.5000000000000002E-2</v>
      </c>
      <c r="L479" s="17">
        <v>2030</v>
      </c>
      <c r="M479" s="5">
        <v>0.55600000000000005</v>
      </c>
      <c r="N479" s="6">
        <f t="shared" si="2473"/>
        <v>12.760200000000001</v>
      </c>
      <c r="O479" s="21">
        <f t="shared" si="2474"/>
        <v>46.370400000000011</v>
      </c>
      <c r="P479" s="8">
        <f t="shared" si="2381"/>
        <v>45.798057142857147</v>
      </c>
      <c r="Q479" s="8">
        <f t="shared" si="2475"/>
        <v>62.630600000000008</v>
      </c>
      <c r="R479" s="6">
        <f t="shared" si="2476"/>
        <v>20.769399999999997</v>
      </c>
      <c r="S479" s="6">
        <f t="shared" si="2477"/>
        <v>5.4210000000000003</v>
      </c>
      <c r="T479" s="6">
        <f t="shared" si="2478"/>
        <v>0.14085000000000036</v>
      </c>
      <c r="U479" s="6">
        <f t="shared" si="2479"/>
        <v>0.32535000000000203</v>
      </c>
      <c r="V479" s="6">
        <f t="shared" si="2480"/>
        <v>1.0500000000000114</v>
      </c>
      <c r="W479" s="9">
        <f>Tabla1[[#This Row],[Protein]]/Tabla1[[#This Row],[Peso (Kg)]]</f>
        <v>0.24903357314148677</v>
      </c>
      <c r="X479" s="9">
        <f t="shared" si="2382"/>
        <v>0.26437101301874194</v>
      </c>
      <c r="Y479" s="6">
        <f t="shared" si="2481"/>
        <v>37.029600000000002</v>
      </c>
      <c r="Z479" s="6">
        <f t="shared" ref="Z479" si="2492">AVERAGE(E473:E479)</f>
        <v>83.44285714285715</v>
      </c>
      <c r="AA479" s="6">
        <f t="shared" ref="AA479" si="2493">AVERAGE(N473:N479)</f>
        <v>12.026557142857143</v>
      </c>
      <c r="AB479" s="6">
        <f t="shared" ref="AB479" si="2494">AVERAGE(R473:R479)</f>
        <v>22.061099999999993</v>
      </c>
      <c r="AC479" s="6">
        <f t="shared" si="2485"/>
        <v>-1.100381117916005</v>
      </c>
      <c r="AD479" s="42">
        <f>Tabla1[[#This Row],[Avg Agua)]]/Tabla1[[#This Row],[Avg Musculo]]</f>
        <v>2.0759643509551728</v>
      </c>
    </row>
    <row r="480" spans="1:31" x14ac:dyDescent="0.3">
      <c r="A480" t="s">
        <v>120</v>
      </c>
      <c r="B480">
        <v>9</v>
      </c>
      <c r="C480" t="s">
        <v>121</v>
      </c>
      <c r="D480" s="4">
        <v>45717</v>
      </c>
      <c r="E480" s="6">
        <v>82.7</v>
      </c>
      <c r="F480" s="7">
        <f t="shared" si="2470"/>
        <v>23.398596650067905</v>
      </c>
      <c r="G480" s="9">
        <v>0.154</v>
      </c>
      <c r="H480" s="6">
        <f t="shared" si="2471"/>
        <v>69.964200000000005</v>
      </c>
      <c r="I480" s="6">
        <f t="shared" si="2472"/>
        <v>20.648400000000002</v>
      </c>
      <c r="J480">
        <v>3.5</v>
      </c>
      <c r="K480" s="5">
        <v>6.5000000000000002E-2</v>
      </c>
      <c r="L480" s="17">
        <v>2009</v>
      </c>
      <c r="M480" s="5">
        <v>0.55400000000000005</v>
      </c>
      <c r="N480" s="6">
        <f t="shared" si="2473"/>
        <v>12.735800000000001</v>
      </c>
      <c r="O480" s="21">
        <f t="shared" si="2474"/>
        <v>45.815800000000003</v>
      </c>
      <c r="P480" s="8">
        <f t="shared" si="2381"/>
        <v>45.756071428571431</v>
      </c>
      <c r="Q480" s="8">
        <f t="shared" si="2475"/>
        <v>62.051600000000001</v>
      </c>
      <c r="R480" s="6">
        <f t="shared" si="2476"/>
        <v>20.648400000000002</v>
      </c>
      <c r="S480" s="6">
        <f t="shared" si="2477"/>
        <v>5.3755000000000006</v>
      </c>
      <c r="T480" s="6">
        <f t="shared" si="2478"/>
        <v>-0.12099999999999511</v>
      </c>
      <c r="U480" s="6">
        <f t="shared" si="2479"/>
        <v>-2.4399999999999977E-2</v>
      </c>
      <c r="V480" s="6">
        <f t="shared" si="2480"/>
        <v>-0.70000000000000284</v>
      </c>
      <c r="W480" s="9">
        <f>Tabla1[[#This Row],[Protein]]/Tabla1[[#This Row],[Peso (Kg)]]</f>
        <v>0.2496783555018138</v>
      </c>
      <c r="X480" s="9">
        <f t="shared" si="2382"/>
        <v>0.26141488872224899</v>
      </c>
      <c r="Y480" s="6">
        <f t="shared" si="2481"/>
        <v>36.884200000000007</v>
      </c>
      <c r="Z480" s="6">
        <f t="shared" ref="Z480" si="2495">AVERAGE(E474:E480)</f>
        <v>83.19285714285715</v>
      </c>
      <c r="AA480" s="6">
        <f t="shared" ref="AA480" si="2496">AVERAGE(N474:N480)</f>
        <v>12.144892857142855</v>
      </c>
      <c r="AB480" s="6">
        <f t="shared" ref="AB480" si="2497">AVERAGE(R474:R480)</f>
        <v>21.749035714285714</v>
      </c>
      <c r="AC480" s="6">
        <f t="shared" si="2485"/>
        <v>-1.4145454474812191</v>
      </c>
      <c r="AD480" s="42">
        <f>Tabla1[[#This Row],[Avg Agua)]]/Tabla1[[#This Row],[Avg Musculo]]</f>
        <v>2.1038206948419718</v>
      </c>
    </row>
    <row r="481" spans="1:31" x14ac:dyDescent="0.3">
      <c r="A481" t="s">
        <v>120</v>
      </c>
      <c r="B481">
        <v>9</v>
      </c>
      <c r="C481" t="s">
        <v>26</v>
      </c>
      <c r="D481" s="4">
        <v>45718</v>
      </c>
      <c r="E481" s="6">
        <v>81.45</v>
      </c>
      <c r="F481" s="7">
        <f t="shared" si="2470"/>
        <v>23.044929832503396</v>
      </c>
      <c r="G481" s="9">
        <v>0.14099999999999999</v>
      </c>
      <c r="H481" s="6">
        <f t="shared" si="2471"/>
        <v>69.965550000000007</v>
      </c>
      <c r="I481" s="6">
        <f t="shared" si="2472"/>
        <v>21.912400000000005</v>
      </c>
      <c r="J481">
        <v>3.5</v>
      </c>
      <c r="K481" s="5">
        <v>6.5000000000000002E-2</v>
      </c>
      <c r="L481" s="17">
        <v>2004</v>
      </c>
      <c r="M481" s="5">
        <v>0.54700000000000004</v>
      </c>
      <c r="N481" s="6">
        <f t="shared" si="2473"/>
        <v>11.484449999999999</v>
      </c>
      <c r="O481" s="21">
        <f t="shared" si="2474"/>
        <v>44.553150000000002</v>
      </c>
      <c r="P481" s="8">
        <f t="shared" si="2381"/>
        <v>45.556335714285716</v>
      </c>
      <c r="Q481" s="8">
        <f t="shared" si="2475"/>
        <v>59.537599999999998</v>
      </c>
      <c r="R481" s="6">
        <f t="shared" si="2476"/>
        <v>21.912400000000005</v>
      </c>
      <c r="S481" s="6">
        <f t="shared" si="2477"/>
        <v>5.2942500000000008</v>
      </c>
      <c r="T481" s="6">
        <f t="shared" si="2478"/>
        <v>1.2640000000000029</v>
      </c>
      <c r="U481" s="6">
        <f t="shared" si="2479"/>
        <v>-1.2513500000000022</v>
      </c>
      <c r="V481" s="6">
        <f t="shared" si="2480"/>
        <v>-1.25</v>
      </c>
      <c r="W481" s="9">
        <f>Tabla1[[#This Row],[Protein]]/Tabla1[[#This Row],[Peso (Kg)]]</f>
        <v>0.26902885205647642</v>
      </c>
      <c r="X481" s="9">
        <f t="shared" si="2382"/>
        <v>0.26127768940005591</v>
      </c>
      <c r="Y481" s="6">
        <f t="shared" si="2481"/>
        <v>36.896850000000001</v>
      </c>
      <c r="Z481" s="6">
        <f t="shared" ref="Z481" si="2498">AVERAGE(E475:E481)</f>
        <v>82.871428571428552</v>
      </c>
      <c r="AA481" s="6">
        <f t="shared" ref="AA481" si="2499">AVERAGE(N475:N481)</f>
        <v>12.135442857142854</v>
      </c>
      <c r="AB481" s="6">
        <f t="shared" ref="AB481" si="2500">AVERAGE(R475:R481)</f>
        <v>21.65107857142857</v>
      </c>
      <c r="AC481" s="6">
        <f t="shared" si="2485"/>
        <v>-0.45039763667683586</v>
      </c>
      <c r="AD481" s="42">
        <f>Tabla1[[#This Row],[Avg Agua)]]/Tabla1[[#This Row],[Avg Musculo]]</f>
        <v>2.1041139158029409</v>
      </c>
    </row>
    <row r="482" spans="1:31" x14ac:dyDescent="0.3">
      <c r="A482" t="s">
        <v>120</v>
      </c>
      <c r="B482">
        <v>10</v>
      </c>
      <c r="C482" t="s">
        <v>21</v>
      </c>
      <c r="D482" s="4">
        <v>45719</v>
      </c>
      <c r="E482" s="6">
        <v>81.849999999999994</v>
      </c>
      <c r="F482" s="7">
        <f t="shared" ref="F482:F487" si="2501">E482/(1.88^2)</f>
        <v>23.158103214124036</v>
      </c>
      <c r="G482" s="9">
        <v>0.14399999999999999</v>
      </c>
      <c r="H482" s="6">
        <f t="shared" ref="H482:H487" si="2502">E482-N482</f>
        <v>70.063599999999994</v>
      </c>
      <c r="I482" s="6">
        <f t="shared" ref="I482:I487" si="2503">E482-N482-O482-J482</f>
        <v>21.38239999999999</v>
      </c>
      <c r="J482">
        <v>3.5</v>
      </c>
      <c r="K482" s="5">
        <v>6.5000000000000002E-2</v>
      </c>
      <c r="L482" s="17">
        <v>2009</v>
      </c>
      <c r="M482" s="5">
        <v>0.55200000000000005</v>
      </c>
      <c r="N482" s="6">
        <f t="shared" ref="N482:N487" si="2504">E482*G482</f>
        <v>11.786399999999999</v>
      </c>
      <c r="O482" s="21">
        <f t="shared" ref="O482:O487" si="2505">M482*E482</f>
        <v>45.181200000000004</v>
      </c>
      <c r="P482" s="8">
        <f t="shared" si="2381"/>
        <v>45.383292857142855</v>
      </c>
      <c r="Q482" s="8">
        <f t="shared" ref="Q482:Q487" si="2506">E482-R482</f>
        <v>60.467600000000004</v>
      </c>
      <c r="R482" s="6">
        <f t="shared" ref="R482:R487" si="2507">I482</f>
        <v>21.38239999999999</v>
      </c>
      <c r="S482" s="6">
        <f t="shared" ref="S482:S487" si="2508">K482*E482</f>
        <v>5.3202499999999997</v>
      </c>
      <c r="T482" s="6">
        <f t="shared" ref="T482:T487" si="2509">I482-I481</f>
        <v>-0.53000000000001535</v>
      </c>
      <c r="U482" s="6">
        <f t="shared" ref="U482:U487" si="2510">N482-N481</f>
        <v>0.30194999999999972</v>
      </c>
      <c r="V482" s="6">
        <f t="shared" ref="V482:V487" si="2511">E482-E481</f>
        <v>0.39999999999999147</v>
      </c>
      <c r="W482" s="9">
        <f>Tabla1[[#This Row],[Protein]]/Tabla1[[#This Row],[Peso (Kg)]]</f>
        <v>0.26123885155772747</v>
      </c>
      <c r="X482" s="9">
        <f t="shared" si="2382"/>
        <v>0.26126599853528215</v>
      </c>
      <c r="Y482" s="6">
        <f t="shared" ref="Y482:Y487" si="2512">R482+N482+J482</f>
        <v>36.66879999999999</v>
      </c>
      <c r="Z482" s="6">
        <f t="shared" ref="Z482" si="2513">AVERAGE(E476:E482)</f>
        <v>82.51428571428572</v>
      </c>
      <c r="AA482" s="6">
        <f t="shared" ref="AA482" si="2514">AVERAGE(N476:N482)</f>
        <v>12.059914285714285</v>
      </c>
      <c r="AB482" s="6">
        <f t="shared" ref="AB482" si="2515">AVERAGE(R476:R482)</f>
        <v>21.556792857142856</v>
      </c>
      <c r="AC482" s="6">
        <f t="shared" ref="AC482:AC487" si="2516">100*(AB482/AB481-1)</f>
        <v>-0.43547814015204578</v>
      </c>
      <c r="AD482" s="42">
        <f>Tabla1[[#This Row],[Avg Agua)]]/Tabla1[[#This Row],[Avg Musculo]]</f>
        <v>2.1052896485065529</v>
      </c>
    </row>
    <row r="483" spans="1:31" x14ac:dyDescent="0.3">
      <c r="A483" t="s">
        <v>120</v>
      </c>
      <c r="B483">
        <v>10</v>
      </c>
      <c r="C483" t="s">
        <v>23</v>
      </c>
      <c r="D483" s="4">
        <v>45720</v>
      </c>
      <c r="E483" s="6">
        <v>81.599999999999994</v>
      </c>
      <c r="F483" s="7">
        <f t="shared" si="2501"/>
        <v>23.087369850611136</v>
      </c>
      <c r="G483" s="9">
        <v>0.14399999999999999</v>
      </c>
      <c r="H483" s="6">
        <f t="shared" si="2502"/>
        <v>69.849599999999995</v>
      </c>
      <c r="I483" s="6">
        <f t="shared" si="2503"/>
        <v>21.551199999999994</v>
      </c>
      <c r="J483">
        <v>3.5</v>
      </c>
      <c r="K483" s="5">
        <v>6.5000000000000002E-2</v>
      </c>
      <c r="L483" s="17">
        <v>2003</v>
      </c>
      <c r="M483" s="5">
        <v>0.54900000000000004</v>
      </c>
      <c r="N483" s="6">
        <f t="shared" si="2504"/>
        <v>11.750399999999999</v>
      </c>
      <c r="O483" s="21">
        <f t="shared" si="2505"/>
        <v>44.798400000000001</v>
      </c>
      <c r="P483" s="8">
        <f t="shared" si="2381"/>
        <v>45.289564285714285</v>
      </c>
      <c r="Q483" s="8">
        <f t="shared" si="2506"/>
        <v>60.0488</v>
      </c>
      <c r="R483" s="6">
        <f t="shared" si="2507"/>
        <v>21.551199999999994</v>
      </c>
      <c r="S483" s="6">
        <f t="shared" si="2508"/>
        <v>5.3039999999999994</v>
      </c>
      <c r="T483" s="6">
        <f t="shared" si="2509"/>
        <v>0.1688000000000045</v>
      </c>
      <c r="U483" s="6">
        <f t="shared" si="2510"/>
        <v>-3.5999999999999588E-2</v>
      </c>
      <c r="V483" s="6">
        <f t="shared" si="2511"/>
        <v>-0.25</v>
      </c>
      <c r="W483" s="9">
        <f>Tabla1[[#This Row],[Protein]]/Tabla1[[#This Row],[Peso (Kg)]]</f>
        <v>0.26410784313725483</v>
      </c>
      <c r="X483" s="9">
        <f t="shared" si="2382"/>
        <v>0.26003043944678189</v>
      </c>
      <c r="Y483" s="6">
        <f t="shared" si="2512"/>
        <v>36.801599999999993</v>
      </c>
      <c r="Z483" s="6">
        <f t="shared" ref="Z483" si="2517">AVERAGE(E477:E483)</f>
        <v>82.278571428571439</v>
      </c>
      <c r="AA483" s="6">
        <f t="shared" ref="AA483" si="2518">AVERAGE(N477:N483)</f>
        <v>12.097328571428571</v>
      </c>
      <c r="AB483" s="6">
        <f t="shared" ref="AB483" si="2519">AVERAGE(R477:R483)</f>
        <v>21.391678571428567</v>
      </c>
      <c r="AC483" s="6">
        <f t="shared" si="2516"/>
        <v>-0.76595014299438713</v>
      </c>
      <c r="AD483" s="42">
        <f>Tabla1[[#This Row],[Avg Agua)]]/Tabla1[[#This Row],[Avg Musculo]]</f>
        <v>2.1171580404262675</v>
      </c>
    </row>
    <row r="484" spans="1:31" x14ac:dyDescent="0.3">
      <c r="A484" t="s">
        <v>120</v>
      </c>
      <c r="B484">
        <v>10</v>
      </c>
      <c r="C484" t="s">
        <v>20</v>
      </c>
      <c r="D484" s="4">
        <v>45723</v>
      </c>
      <c r="E484" s="6">
        <v>83.8</v>
      </c>
      <c r="F484" s="7">
        <f t="shared" si="2501"/>
        <v>23.709823449524674</v>
      </c>
      <c r="G484" s="9">
        <v>0.161</v>
      </c>
      <c r="H484" s="6">
        <f t="shared" si="2502"/>
        <v>70.308199999999999</v>
      </c>
      <c r="I484" s="6">
        <f t="shared" si="2503"/>
        <v>20.466799999999999</v>
      </c>
      <c r="J484">
        <v>3.5</v>
      </c>
      <c r="K484" s="5">
        <v>7.0000000000000007E-2</v>
      </c>
      <c r="L484" s="17">
        <v>2022</v>
      </c>
      <c r="M484" s="5">
        <v>0.55300000000000005</v>
      </c>
      <c r="N484" s="6">
        <f t="shared" si="2504"/>
        <v>13.4918</v>
      </c>
      <c r="O484" s="21">
        <f t="shared" si="2505"/>
        <v>46.3414</v>
      </c>
      <c r="P484" s="8">
        <f t="shared" si="2381"/>
        <v>45.54956428571429</v>
      </c>
      <c r="Q484" s="8">
        <f t="shared" si="2506"/>
        <v>63.333199999999998</v>
      </c>
      <c r="R484" s="6">
        <f t="shared" si="2507"/>
        <v>20.466799999999999</v>
      </c>
      <c r="S484" s="6">
        <f t="shared" si="2508"/>
        <v>5.8660000000000005</v>
      </c>
      <c r="T484" s="6">
        <f t="shared" si="2509"/>
        <v>-1.0843999999999951</v>
      </c>
      <c r="U484" s="6">
        <f t="shared" si="2510"/>
        <v>1.7414000000000005</v>
      </c>
      <c r="V484" s="6">
        <f t="shared" si="2511"/>
        <v>2.2000000000000028</v>
      </c>
      <c r="W484" s="9">
        <f>Tabla1[[#This Row],[Protein]]/Tabla1[[#This Row],[Peso (Kg)]]</f>
        <v>0.24423389021479713</v>
      </c>
      <c r="X484" s="9">
        <f t="shared" si="2382"/>
        <v>0.25540283538545749</v>
      </c>
      <c r="Y484" s="6">
        <f t="shared" si="2512"/>
        <v>37.458599999999997</v>
      </c>
      <c r="Z484" s="6">
        <f t="shared" ref="Z484" si="2520">AVERAGE(E478:E484)</f>
        <v>82.45</v>
      </c>
      <c r="AA484" s="6">
        <f t="shared" ref="AA484" si="2521">AVERAGE(N478:N484)</f>
        <v>12.349128571428571</v>
      </c>
      <c r="AB484" s="6">
        <f t="shared" ref="AB484" si="2522">AVERAGE(R478:R484)</f>
        <v>21.051307142857144</v>
      </c>
      <c r="AC484" s="6">
        <f t="shared" si="2516"/>
        <v>-1.5911394116870925</v>
      </c>
      <c r="AD484" s="42">
        <f>Tabla1[[#This Row],[Avg Agua)]]/Tabla1[[#This Row],[Avg Musculo]]</f>
        <v>2.1637404260271587</v>
      </c>
      <c r="AE484" t="s">
        <v>139</v>
      </c>
    </row>
    <row r="485" spans="1:31" x14ac:dyDescent="0.3">
      <c r="A485" t="s">
        <v>120</v>
      </c>
      <c r="B485">
        <v>10</v>
      </c>
      <c r="C485" t="s">
        <v>121</v>
      </c>
      <c r="D485" s="4">
        <v>45724</v>
      </c>
      <c r="E485" s="6">
        <v>83.25</v>
      </c>
      <c r="F485" s="7">
        <f t="shared" si="2501"/>
        <v>23.554210049796289</v>
      </c>
      <c r="G485" s="9">
        <v>0.153</v>
      </c>
      <c r="H485" s="6">
        <f t="shared" si="2502"/>
        <v>70.512749999999997</v>
      </c>
      <c r="I485" s="6">
        <f t="shared" si="2503"/>
        <v>21.558249999999994</v>
      </c>
      <c r="J485">
        <v>3.5</v>
      </c>
      <c r="K485" s="5">
        <v>6.5000000000000002E-2</v>
      </c>
      <c r="L485" s="17">
        <v>2025</v>
      </c>
      <c r="M485" s="5">
        <v>0.54600000000000004</v>
      </c>
      <c r="N485" s="6">
        <f t="shared" si="2504"/>
        <v>12.73725</v>
      </c>
      <c r="O485" s="21">
        <f t="shared" si="2505"/>
        <v>45.454500000000003</v>
      </c>
      <c r="P485" s="8">
        <f t="shared" si="2381"/>
        <v>45.502121428571435</v>
      </c>
      <c r="Q485" s="8">
        <f t="shared" si="2506"/>
        <v>61.691750000000006</v>
      </c>
      <c r="R485" s="6">
        <f t="shared" si="2507"/>
        <v>21.558249999999994</v>
      </c>
      <c r="S485" s="6">
        <f t="shared" si="2508"/>
        <v>5.4112499999999999</v>
      </c>
      <c r="T485" s="6">
        <f t="shared" si="2509"/>
        <v>1.0914499999999947</v>
      </c>
      <c r="U485" s="6">
        <f t="shared" si="2510"/>
        <v>-0.75455000000000005</v>
      </c>
      <c r="V485" s="6">
        <f t="shared" si="2511"/>
        <v>-0.54999999999999716</v>
      </c>
      <c r="W485" s="9">
        <f>Tabla1[[#This Row],[Protein]]/Tabla1[[#This Row],[Peso (Kg)]]</f>
        <v>0.2589579579579579</v>
      </c>
      <c r="X485" s="9">
        <f t="shared" si="2382"/>
        <v>0.25661133193821634</v>
      </c>
      <c r="Y485" s="6">
        <f t="shared" si="2512"/>
        <v>37.79549999999999</v>
      </c>
      <c r="Z485" s="6">
        <f t="shared" ref="Z485" si="2523">AVERAGE(E479:E485)</f>
        <v>82.578571428571422</v>
      </c>
      <c r="AA485" s="6">
        <f t="shared" ref="AA485" si="2524">AVERAGE(N479:N485)</f>
        <v>12.392328571428573</v>
      </c>
      <c r="AB485" s="6">
        <f t="shared" ref="AB485" si="2525">AVERAGE(R479:R485)</f>
        <v>21.184121428571423</v>
      </c>
      <c r="AC485" s="6">
        <f t="shared" si="2516"/>
        <v>0.63090754798731385</v>
      </c>
      <c r="AD485" s="42">
        <f>Tabla1[[#This Row],[Avg Agua)]]/Tabla1[[#This Row],[Avg Musculo]]</f>
        <v>2.1479352628333159</v>
      </c>
      <c r="AE485" t="s">
        <v>140</v>
      </c>
    </row>
    <row r="486" spans="1:31" x14ac:dyDescent="0.3">
      <c r="A486" t="s">
        <v>120</v>
      </c>
      <c r="B486">
        <v>10</v>
      </c>
      <c r="C486" t="s">
        <v>26</v>
      </c>
      <c r="D486" s="4">
        <v>45725</v>
      </c>
      <c r="E486" s="6">
        <v>82.15</v>
      </c>
      <c r="F486" s="7">
        <f t="shared" si="2501"/>
        <v>23.242983250339524</v>
      </c>
      <c r="G486" s="9">
        <v>0.14699999999999999</v>
      </c>
      <c r="H486" s="6">
        <f t="shared" si="2502"/>
        <v>70.073950000000011</v>
      </c>
      <c r="I486" s="6">
        <f t="shared" si="2503"/>
        <v>21.720050000000008</v>
      </c>
      <c r="J486">
        <v>3.5</v>
      </c>
      <c r="K486" s="5">
        <v>6.5000000000000002E-2</v>
      </c>
      <c r="L486" s="17">
        <v>2010</v>
      </c>
      <c r="M486" s="5">
        <v>0.54600000000000004</v>
      </c>
      <c r="N486" s="6">
        <f t="shared" si="2504"/>
        <v>12.07605</v>
      </c>
      <c r="O486" s="21">
        <f t="shared" si="2505"/>
        <v>44.853900000000003</v>
      </c>
      <c r="P486" s="8">
        <f t="shared" si="2381"/>
        <v>45.285478571428584</v>
      </c>
      <c r="Q486" s="8">
        <f t="shared" si="2506"/>
        <v>60.429949999999998</v>
      </c>
      <c r="R486" s="6">
        <f t="shared" si="2507"/>
        <v>21.720050000000008</v>
      </c>
      <c r="S486" s="6">
        <f t="shared" si="2508"/>
        <v>5.3397500000000004</v>
      </c>
      <c r="T486" s="6">
        <f t="shared" si="2509"/>
        <v>0.16180000000001371</v>
      </c>
      <c r="U486" s="6">
        <f t="shared" si="2510"/>
        <v>-0.66119999999999912</v>
      </c>
      <c r="V486" s="6">
        <f t="shared" si="2511"/>
        <v>-1.0999999999999943</v>
      </c>
      <c r="W486" s="9">
        <f>Tabla1[[#This Row],[Protein]]/Tabla1[[#This Row],[Peso (Kg)]]</f>
        <v>0.26439500912964098</v>
      </c>
      <c r="X486" s="9">
        <f t="shared" si="2382"/>
        <v>0.25880582279366693</v>
      </c>
      <c r="Y486" s="6">
        <f t="shared" si="2512"/>
        <v>37.29610000000001</v>
      </c>
      <c r="Z486" s="6">
        <f t="shared" ref="Z486" si="2526">AVERAGE(E480:E486)</f>
        <v>82.4</v>
      </c>
      <c r="AA486" s="6">
        <f t="shared" ref="AA486" si="2527">AVERAGE(N480:N486)</f>
        <v>12.294592857142856</v>
      </c>
      <c r="AB486" s="6">
        <f t="shared" ref="AB486" si="2528">AVERAGE(R480:R486)</f>
        <v>21.319928571428569</v>
      </c>
      <c r="AC486" s="6">
        <f t="shared" si="2516"/>
        <v>0.64107989238573193</v>
      </c>
      <c r="AD486" s="42">
        <f>Tabla1[[#This Row],[Avg Agua)]]/Tabla1[[#This Row],[Avg Musculo]]</f>
        <v>2.1240914771223443</v>
      </c>
    </row>
    <row r="487" spans="1:31" x14ac:dyDescent="0.3">
      <c r="A487" t="s">
        <v>141</v>
      </c>
      <c r="B487">
        <v>11</v>
      </c>
      <c r="C487" t="s">
        <v>21</v>
      </c>
      <c r="D487" s="4">
        <v>45726</v>
      </c>
      <c r="E487" s="6">
        <v>82.65</v>
      </c>
      <c r="F487" s="7">
        <f t="shared" si="2501"/>
        <v>23.384449977365328</v>
      </c>
      <c r="G487" s="9">
        <v>0.152</v>
      </c>
      <c r="H487" s="6">
        <f t="shared" si="2502"/>
        <v>70.08720000000001</v>
      </c>
      <c r="I487" s="6">
        <f t="shared" si="2503"/>
        <v>21.212350000000001</v>
      </c>
      <c r="J487">
        <v>3.5</v>
      </c>
      <c r="K487" s="5">
        <v>6.5000000000000002E-2</v>
      </c>
      <c r="L487" s="17">
        <v>2014</v>
      </c>
      <c r="M487" s="5">
        <v>0.54900000000000004</v>
      </c>
      <c r="N487" s="6">
        <f t="shared" si="2504"/>
        <v>12.562800000000001</v>
      </c>
      <c r="O487" s="21">
        <f t="shared" si="2505"/>
        <v>45.374850000000009</v>
      </c>
      <c r="P487" s="8">
        <f t="shared" si="2381"/>
        <v>45.222485714285718</v>
      </c>
      <c r="Q487" s="8">
        <f t="shared" si="2506"/>
        <v>61.437650000000005</v>
      </c>
      <c r="R487" s="6">
        <f t="shared" si="2507"/>
        <v>21.212350000000001</v>
      </c>
      <c r="S487" s="6">
        <f t="shared" si="2508"/>
        <v>5.3722500000000002</v>
      </c>
      <c r="T487" s="6">
        <f t="shared" si="2509"/>
        <v>-0.50770000000000692</v>
      </c>
      <c r="U487" s="6">
        <f t="shared" si="2510"/>
        <v>0.48675000000000068</v>
      </c>
      <c r="V487" s="6">
        <f t="shared" si="2511"/>
        <v>0.5</v>
      </c>
      <c r="W487" s="9">
        <f>Tabla1[[#This Row],[Protein]]/Tabla1[[#This Row],[Peso (Kg)]]</f>
        <v>0.25665275257108289</v>
      </c>
      <c r="X487" s="9">
        <f t="shared" si="2382"/>
        <v>0.25980216523213395</v>
      </c>
      <c r="Y487" s="6">
        <f t="shared" si="2512"/>
        <v>37.275150000000004</v>
      </c>
      <c r="Z487" s="6">
        <f t="shared" ref="Z487" si="2529">AVERAGE(E481:E487)</f>
        <v>82.392857142857139</v>
      </c>
      <c r="AA487" s="6">
        <f t="shared" ref="AA487" si="2530">AVERAGE(N481:N487)</f>
        <v>12.269878571428569</v>
      </c>
      <c r="AB487" s="6">
        <f t="shared" ref="AB487" si="2531">AVERAGE(R481:R487)</f>
        <v>21.400492857142858</v>
      </c>
      <c r="AC487" s="6">
        <f t="shared" si="2516"/>
        <v>0.37788253109936054</v>
      </c>
      <c r="AD487" s="42">
        <f>Tabla1[[#This Row],[Avg Agua)]]/Tabla1[[#This Row],[Avg Musculo]]</f>
        <v>2.1131515996460695</v>
      </c>
    </row>
    <row r="488" spans="1:31" x14ac:dyDescent="0.3">
      <c r="A488" t="s">
        <v>141</v>
      </c>
      <c r="B488">
        <v>11</v>
      </c>
      <c r="C488" t="s">
        <v>23</v>
      </c>
      <c r="D488" s="4">
        <v>45727</v>
      </c>
      <c r="E488" s="6">
        <v>82.85</v>
      </c>
      <c r="F488" s="7">
        <f t="shared" ref="F488:F493" si="2532">E488/(1.88^2)</f>
        <v>23.441036668175645</v>
      </c>
      <c r="G488" s="9">
        <v>0.14899999999999999</v>
      </c>
      <c r="H488" s="6">
        <f t="shared" ref="H488:H493" si="2533">E488-N488</f>
        <v>70.505349999999993</v>
      </c>
      <c r="I488" s="6">
        <f t="shared" ref="I488:I493" si="2534">E488-N488-O488-J488</f>
        <v>21.43784999999999</v>
      </c>
      <c r="J488">
        <v>3.5</v>
      </c>
      <c r="K488" s="5">
        <v>6.5000000000000002E-2</v>
      </c>
      <c r="L488" s="17">
        <v>2024</v>
      </c>
      <c r="M488" s="5">
        <v>0.55000000000000004</v>
      </c>
      <c r="N488" s="6">
        <f t="shared" ref="N488:N493" si="2535">E488*G488</f>
        <v>12.344649999999998</v>
      </c>
      <c r="O488" s="21">
        <f t="shared" ref="O488:O493" si="2536">M488*E488</f>
        <v>45.567500000000003</v>
      </c>
      <c r="P488" s="8">
        <f t="shared" si="2381"/>
        <v>45.36739285714286</v>
      </c>
      <c r="Q488" s="8">
        <f t="shared" ref="Q488:Q493" si="2537">E488-R488</f>
        <v>61.412150000000004</v>
      </c>
      <c r="R488" s="6">
        <f t="shared" ref="R488:R493" si="2538">I488</f>
        <v>21.43784999999999</v>
      </c>
      <c r="S488" s="6">
        <f t="shared" ref="S488:S493" si="2539">K488*E488</f>
        <v>5.3852500000000001</v>
      </c>
      <c r="T488" s="6">
        <f t="shared" ref="T488:T493" si="2540">I488-I487</f>
        <v>0.2254999999999896</v>
      </c>
      <c r="U488" s="6">
        <f t="shared" ref="U488:U493" si="2541">N488-N487</f>
        <v>-0.21815000000000317</v>
      </c>
      <c r="V488" s="6">
        <f t="shared" ref="V488:V493" si="2542">E488-E487</f>
        <v>0.19999999999998863</v>
      </c>
      <c r="W488" s="9">
        <f>Tabla1[[#This Row],[Protein]]/Tabla1[[#This Row],[Peso (Kg)]]</f>
        <v>0.25875497887748933</v>
      </c>
      <c r="X488" s="9">
        <f t="shared" si="2382"/>
        <v>0.25833446906370722</v>
      </c>
      <c r="Y488" s="6">
        <f t="shared" ref="Y488:Y493" si="2543">R488+N488+J488</f>
        <v>37.282499999999985</v>
      </c>
      <c r="Z488" s="6">
        <f t="shared" ref="Z488" si="2544">AVERAGE(E482:E488)</f>
        <v>82.592857142857142</v>
      </c>
      <c r="AA488" s="6">
        <f t="shared" ref="AA488" si="2545">AVERAGE(N482:N488)</f>
        <v>12.392764285714287</v>
      </c>
      <c r="AB488" s="6">
        <f t="shared" ref="AB488" si="2546">AVERAGE(R482:R488)</f>
        <v>21.332699999999996</v>
      </c>
      <c r="AC488" s="6">
        <f t="shared" ref="AC488:AC493" si="2547">100*(AB488/AB487-1)</f>
        <v>-0.31678175636143946</v>
      </c>
      <c r="AD488" s="42">
        <f>Tabla1[[#This Row],[Avg Agua)]]/Tabla1[[#This Row],[Avg Musculo]]</f>
        <v>2.126659675387685</v>
      </c>
    </row>
    <row r="489" spans="1:31" x14ac:dyDescent="0.3">
      <c r="A489" t="s">
        <v>141</v>
      </c>
      <c r="B489">
        <v>11</v>
      </c>
      <c r="C489" t="s">
        <v>22</v>
      </c>
      <c r="D489" s="4">
        <v>45729</v>
      </c>
      <c r="E489" s="6">
        <v>83.8</v>
      </c>
      <c r="F489" s="7">
        <f t="shared" si="2532"/>
        <v>23.709823449524674</v>
      </c>
      <c r="G489" s="9">
        <v>0.155</v>
      </c>
      <c r="H489" s="6">
        <f t="shared" si="2533"/>
        <v>70.810999999999993</v>
      </c>
      <c r="I489" s="6">
        <f t="shared" si="2534"/>
        <v>20.885799999999989</v>
      </c>
      <c r="J489">
        <v>3.5</v>
      </c>
      <c r="K489" s="5">
        <v>7.0000000000000007E-2</v>
      </c>
      <c r="L489" s="17">
        <v>2035</v>
      </c>
      <c r="M489" s="5">
        <v>0.55400000000000005</v>
      </c>
      <c r="N489" s="6">
        <f t="shared" si="2535"/>
        <v>12.988999999999999</v>
      </c>
      <c r="O489" s="21">
        <f t="shared" si="2536"/>
        <v>46.425200000000004</v>
      </c>
      <c r="P489" s="8">
        <f t="shared" si="2381"/>
        <v>45.545107142857148</v>
      </c>
      <c r="Q489" s="8">
        <f t="shared" si="2537"/>
        <v>62.914200000000008</v>
      </c>
      <c r="R489" s="6">
        <f t="shared" si="2538"/>
        <v>20.885799999999989</v>
      </c>
      <c r="S489" s="6">
        <f t="shared" si="2539"/>
        <v>5.8660000000000005</v>
      </c>
      <c r="T489" s="6">
        <f t="shared" si="2540"/>
        <v>-0.55205000000000126</v>
      </c>
      <c r="U489" s="6">
        <f t="shared" si="2541"/>
        <v>0.64435000000000109</v>
      </c>
      <c r="V489" s="6">
        <f t="shared" si="2542"/>
        <v>0.95000000000000284</v>
      </c>
      <c r="W489" s="9">
        <f>Tabla1[[#This Row],[Protein]]/Tabla1[[#This Row],[Peso (Kg)]]</f>
        <v>0.24923389021479703</v>
      </c>
      <c r="X489" s="9">
        <f t="shared" si="2382"/>
        <v>0.25661947458614576</v>
      </c>
      <c r="Y489" s="6">
        <f t="shared" si="2543"/>
        <v>37.374799999999986</v>
      </c>
      <c r="Z489" s="6">
        <f t="shared" ref="Z489" si="2548">AVERAGE(E483:E489)</f>
        <v>82.871428571428552</v>
      </c>
      <c r="AA489" s="6">
        <f t="shared" ref="AA489" si="2549">AVERAGE(N483:N489)</f>
        <v>12.564564285714287</v>
      </c>
      <c r="AB489" s="6">
        <f t="shared" ref="AB489" si="2550">AVERAGE(R483:R489)</f>
        <v>21.261757142857139</v>
      </c>
      <c r="AC489" s="6">
        <f t="shared" si="2547"/>
        <v>-0.33255451556931659</v>
      </c>
      <c r="AD489" s="42">
        <f>Tabla1[[#This Row],[Avg Agua)]]/Tabla1[[#This Row],[Avg Musculo]]</f>
        <v>2.1421139766031976</v>
      </c>
    </row>
    <row r="490" spans="1:31" x14ac:dyDescent="0.3">
      <c r="A490" t="s">
        <v>141</v>
      </c>
      <c r="B490">
        <v>11</v>
      </c>
      <c r="C490" t="s">
        <v>20</v>
      </c>
      <c r="D490" s="4">
        <v>45730</v>
      </c>
      <c r="E490" s="6">
        <v>83.35</v>
      </c>
      <c r="F490" s="7">
        <f t="shared" si="2532"/>
        <v>23.582503395201449</v>
      </c>
      <c r="G490" s="9">
        <v>0.152</v>
      </c>
      <c r="H490" s="6">
        <f t="shared" si="2533"/>
        <v>70.680799999999991</v>
      </c>
      <c r="I490" s="6">
        <f t="shared" si="2534"/>
        <v>21.254949999999987</v>
      </c>
      <c r="J490">
        <v>3.5</v>
      </c>
      <c r="K490" s="5">
        <v>6.5000000000000002E-2</v>
      </c>
      <c r="L490" s="17">
        <v>2030</v>
      </c>
      <c r="M490" s="5">
        <v>0.55100000000000005</v>
      </c>
      <c r="N490" s="6">
        <f t="shared" si="2535"/>
        <v>12.669199999999998</v>
      </c>
      <c r="O490" s="21">
        <f t="shared" si="2536"/>
        <v>45.925850000000004</v>
      </c>
      <c r="P490" s="8">
        <f t="shared" si="2381"/>
        <v>45.706171428571437</v>
      </c>
      <c r="Q490" s="8">
        <f t="shared" si="2537"/>
        <v>62.095050000000008</v>
      </c>
      <c r="R490" s="6">
        <f t="shared" si="2538"/>
        <v>21.254949999999987</v>
      </c>
      <c r="S490" s="6">
        <f t="shared" si="2539"/>
        <v>5.4177499999999998</v>
      </c>
      <c r="T490" s="6">
        <f t="shared" si="2540"/>
        <v>0.36914999999999765</v>
      </c>
      <c r="U490" s="6">
        <f t="shared" si="2541"/>
        <v>-0.31980000000000075</v>
      </c>
      <c r="V490" s="6">
        <f t="shared" si="2542"/>
        <v>-0.45000000000000284</v>
      </c>
      <c r="W490" s="9">
        <f>Tabla1[[#This Row],[Protein]]/Tabla1[[#This Row],[Peso (Kg)]]</f>
        <v>0.25500839832033578</v>
      </c>
      <c r="X490" s="9">
        <f t="shared" si="2382"/>
        <v>0.25531955389801447</v>
      </c>
      <c r="Y490" s="6">
        <f t="shared" si="2543"/>
        <v>37.424149999999983</v>
      </c>
      <c r="Z490" s="6">
        <f t="shared" ref="Z490" si="2551">AVERAGE(E484:E490)</f>
        <v>83.121428571428581</v>
      </c>
      <c r="AA490" s="6">
        <f t="shared" ref="AA490" si="2552">AVERAGE(N484:N490)</f>
        <v>12.695821428571431</v>
      </c>
      <c r="AB490" s="6">
        <f t="shared" ref="AB490" si="2553">AVERAGE(R484:R490)</f>
        <v>21.219435714285709</v>
      </c>
      <c r="AC490" s="6">
        <f t="shared" si="2547"/>
        <v>-0.19904953427448691</v>
      </c>
      <c r="AD490" s="42">
        <f>Tabla1[[#This Row],[Avg Agua)]]/Tabla1[[#This Row],[Avg Musculo]]</f>
        <v>2.1539767618702674</v>
      </c>
    </row>
    <row r="491" spans="1:31" x14ac:dyDescent="0.3">
      <c r="A491" t="s">
        <v>141</v>
      </c>
      <c r="B491">
        <v>11</v>
      </c>
      <c r="C491" t="s">
        <v>121</v>
      </c>
      <c r="D491" s="4">
        <v>45731</v>
      </c>
      <c r="E491" s="6">
        <v>83.95</v>
      </c>
      <c r="F491" s="7">
        <f t="shared" si="2532"/>
        <v>23.752263467632414</v>
      </c>
      <c r="G491" s="9">
        <v>0.155</v>
      </c>
      <c r="H491" s="6">
        <f t="shared" si="2533"/>
        <v>70.937750000000008</v>
      </c>
      <c r="I491" s="6">
        <f t="shared" si="2534"/>
        <v>21.433150000000005</v>
      </c>
      <c r="J491">
        <v>3.5</v>
      </c>
      <c r="K491" s="5">
        <v>7.0000000000000007E-2</v>
      </c>
      <c r="L491" s="17">
        <v>2039</v>
      </c>
      <c r="M491" s="5">
        <v>0.54800000000000004</v>
      </c>
      <c r="N491" s="6">
        <f t="shared" si="2535"/>
        <v>13.01225</v>
      </c>
      <c r="O491" s="21">
        <f t="shared" si="2536"/>
        <v>46.004600000000003</v>
      </c>
      <c r="P491" s="8">
        <f t="shared" si="2381"/>
        <v>45.658057142857146</v>
      </c>
      <c r="Q491" s="8">
        <f t="shared" si="2537"/>
        <v>62.516849999999998</v>
      </c>
      <c r="R491" s="6">
        <f t="shared" si="2538"/>
        <v>21.433150000000005</v>
      </c>
      <c r="S491" s="6">
        <f t="shared" si="2539"/>
        <v>5.8765000000000009</v>
      </c>
      <c r="T491" s="6">
        <f t="shared" si="2540"/>
        <v>0.17820000000001812</v>
      </c>
      <c r="U491" s="6">
        <f t="shared" si="2541"/>
        <v>0.34305000000000163</v>
      </c>
      <c r="V491" s="6">
        <f t="shared" si="2542"/>
        <v>0.60000000000000853</v>
      </c>
      <c r="W491" s="9">
        <f>Tabla1[[#This Row],[Protein]]/Tabla1[[#This Row],[Peso (Kg)]]</f>
        <v>0.25530851697438955</v>
      </c>
      <c r="X491" s="9">
        <f t="shared" si="2382"/>
        <v>0.25690164343509908</v>
      </c>
      <c r="Y491" s="6">
        <f t="shared" si="2543"/>
        <v>37.945400000000006</v>
      </c>
      <c r="Z491" s="6">
        <f t="shared" ref="Z491" si="2554">AVERAGE(E485:E491)</f>
        <v>83.142857142857139</v>
      </c>
      <c r="AA491" s="6">
        <f t="shared" ref="AA491" si="2555">AVERAGE(N485:N491)</f>
        <v>12.627314285714283</v>
      </c>
      <c r="AB491" s="6">
        <f t="shared" ref="AB491" si="2556">AVERAGE(R485:R491)</f>
        <v>21.357485714285708</v>
      </c>
      <c r="AC491" s="6">
        <f t="shared" si="2547"/>
        <v>0.65058280464573848</v>
      </c>
      <c r="AD491" s="42">
        <f>Tabla1[[#This Row],[Avg Agua)]]/Tabla1[[#This Row],[Avg Musculo]]</f>
        <v>2.1378011322895158</v>
      </c>
    </row>
    <row r="492" spans="1:31" x14ac:dyDescent="0.3">
      <c r="A492" t="s">
        <v>141</v>
      </c>
      <c r="B492">
        <v>11</v>
      </c>
      <c r="C492" t="s">
        <v>26</v>
      </c>
      <c r="D492" s="4">
        <v>45732</v>
      </c>
      <c r="E492" s="6">
        <v>83.2</v>
      </c>
      <c r="F492" s="7">
        <f t="shared" si="2532"/>
        <v>23.540063377093709</v>
      </c>
      <c r="G492" s="9">
        <v>0.14399999999999999</v>
      </c>
      <c r="H492" s="6">
        <f t="shared" si="2533"/>
        <v>71.219200000000001</v>
      </c>
      <c r="I492" s="6">
        <f t="shared" si="2534"/>
        <v>22.125599999999999</v>
      </c>
      <c r="J492">
        <v>3.5</v>
      </c>
      <c r="K492" s="5">
        <v>6.5000000000000002E-2</v>
      </c>
      <c r="L492" s="17">
        <v>2044</v>
      </c>
      <c r="M492" s="5">
        <v>0.54800000000000004</v>
      </c>
      <c r="N492" s="6">
        <f t="shared" si="2535"/>
        <v>11.9808</v>
      </c>
      <c r="O492" s="21">
        <f t="shared" si="2536"/>
        <v>45.593600000000002</v>
      </c>
      <c r="P492" s="8">
        <f t="shared" si="2381"/>
        <v>45.677928571428573</v>
      </c>
      <c r="Q492" s="8">
        <f t="shared" si="2537"/>
        <v>61.074400000000004</v>
      </c>
      <c r="R492" s="6">
        <f t="shared" si="2538"/>
        <v>22.125599999999999</v>
      </c>
      <c r="S492" s="6">
        <f t="shared" si="2539"/>
        <v>5.4080000000000004</v>
      </c>
      <c r="T492" s="6">
        <f t="shared" si="2540"/>
        <v>0.69244999999999379</v>
      </c>
      <c r="U492" s="6">
        <f t="shared" si="2541"/>
        <v>-1.0314499999999995</v>
      </c>
      <c r="V492" s="6">
        <f t="shared" si="2542"/>
        <v>-0.75</v>
      </c>
      <c r="W492" s="9">
        <f>Tabla1[[#This Row],[Protein]]/Tabla1[[#This Row],[Peso (Kg)]]</f>
        <v>0.26593269230769229</v>
      </c>
      <c r="X492" s="9">
        <f t="shared" si="2382"/>
        <v>0.2578980340564897</v>
      </c>
      <c r="Y492" s="6">
        <f t="shared" si="2543"/>
        <v>37.606400000000001</v>
      </c>
      <c r="Z492" s="6">
        <f t="shared" ref="Z492" si="2557">AVERAGE(E486:E492)</f>
        <v>83.135714285714272</v>
      </c>
      <c r="AA492" s="6">
        <f t="shared" ref="AA492" si="2558">AVERAGE(N486:N492)</f>
        <v>12.51925</v>
      </c>
      <c r="AB492" s="6">
        <f t="shared" ref="AB492" si="2559">AVERAGE(R486:R492)</f>
        <v>21.43853571428571</v>
      </c>
      <c r="AC492" s="6">
        <f t="shared" si="2547"/>
        <v>0.37949223557616207</v>
      </c>
      <c r="AD492" s="42">
        <f>Tabla1[[#This Row],[Avg Agua)]]/Tabla1[[#This Row],[Avg Musculo]]</f>
        <v>2.1306459163155806</v>
      </c>
    </row>
    <row r="493" spans="1:31" x14ac:dyDescent="0.3">
      <c r="A493" t="s">
        <v>141</v>
      </c>
      <c r="B493">
        <v>12</v>
      </c>
      <c r="C493" t="s">
        <v>21</v>
      </c>
      <c r="D493" s="4">
        <v>45733</v>
      </c>
      <c r="E493" s="6">
        <v>82.85</v>
      </c>
      <c r="F493" s="7">
        <f t="shared" si="2532"/>
        <v>23.441036668175645</v>
      </c>
      <c r="G493" s="9">
        <v>0.14799999999999999</v>
      </c>
      <c r="H493" s="6">
        <f t="shared" si="2533"/>
        <v>70.588200000000001</v>
      </c>
      <c r="I493" s="6">
        <f t="shared" si="2534"/>
        <v>21.686399999999999</v>
      </c>
      <c r="J493">
        <v>3.5</v>
      </c>
      <c r="K493" s="5">
        <v>6.5000000000000002E-2</v>
      </c>
      <c r="L493" s="17">
        <v>2027</v>
      </c>
      <c r="M493" s="5">
        <v>0.54800000000000004</v>
      </c>
      <c r="N493" s="6">
        <f t="shared" si="2535"/>
        <v>12.261799999999999</v>
      </c>
      <c r="O493" s="21">
        <f t="shared" si="2536"/>
        <v>45.401800000000001</v>
      </c>
      <c r="P493" s="8">
        <f t="shared" si="2381"/>
        <v>45.756199999999993</v>
      </c>
      <c r="Q493" s="8">
        <f t="shared" si="2537"/>
        <v>61.163599999999995</v>
      </c>
      <c r="R493" s="6">
        <f t="shared" si="2538"/>
        <v>21.686399999999999</v>
      </c>
      <c r="S493" s="6">
        <f t="shared" si="2539"/>
        <v>5.3852500000000001</v>
      </c>
      <c r="T493" s="6">
        <f t="shared" si="2540"/>
        <v>-0.43919999999999959</v>
      </c>
      <c r="U493" s="6">
        <f t="shared" si="2541"/>
        <v>0.28099999999999881</v>
      </c>
      <c r="V493" s="6">
        <f t="shared" si="2542"/>
        <v>-0.35000000000000853</v>
      </c>
      <c r="W493" s="9">
        <f>Tabla1[[#This Row],[Protein]]/Tabla1[[#This Row],[Peso (Kg)]]</f>
        <v>0.26175497887748944</v>
      </c>
      <c r="X493" s="9">
        <f t="shared" si="2382"/>
        <v>0.25752088687761093</v>
      </c>
      <c r="Y493" s="6">
        <f t="shared" si="2543"/>
        <v>37.4482</v>
      </c>
      <c r="Z493" s="6">
        <f t="shared" ref="Z493" si="2560">AVERAGE(E487:E493)</f>
        <v>83.23571428571428</v>
      </c>
      <c r="AA493" s="6">
        <f t="shared" ref="AA493" si="2561">AVERAGE(N487:N493)</f>
        <v>12.545785714285712</v>
      </c>
      <c r="AB493" s="6">
        <f t="shared" ref="AB493" si="2562">AVERAGE(R487:R493)</f>
        <v>21.433728571428563</v>
      </c>
      <c r="AC493" s="6">
        <f t="shared" si="2547"/>
        <v>-2.2422906681740518E-2</v>
      </c>
      <c r="AD493" s="42">
        <f>Tabla1[[#This Row],[Avg Agua)]]/Tabla1[[#This Row],[Avg Musculo]]</f>
        <v>2.1347755640142609</v>
      </c>
      <c r="AE493" t="s">
        <v>142</v>
      </c>
    </row>
    <row r="494" spans="1:31" x14ac:dyDescent="0.3">
      <c r="A494" t="s">
        <v>141</v>
      </c>
      <c r="B494">
        <v>12</v>
      </c>
      <c r="C494" t="s">
        <v>23</v>
      </c>
      <c r="D494" s="4">
        <v>45734</v>
      </c>
      <c r="E494" s="6">
        <v>82.55</v>
      </c>
      <c r="F494" s="7">
        <f t="shared" ref="F494:F499" si="2563">E494/(1.88^2)</f>
        <v>23.356156631960165</v>
      </c>
      <c r="G494" s="9">
        <v>0.14499999999999999</v>
      </c>
      <c r="H494" s="6">
        <f t="shared" ref="H494:H499" si="2564">E494-N494</f>
        <v>70.580249999999992</v>
      </c>
      <c r="I494" s="6">
        <f t="shared" ref="I494:I499" si="2565">E494-N494-O494-J494</f>
        <v>21.677749999999989</v>
      </c>
      <c r="J494">
        <v>3.5</v>
      </c>
      <c r="K494" s="5">
        <v>6.5000000000000002E-2</v>
      </c>
      <c r="L494" s="17">
        <v>2024</v>
      </c>
      <c r="M494" s="5">
        <v>0.55000000000000004</v>
      </c>
      <c r="N494" s="6">
        <f t="shared" ref="N494:N499" si="2566">E494*G494</f>
        <v>11.969749999999999</v>
      </c>
      <c r="O494" s="21">
        <f t="shared" ref="O494:O499" si="2567">M494*E494</f>
        <v>45.402500000000003</v>
      </c>
      <c r="P494" s="8">
        <f t="shared" si="2381"/>
        <v>45.760150000000003</v>
      </c>
      <c r="Q494" s="8">
        <f t="shared" ref="Q494:Q499" si="2568">E494-R494</f>
        <v>60.872250000000008</v>
      </c>
      <c r="R494" s="6">
        <f t="shared" ref="R494:R499" si="2569">I494</f>
        <v>21.677749999999989</v>
      </c>
      <c r="S494" s="6">
        <f t="shared" ref="S494:S499" si="2570">K494*E494</f>
        <v>5.3657500000000002</v>
      </c>
      <c r="T494" s="6">
        <f t="shared" ref="T494:T499" si="2571">I494-I493</f>
        <v>-8.6500000000100385E-3</v>
      </c>
      <c r="U494" s="6">
        <f t="shared" ref="U494:U499" si="2572">N494-N493</f>
        <v>-0.2920499999999997</v>
      </c>
      <c r="V494" s="6">
        <f t="shared" ref="V494:V499" si="2573">E494-E493</f>
        <v>-0.29999999999999716</v>
      </c>
      <c r="W494" s="9">
        <f>Tabla1[[#This Row],[Protein]]/Tabla1[[#This Row],[Peso (Kg)]]</f>
        <v>0.26260145366444565</v>
      </c>
      <c r="X494" s="9">
        <f t="shared" si="2382"/>
        <v>0.25837070131951989</v>
      </c>
      <c r="Y494" s="6">
        <f t="shared" ref="Y494:Y499" si="2574">R494+N494+J494</f>
        <v>37.147499999999987</v>
      </c>
      <c r="Z494" s="6">
        <f t="shared" ref="Z494" si="2575">AVERAGE(E488:E494)</f>
        <v>83.221428571428561</v>
      </c>
      <c r="AA494" s="6">
        <f t="shared" ref="AA494" si="2576">AVERAGE(N488:N494)</f>
        <v>12.461064285714286</v>
      </c>
      <c r="AB494" s="6">
        <f t="shared" ref="AB494" si="2577">AVERAGE(R488:R494)</f>
        <v>21.500214285714282</v>
      </c>
      <c r="AC494" s="6">
        <f t="shared" ref="AC494:AC499" si="2578">100*(AB494/AB493-1)</f>
        <v>0.31019201378870154</v>
      </c>
      <c r="AD494" s="42">
        <f>Tabla1[[#This Row],[Avg Agua)]]/Tabla1[[#This Row],[Avg Musculo]]</f>
        <v>2.1283578568984369</v>
      </c>
    </row>
    <row r="495" spans="1:31" x14ac:dyDescent="0.3">
      <c r="A495" t="s">
        <v>141</v>
      </c>
      <c r="B495">
        <v>12</v>
      </c>
      <c r="C495" t="s">
        <v>24</v>
      </c>
      <c r="D495" s="4">
        <v>45735</v>
      </c>
      <c r="E495" s="6">
        <v>83.35</v>
      </c>
      <c r="F495" s="7">
        <f t="shared" si="2563"/>
        <v>23.582503395201449</v>
      </c>
      <c r="G495" s="9">
        <v>0.151</v>
      </c>
      <c r="H495" s="6">
        <f t="shared" si="2564"/>
        <v>70.764150000000001</v>
      </c>
      <c r="I495" s="6">
        <f t="shared" si="2565"/>
        <v>21.42165</v>
      </c>
      <c r="J495">
        <v>3.5</v>
      </c>
      <c r="K495" s="5">
        <v>6.5000000000000002E-2</v>
      </c>
      <c r="L495" s="17">
        <v>2032</v>
      </c>
      <c r="M495" s="5">
        <v>0.55000000000000004</v>
      </c>
      <c r="N495" s="6">
        <f t="shared" si="2566"/>
        <v>12.585849999999999</v>
      </c>
      <c r="O495" s="21">
        <f t="shared" si="2567"/>
        <v>45.842500000000001</v>
      </c>
      <c r="P495" s="8">
        <f t="shared" si="2381"/>
        <v>45.799435714285714</v>
      </c>
      <c r="Q495" s="8">
        <f t="shared" si="2568"/>
        <v>61.928349999999995</v>
      </c>
      <c r="R495" s="6">
        <f t="shared" si="2569"/>
        <v>21.42165</v>
      </c>
      <c r="S495" s="6">
        <f t="shared" si="2570"/>
        <v>5.4177499999999998</v>
      </c>
      <c r="T495" s="6">
        <f t="shared" si="2571"/>
        <v>-0.25609999999998934</v>
      </c>
      <c r="U495" s="6">
        <f t="shared" si="2572"/>
        <v>0.61609999999999943</v>
      </c>
      <c r="V495" s="6">
        <f t="shared" si="2573"/>
        <v>0.79999999999999716</v>
      </c>
      <c r="W495" s="9">
        <f>Tabla1[[#This Row],[Protein]]/Tabla1[[#This Row],[Peso (Kg)]]</f>
        <v>0.25700839832033595</v>
      </c>
      <c r="X495" s="9">
        <f t="shared" si="2382"/>
        <v>0.25812118981135507</v>
      </c>
      <c r="Y495" s="6">
        <f t="shared" si="2574"/>
        <v>37.5075</v>
      </c>
      <c r="Z495" s="6">
        <f t="shared" ref="Z495" si="2579">AVERAGE(E489:E495)</f>
        <v>83.29285714285713</v>
      </c>
      <c r="AA495" s="6">
        <f t="shared" ref="AA495" si="2580">AVERAGE(N489:N495)</f>
        <v>12.495521428571427</v>
      </c>
      <c r="AB495" s="6">
        <f t="shared" ref="AB495" si="2581">AVERAGE(R489:R495)</f>
        <v>21.497899999999991</v>
      </c>
      <c r="AC495" s="6">
        <f t="shared" si="2578"/>
        <v>-1.0764012318842386E-2</v>
      </c>
      <c r="AD495" s="42">
        <f>Tabla1[[#This Row],[Avg Agua)]]/Tabla1[[#This Row],[Avg Musculo]]</f>
        <v>2.1304143992801965</v>
      </c>
    </row>
    <row r="496" spans="1:31" x14ac:dyDescent="0.3">
      <c r="A496" t="s">
        <v>141</v>
      </c>
      <c r="B496">
        <v>12</v>
      </c>
      <c r="C496" t="s">
        <v>121</v>
      </c>
      <c r="D496" s="4">
        <v>45738</v>
      </c>
      <c r="E496" s="6">
        <v>82.95</v>
      </c>
      <c r="F496" s="7">
        <f t="shared" si="2563"/>
        <v>23.469330013580809</v>
      </c>
      <c r="G496" s="9">
        <v>0.14000000000000001</v>
      </c>
      <c r="H496" s="6">
        <f t="shared" si="2564"/>
        <v>71.337000000000003</v>
      </c>
      <c r="I496" s="6">
        <f t="shared" si="2565"/>
        <v>22.0486</v>
      </c>
      <c r="J496">
        <v>3.5</v>
      </c>
      <c r="K496" s="5">
        <v>6.5000000000000002E-2</v>
      </c>
      <c r="L496" s="17">
        <v>2046</v>
      </c>
      <c r="M496" s="5">
        <v>0.55200000000000005</v>
      </c>
      <c r="N496" s="6">
        <f t="shared" si="2566"/>
        <v>11.613000000000001</v>
      </c>
      <c r="O496" s="21">
        <f t="shared" si="2567"/>
        <v>45.788400000000003</v>
      </c>
      <c r="P496" s="8">
        <f t="shared" si="2381"/>
        <v>45.708464285714292</v>
      </c>
      <c r="Q496" s="8">
        <f t="shared" si="2568"/>
        <v>60.901400000000002</v>
      </c>
      <c r="R496" s="6">
        <f t="shared" si="2569"/>
        <v>22.0486</v>
      </c>
      <c r="S496" s="6">
        <f t="shared" si="2570"/>
        <v>5.39175</v>
      </c>
      <c r="T496" s="6">
        <f t="shared" si="2571"/>
        <v>0.62695000000000078</v>
      </c>
      <c r="U496" s="6">
        <f t="shared" si="2572"/>
        <v>-0.97284999999999755</v>
      </c>
      <c r="V496" s="6">
        <f t="shared" si="2573"/>
        <v>-0.39999999999999147</v>
      </c>
      <c r="W496" s="9">
        <f>Tabla1[[#This Row],[Protein]]/Tabla1[[#This Row],[Peso (Kg)]]</f>
        <v>0.26580590717299579</v>
      </c>
      <c r="X496" s="9">
        <f t="shared" si="2382"/>
        <v>0.26048862080538354</v>
      </c>
      <c r="Y496" s="6">
        <f t="shared" si="2574"/>
        <v>37.1616</v>
      </c>
      <c r="Z496" s="6">
        <f t="shared" ref="Z496" si="2582">AVERAGE(E490:E496)</f>
        <v>83.171428571428578</v>
      </c>
      <c r="AA496" s="6">
        <f t="shared" ref="AA496" si="2583">AVERAGE(N490:N496)</f>
        <v>12.29895</v>
      </c>
      <c r="AB496" s="6">
        <f t="shared" ref="AB496" si="2584">AVERAGE(R490:R496)</f>
        <v>21.664014285714281</v>
      </c>
      <c r="AC496" s="6">
        <f t="shared" si="2578"/>
        <v>0.77270005774652262</v>
      </c>
      <c r="AD496" s="42">
        <f>Tabla1[[#This Row],[Avg Agua)]]/Tabla1[[#This Row],[Avg Musculo]]</f>
        <v>2.109879714945325</v>
      </c>
      <c r="AE496" t="s">
        <v>143</v>
      </c>
    </row>
    <row r="497" spans="1:31" x14ac:dyDescent="0.3">
      <c r="A497" t="s">
        <v>141</v>
      </c>
      <c r="B497">
        <v>12</v>
      </c>
      <c r="C497" t="s">
        <v>26</v>
      </c>
      <c r="D497" s="4">
        <v>45739</v>
      </c>
      <c r="E497" s="6">
        <v>82.6</v>
      </c>
      <c r="F497" s="7">
        <f t="shared" si="2563"/>
        <v>23.370303304662745</v>
      </c>
      <c r="G497" s="9">
        <v>0.13900000000000001</v>
      </c>
      <c r="H497" s="6">
        <f t="shared" si="2564"/>
        <v>71.118599999999986</v>
      </c>
      <c r="I497" s="6">
        <f t="shared" si="2565"/>
        <v>22.105999999999987</v>
      </c>
      <c r="J497">
        <v>3.5</v>
      </c>
      <c r="K497" s="5">
        <v>6.5000000000000002E-2</v>
      </c>
      <c r="L497" s="17">
        <v>2040</v>
      </c>
      <c r="M497" s="5">
        <v>0.55100000000000005</v>
      </c>
      <c r="N497" s="6">
        <f t="shared" si="2566"/>
        <v>11.481400000000001</v>
      </c>
      <c r="O497" s="21">
        <f t="shared" si="2567"/>
        <v>45.512599999999999</v>
      </c>
      <c r="P497" s="8">
        <f t="shared" si="2381"/>
        <v>45.649428571428579</v>
      </c>
      <c r="Q497" s="8">
        <f t="shared" si="2568"/>
        <v>60.494000000000007</v>
      </c>
      <c r="R497" s="6">
        <f t="shared" si="2569"/>
        <v>22.105999999999987</v>
      </c>
      <c r="S497" s="6">
        <f t="shared" si="2570"/>
        <v>5.3689999999999998</v>
      </c>
      <c r="T497" s="6">
        <f t="shared" si="2571"/>
        <v>5.7399999999987017E-2</v>
      </c>
      <c r="U497" s="6">
        <f t="shared" si="2572"/>
        <v>-0.13160000000000061</v>
      </c>
      <c r="V497" s="6">
        <f t="shared" si="2573"/>
        <v>-0.35000000000000853</v>
      </c>
      <c r="W497" s="9">
        <f>Tabla1[[#This Row],[Protein]]/Tabla1[[#This Row],[Peso (Kg)]]</f>
        <v>0.26762711864406769</v>
      </c>
      <c r="X497" s="9">
        <f t="shared" si="2382"/>
        <v>0.26229129513734523</v>
      </c>
      <c r="Y497" s="6">
        <f t="shared" si="2574"/>
        <v>37.087399999999988</v>
      </c>
      <c r="Z497" s="6">
        <f t="shared" ref="Z497" si="2585">AVERAGE(E491:E497)</f>
        <v>83.064285714285703</v>
      </c>
      <c r="AA497" s="6">
        <f t="shared" ref="AA497" si="2586">AVERAGE(N491:N497)</f>
        <v>12.129264285714287</v>
      </c>
      <c r="AB497" s="6">
        <f t="shared" ref="AB497" si="2587">AVERAGE(R491:R497)</f>
        <v>21.785592857142856</v>
      </c>
      <c r="AC497" s="6">
        <f t="shared" si="2578"/>
        <v>0.56120056894879422</v>
      </c>
      <c r="AD497" s="42">
        <f>Tabla1[[#This Row],[Avg Agua)]]/Tabla1[[#This Row],[Avg Musculo]]</f>
        <v>2.0953952858097904</v>
      </c>
    </row>
    <row r="498" spans="1:31" x14ac:dyDescent="0.3">
      <c r="A498" t="s">
        <v>141</v>
      </c>
      <c r="B498">
        <v>13</v>
      </c>
      <c r="C498" t="s">
        <v>21</v>
      </c>
      <c r="D498" s="4">
        <v>45740</v>
      </c>
      <c r="E498" s="6">
        <v>82.75</v>
      </c>
      <c r="F498" s="7">
        <f t="shared" si="2563"/>
        <v>23.412743322770485</v>
      </c>
      <c r="G498" s="9">
        <v>0.14099999999999999</v>
      </c>
      <c r="H498" s="6">
        <f t="shared" si="2564"/>
        <v>71.082250000000002</v>
      </c>
      <c r="I498" s="6">
        <f t="shared" si="2565"/>
        <v>21.738749999999996</v>
      </c>
      <c r="J498">
        <v>3.5</v>
      </c>
      <c r="K498" s="5">
        <v>6.5000000000000002E-2</v>
      </c>
      <c r="L498" s="17">
        <v>2039</v>
      </c>
      <c r="M498" s="5">
        <v>0.55400000000000005</v>
      </c>
      <c r="N498" s="6">
        <f t="shared" si="2566"/>
        <v>11.667749999999998</v>
      </c>
      <c r="O498" s="21">
        <f t="shared" si="2567"/>
        <v>45.843500000000006</v>
      </c>
      <c r="P498" s="8">
        <f t="shared" si="2381"/>
        <v>45.62641428571429</v>
      </c>
      <c r="Q498" s="8">
        <f t="shared" si="2568"/>
        <v>61.011250000000004</v>
      </c>
      <c r="R498" s="6">
        <f t="shared" si="2569"/>
        <v>21.738749999999996</v>
      </c>
      <c r="S498" s="6">
        <f t="shared" si="2570"/>
        <v>5.3787500000000001</v>
      </c>
      <c r="T498" s="6">
        <f t="shared" si="2571"/>
        <v>-0.36724999999999142</v>
      </c>
      <c r="U498" s="6">
        <f t="shared" si="2572"/>
        <v>0.18634999999999735</v>
      </c>
      <c r="V498" s="6">
        <f t="shared" si="2573"/>
        <v>0.15000000000000568</v>
      </c>
      <c r="W498" s="9">
        <f>Tabla1[[#This Row],[Protein]]/Tabla1[[#This Row],[Peso (Kg)]]</f>
        <v>0.26270392749244709</v>
      </c>
      <c r="X498" s="9">
        <f t="shared" si="2382"/>
        <v>0.26334778235421058</v>
      </c>
      <c r="Y498" s="6">
        <f t="shared" si="2574"/>
        <v>36.906499999999994</v>
      </c>
      <c r="Z498" s="6">
        <f t="shared" ref="Z498" si="2588">AVERAGE(E492:E498)</f>
        <v>82.892857142857139</v>
      </c>
      <c r="AA498" s="6">
        <f t="shared" ref="AA498" si="2589">AVERAGE(N492:N498)</f>
        <v>11.937192857142858</v>
      </c>
      <c r="AB498" s="6">
        <f t="shared" ref="AB498" si="2590">AVERAGE(R492:R498)</f>
        <v>21.829249999999995</v>
      </c>
      <c r="AC498" s="6">
        <f t="shared" si="2578"/>
        <v>0.20039455957621133</v>
      </c>
      <c r="AD498" s="42">
        <f>Tabla1[[#This Row],[Avg Agua)]]/Tabla1[[#This Row],[Avg Musculo]]</f>
        <v>2.0901503389128946</v>
      </c>
    </row>
    <row r="499" spans="1:31" x14ac:dyDescent="0.3">
      <c r="A499" t="s">
        <v>141</v>
      </c>
      <c r="B499">
        <v>13</v>
      </c>
      <c r="C499" t="s">
        <v>23</v>
      </c>
      <c r="D499" s="4">
        <v>45741</v>
      </c>
      <c r="E499" s="6">
        <v>82.7</v>
      </c>
      <c r="F499" s="7">
        <f t="shared" si="2563"/>
        <v>23.398596650067905</v>
      </c>
      <c r="G499" s="9">
        <v>0.14099999999999999</v>
      </c>
      <c r="H499" s="6">
        <f t="shared" si="2564"/>
        <v>71.039299999999997</v>
      </c>
      <c r="I499" s="6">
        <f t="shared" si="2565"/>
        <v>22.136999999999993</v>
      </c>
      <c r="J499">
        <v>3.5</v>
      </c>
      <c r="K499" s="5">
        <v>6.5000000000000002E-2</v>
      </c>
      <c r="L499" s="17">
        <v>2038</v>
      </c>
      <c r="M499" s="5">
        <v>0.54900000000000004</v>
      </c>
      <c r="N499" s="6">
        <f t="shared" si="2566"/>
        <v>11.660699999999999</v>
      </c>
      <c r="O499" s="21">
        <f t="shared" si="2567"/>
        <v>45.402300000000004</v>
      </c>
      <c r="P499" s="8">
        <f t="shared" si="2381"/>
        <v>45.599085714285714</v>
      </c>
      <c r="Q499" s="8">
        <f t="shared" si="2568"/>
        <v>60.563000000000009</v>
      </c>
      <c r="R499" s="6">
        <f t="shared" si="2569"/>
        <v>22.136999999999993</v>
      </c>
      <c r="S499" s="6">
        <f t="shared" si="2570"/>
        <v>5.3755000000000006</v>
      </c>
      <c r="T499" s="6">
        <f t="shared" si="2571"/>
        <v>0.39824999999999733</v>
      </c>
      <c r="U499" s="6">
        <f t="shared" si="2572"/>
        <v>-7.0499999999995566E-3</v>
      </c>
      <c r="V499" s="6">
        <f t="shared" si="2573"/>
        <v>-4.9999999999997158E-2</v>
      </c>
      <c r="W499" s="9">
        <f>Tabla1[[#This Row],[Protein]]/Tabla1[[#This Row],[Peso (Kg)]]</f>
        <v>0.26767835550181368</v>
      </c>
      <c r="X499" s="9">
        <f t="shared" si="2382"/>
        <v>0.2635971628105136</v>
      </c>
      <c r="Y499" s="6">
        <f t="shared" si="2574"/>
        <v>37.297699999999992</v>
      </c>
      <c r="Z499" s="6">
        <f t="shared" ref="Z499" si="2591">AVERAGE(E493:E499)</f>
        <v>82.821428571428569</v>
      </c>
      <c r="AA499" s="6">
        <f t="shared" ref="AA499" si="2592">AVERAGE(N493:N499)</f>
        <v>11.891464285714287</v>
      </c>
      <c r="AB499" s="6">
        <f t="shared" ref="AB499" si="2593">AVERAGE(R493:R499)</f>
        <v>21.83087857142857</v>
      </c>
      <c r="AC499" s="6">
        <f t="shared" si="2578"/>
        <v>7.460501064282532E-3</v>
      </c>
      <c r="AD499" s="42">
        <f>Tabla1[[#This Row],[Avg Agua)]]/Tabla1[[#This Row],[Avg Musculo]]</f>
        <v>2.0887425838172211</v>
      </c>
      <c r="AE499" t="s">
        <v>145</v>
      </c>
    </row>
    <row r="500" spans="1:31" x14ac:dyDescent="0.3">
      <c r="A500" t="s">
        <v>141</v>
      </c>
      <c r="B500">
        <v>13</v>
      </c>
      <c r="C500" t="s">
        <v>24</v>
      </c>
      <c r="D500" s="4">
        <v>45742</v>
      </c>
      <c r="E500" s="6">
        <v>82.25</v>
      </c>
      <c r="F500" s="7">
        <f t="shared" ref="F500:F505" si="2594">E500/(1.88^2)</f>
        <v>23.271276595744684</v>
      </c>
      <c r="G500" s="9">
        <v>0.13600000000000001</v>
      </c>
      <c r="H500" s="6">
        <f t="shared" ref="H500:H505" si="2595">E500-N500</f>
        <v>71.063999999999993</v>
      </c>
      <c r="I500" s="6">
        <f t="shared" ref="I500:I505" si="2596">E500-N500-O500-J500</f>
        <v>22.408749999999991</v>
      </c>
      <c r="J500">
        <v>3.5</v>
      </c>
      <c r="K500" s="5">
        <v>0.06</v>
      </c>
      <c r="L500" s="17">
        <v>2036</v>
      </c>
      <c r="M500" s="5">
        <v>0.54900000000000004</v>
      </c>
      <c r="N500" s="6">
        <f t="shared" ref="N500:N505" si="2597">E500*G500</f>
        <v>11.186</v>
      </c>
      <c r="O500" s="21">
        <f t="shared" ref="O500:O505" si="2598">M500*E500</f>
        <v>45.155250000000002</v>
      </c>
      <c r="P500" s="8">
        <f t="shared" si="2381"/>
        <v>45.563864285714295</v>
      </c>
      <c r="Q500" s="8">
        <f t="shared" ref="Q500:Q505" si="2599">E500-R500</f>
        <v>59.841250000000009</v>
      </c>
      <c r="R500" s="6">
        <f t="shared" ref="R500:R505" si="2600">I500</f>
        <v>22.408749999999991</v>
      </c>
      <c r="S500" s="6">
        <f t="shared" ref="S500:S505" si="2601">K500*E500</f>
        <v>4.9349999999999996</v>
      </c>
      <c r="T500" s="6">
        <f t="shared" ref="T500:T505" si="2602">I500-I499</f>
        <v>0.27174999999999727</v>
      </c>
      <c r="U500" s="6">
        <f t="shared" ref="U500:U505" si="2603">N500-N499</f>
        <v>-0.47469999999999857</v>
      </c>
      <c r="V500" s="6">
        <f t="shared" ref="V500:V505" si="2604">E500-E499</f>
        <v>-0.45000000000000284</v>
      </c>
      <c r="W500" s="9">
        <f>Tabla1[[#This Row],[Protein]]/Tabla1[[#This Row],[Peso (Kg)]]</f>
        <v>0.27244680851063818</v>
      </c>
      <c r="X500" s="9">
        <f t="shared" si="2382"/>
        <v>0.26512456704382054</v>
      </c>
      <c r="Y500" s="6">
        <f t="shared" ref="Y500:Y505" si="2605">R500+N500+J500</f>
        <v>37.094749999999991</v>
      </c>
      <c r="Z500" s="6">
        <f t="shared" ref="Z500" si="2606">AVERAGE(E494:E500)</f>
        <v>82.735714285714266</v>
      </c>
      <c r="AA500" s="6">
        <f t="shared" ref="AA500" si="2607">AVERAGE(N494:N500)</f>
        <v>11.737778571428569</v>
      </c>
      <c r="AB500" s="6">
        <f t="shared" ref="AB500" si="2608">AVERAGE(R494:R500)</f>
        <v>21.934071428571425</v>
      </c>
      <c r="AC500" s="6">
        <f t="shared" ref="AC500:AC505" si="2609">100*(AB500/AB499-1)</f>
        <v>0.47269218600258789</v>
      </c>
      <c r="AD500" s="42">
        <f>Tabla1[[#This Row],[Avg Agua)]]/Tabla1[[#This Row],[Avg Musculo]]</f>
        <v>2.0773099255235667</v>
      </c>
    </row>
    <row r="501" spans="1:31" x14ac:dyDescent="0.3">
      <c r="A501" t="s">
        <v>141</v>
      </c>
      <c r="B501">
        <v>13</v>
      </c>
      <c r="C501" t="s">
        <v>22</v>
      </c>
      <c r="D501" s="4">
        <v>45743</v>
      </c>
      <c r="E501" s="6">
        <v>83.3</v>
      </c>
      <c r="F501" s="7">
        <f t="shared" si="2594"/>
        <v>23.568356722498869</v>
      </c>
      <c r="G501" s="9">
        <v>0.14599999999999999</v>
      </c>
      <c r="H501" s="6">
        <f t="shared" si="2595"/>
        <v>71.138199999999998</v>
      </c>
      <c r="I501" s="6">
        <f t="shared" si="2596"/>
        <v>21.656599999999997</v>
      </c>
      <c r="J501">
        <v>3.5</v>
      </c>
      <c r="K501" s="5">
        <v>6.5000000000000002E-2</v>
      </c>
      <c r="L501" s="17">
        <v>2043</v>
      </c>
      <c r="M501" s="5">
        <v>0.55200000000000005</v>
      </c>
      <c r="N501" s="6">
        <f t="shared" si="2597"/>
        <v>12.161799999999999</v>
      </c>
      <c r="O501" s="21">
        <f t="shared" si="2598"/>
        <v>45.9816</v>
      </c>
      <c r="P501" s="8">
        <f t="shared" si="2381"/>
        <v>45.646592857142863</v>
      </c>
      <c r="Q501" s="8">
        <f t="shared" si="2599"/>
        <v>61.6434</v>
      </c>
      <c r="R501" s="6">
        <f t="shared" si="2600"/>
        <v>21.656599999999997</v>
      </c>
      <c r="S501" s="6">
        <f t="shared" si="2601"/>
        <v>5.4145000000000003</v>
      </c>
      <c r="T501" s="6">
        <f t="shared" si="2602"/>
        <v>-0.75214999999999321</v>
      </c>
      <c r="U501" s="6">
        <f t="shared" si="2603"/>
        <v>0.97579999999999956</v>
      </c>
      <c r="V501" s="6">
        <f t="shared" si="2604"/>
        <v>1.0499999999999972</v>
      </c>
      <c r="W501" s="9">
        <f>Tabla1[[#This Row],[Protein]]/Tabla1[[#This Row],[Peso (Kg)]]</f>
        <v>0.2599831932773109</v>
      </c>
      <c r="X501" s="9">
        <f t="shared" si="2382"/>
        <v>0.26475052984565844</v>
      </c>
      <c r="Y501" s="6">
        <f t="shared" si="2605"/>
        <v>37.318399999999997</v>
      </c>
      <c r="Z501" s="6">
        <f t="shared" ref="Z501" si="2610">AVERAGE(E495:E501)</f>
        <v>82.842857142857142</v>
      </c>
      <c r="AA501" s="6">
        <f t="shared" ref="AA501" si="2611">AVERAGE(N495:N501)</f>
        <v>11.765214285714285</v>
      </c>
      <c r="AB501" s="6">
        <f t="shared" ref="AB501" si="2612">AVERAGE(R495:R501)</f>
        <v>21.931049999999995</v>
      </c>
      <c r="AC501" s="6">
        <f t="shared" si="2609"/>
        <v>-1.3775046649544542E-2</v>
      </c>
      <c r="AD501" s="42">
        <f>Tabla1[[#This Row],[Avg Agua)]]/Tabla1[[#This Row],[Avg Musculo]]</f>
        <v>2.0813683274235784</v>
      </c>
      <c r="AE501" t="s">
        <v>144</v>
      </c>
    </row>
    <row r="502" spans="1:31" x14ac:dyDescent="0.3">
      <c r="A502" t="s">
        <v>141</v>
      </c>
      <c r="B502">
        <v>13</v>
      </c>
      <c r="C502" t="s">
        <v>20</v>
      </c>
      <c r="D502" s="4">
        <v>45744</v>
      </c>
      <c r="E502" s="6">
        <v>83.5</v>
      </c>
      <c r="F502" s="7">
        <f t="shared" si="2594"/>
        <v>23.62494341330919</v>
      </c>
      <c r="G502" s="9">
        <v>0.14499999999999999</v>
      </c>
      <c r="H502" s="6">
        <f t="shared" si="2595"/>
        <v>71.392499999999998</v>
      </c>
      <c r="I502" s="6">
        <f t="shared" si="2596"/>
        <v>21.633499999999991</v>
      </c>
      <c r="J502">
        <v>3.5</v>
      </c>
      <c r="K502" s="5">
        <v>6.5000000000000002E-2</v>
      </c>
      <c r="L502" s="17">
        <v>2050</v>
      </c>
      <c r="M502" s="5">
        <v>0.55400000000000005</v>
      </c>
      <c r="N502" s="6">
        <f t="shared" si="2597"/>
        <v>12.1075</v>
      </c>
      <c r="O502" s="21">
        <f t="shared" si="2598"/>
        <v>46.259000000000007</v>
      </c>
      <c r="P502" s="8">
        <f t="shared" si="2381"/>
        <v>45.706092857142856</v>
      </c>
      <c r="Q502" s="8">
        <f t="shared" si="2599"/>
        <v>61.866500000000009</v>
      </c>
      <c r="R502" s="6">
        <f t="shared" si="2600"/>
        <v>21.633499999999991</v>
      </c>
      <c r="S502" s="6">
        <f t="shared" si="2601"/>
        <v>5.4275000000000002</v>
      </c>
      <c r="T502" s="6">
        <f t="shared" si="2602"/>
        <v>-2.310000000000656E-2</v>
      </c>
      <c r="U502" s="6">
        <f t="shared" si="2603"/>
        <v>-5.4299999999999571E-2</v>
      </c>
      <c r="V502" s="6">
        <f t="shared" si="2604"/>
        <v>0.20000000000000284</v>
      </c>
      <c r="W502" s="9">
        <f>Tabla1[[#This Row],[Protein]]/Tabla1[[#This Row],[Peso (Kg)]]</f>
        <v>0.25908383233532922</v>
      </c>
      <c r="X502" s="9">
        <f t="shared" si="2382"/>
        <v>0.26504702041922895</v>
      </c>
      <c r="Y502" s="6">
        <f t="shared" si="2605"/>
        <v>37.240999999999993</v>
      </c>
      <c r="Z502" s="6">
        <f t="shared" ref="Z502" si="2613">AVERAGE(E496:E502)</f>
        <v>82.864285714285714</v>
      </c>
      <c r="AA502" s="6">
        <f t="shared" ref="AA502" si="2614">AVERAGE(N496:N502)</f>
        <v>11.69687857142857</v>
      </c>
      <c r="AB502" s="6">
        <f t="shared" ref="AB502" si="2615">AVERAGE(R496:R502)</f>
        <v>21.96131428571428</v>
      </c>
      <c r="AC502" s="6">
        <f t="shared" si="2609"/>
        <v>0.1379974315606658</v>
      </c>
      <c r="AD502" s="42">
        <f>Tabla1[[#This Row],[Avg Agua)]]/Tabla1[[#This Row],[Avg Musculo]]</f>
        <v>2.0812093603557429</v>
      </c>
    </row>
    <row r="503" spans="1:31" x14ac:dyDescent="0.3">
      <c r="A503" t="s">
        <v>141</v>
      </c>
      <c r="B503">
        <v>13</v>
      </c>
      <c r="C503" t="s">
        <v>121</v>
      </c>
      <c r="D503" s="4">
        <v>45745</v>
      </c>
      <c r="E503" s="6">
        <v>82.8</v>
      </c>
      <c r="F503" s="7">
        <f t="shared" si="2594"/>
        <v>23.426889995473065</v>
      </c>
      <c r="G503" s="9">
        <v>0.13700000000000001</v>
      </c>
      <c r="H503" s="6">
        <f t="shared" si="2595"/>
        <v>71.456400000000002</v>
      </c>
      <c r="I503" s="6">
        <f t="shared" si="2596"/>
        <v>22.416400000000003</v>
      </c>
      <c r="J503">
        <v>3.5</v>
      </c>
      <c r="K503" s="5">
        <v>0.06</v>
      </c>
      <c r="L503" s="17">
        <v>2047</v>
      </c>
      <c r="M503" s="5">
        <v>0.55000000000000004</v>
      </c>
      <c r="N503" s="6">
        <f t="shared" si="2597"/>
        <v>11.3436</v>
      </c>
      <c r="O503" s="21">
        <f t="shared" si="2598"/>
        <v>45.54</v>
      </c>
      <c r="P503" s="8">
        <f t="shared" si="2381"/>
        <v>45.670607142857143</v>
      </c>
      <c r="Q503" s="8">
        <f t="shared" si="2599"/>
        <v>60.383599999999994</v>
      </c>
      <c r="R503" s="6">
        <f t="shared" si="2600"/>
        <v>22.416400000000003</v>
      </c>
      <c r="S503" s="6">
        <f t="shared" si="2601"/>
        <v>4.968</v>
      </c>
      <c r="T503" s="6">
        <f t="shared" si="2602"/>
        <v>0.78290000000001214</v>
      </c>
      <c r="U503" s="6">
        <f t="shared" si="2603"/>
        <v>-0.76389999999999958</v>
      </c>
      <c r="V503" s="6">
        <f t="shared" si="2604"/>
        <v>-0.70000000000000284</v>
      </c>
      <c r="W503" s="9">
        <f>Tabla1[[#This Row],[Protein]]/Tabla1[[#This Row],[Peso (Kg)]]</f>
        <v>0.27072946859903385</v>
      </c>
      <c r="X503" s="9">
        <f t="shared" si="2382"/>
        <v>0.26575038633723436</v>
      </c>
      <c r="Y503" s="6">
        <f t="shared" si="2605"/>
        <v>37.260000000000005</v>
      </c>
      <c r="Z503" s="6">
        <f t="shared" ref="Z503" si="2616">AVERAGE(E497:E503)</f>
        <v>82.842857142857142</v>
      </c>
      <c r="AA503" s="6">
        <f t="shared" ref="AA503" si="2617">AVERAGE(N497:N503)</f>
        <v>11.658392857142855</v>
      </c>
      <c r="AB503" s="6">
        <f t="shared" ref="AB503" si="2618">AVERAGE(R497:R503)</f>
        <v>22.013857142857141</v>
      </c>
      <c r="AC503" s="6">
        <f t="shared" si="2609"/>
        <v>0.23925187927864577</v>
      </c>
      <c r="AD503" s="42">
        <f>Tabla1[[#This Row],[Avg Agua)]]/Tabla1[[#This Row],[Avg Musculo]]</f>
        <v>2.0746299408813931</v>
      </c>
    </row>
    <row r="504" spans="1:31" x14ac:dyDescent="0.3">
      <c r="A504" t="s">
        <v>141</v>
      </c>
      <c r="B504">
        <v>13</v>
      </c>
      <c r="C504" t="s">
        <v>26</v>
      </c>
      <c r="D504" s="4">
        <v>45746</v>
      </c>
      <c r="E504" s="6">
        <v>82.7</v>
      </c>
      <c r="F504" s="7">
        <f t="shared" si="2594"/>
        <v>23.398596650067905</v>
      </c>
      <c r="G504" s="9">
        <v>0.13400000000000001</v>
      </c>
      <c r="H504" s="6">
        <f t="shared" si="2595"/>
        <v>71.618200000000002</v>
      </c>
      <c r="I504" s="6">
        <f t="shared" si="2596"/>
        <v>22.467799999999997</v>
      </c>
      <c r="J504">
        <v>3.5</v>
      </c>
      <c r="K504" s="5">
        <v>0.06</v>
      </c>
      <c r="L504" s="17">
        <v>2049</v>
      </c>
      <c r="M504" s="5">
        <v>0.55200000000000005</v>
      </c>
      <c r="N504" s="6">
        <f t="shared" si="2597"/>
        <v>11.081800000000001</v>
      </c>
      <c r="O504" s="21">
        <f t="shared" si="2598"/>
        <v>45.650400000000005</v>
      </c>
      <c r="P504" s="8">
        <f t="shared" si="2381"/>
        <v>45.690292857142865</v>
      </c>
      <c r="Q504" s="8">
        <f t="shared" si="2599"/>
        <v>60.232200000000006</v>
      </c>
      <c r="R504" s="6">
        <f t="shared" si="2600"/>
        <v>22.467799999999997</v>
      </c>
      <c r="S504" s="6">
        <f t="shared" si="2601"/>
        <v>4.9619999999999997</v>
      </c>
      <c r="T504" s="6">
        <f t="shared" si="2602"/>
        <v>5.1399999999993895E-2</v>
      </c>
      <c r="U504" s="6">
        <f t="shared" si="2603"/>
        <v>-0.26179999999999914</v>
      </c>
      <c r="V504" s="6">
        <f t="shared" si="2604"/>
        <v>-9.9999999999994316E-2</v>
      </c>
      <c r="W504" s="9">
        <f>Tabla1[[#This Row],[Protein]]/Tabla1[[#This Row],[Peso (Kg)]]</f>
        <v>0.27167835550181374</v>
      </c>
      <c r="X504" s="9">
        <f t="shared" si="2382"/>
        <v>0.26632913445976952</v>
      </c>
      <c r="Y504" s="6">
        <f t="shared" si="2605"/>
        <v>37.049599999999998</v>
      </c>
      <c r="Z504" s="6">
        <f t="shared" ref="Z504" si="2619">AVERAGE(E498:E504)</f>
        <v>82.857142857142861</v>
      </c>
      <c r="AA504" s="6">
        <f t="shared" ref="AA504" si="2620">AVERAGE(N498:N504)</f>
        <v>11.601307142857141</v>
      </c>
      <c r="AB504" s="6">
        <f t="shared" ref="AB504" si="2621">AVERAGE(R498:R504)</f>
        <v>22.065542857142855</v>
      </c>
      <c r="AC504" s="6">
        <f t="shared" si="2609"/>
        <v>0.23478717950382588</v>
      </c>
      <c r="AD504" s="42">
        <f>Tabla1[[#This Row],[Avg Agua)]]/Tabla1[[#This Row],[Avg Musculo]]</f>
        <v>2.0706625326624324</v>
      </c>
    </row>
    <row r="505" spans="1:31" x14ac:dyDescent="0.3">
      <c r="A505" t="s">
        <v>141</v>
      </c>
      <c r="B505">
        <v>14</v>
      </c>
      <c r="C505" t="s">
        <v>21</v>
      </c>
      <c r="D505" s="4">
        <v>45747</v>
      </c>
      <c r="E505" s="6">
        <v>82.35</v>
      </c>
      <c r="F505" s="7">
        <f t="shared" si="2594"/>
        <v>23.299569941149841</v>
      </c>
      <c r="G505" s="9">
        <v>0.13100000000000001</v>
      </c>
      <c r="H505" s="6">
        <f t="shared" si="2595"/>
        <v>71.562150000000003</v>
      </c>
      <c r="I505" s="6">
        <f t="shared" si="2596"/>
        <v>22.110849999999999</v>
      </c>
      <c r="J505">
        <v>3.5</v>
      </c>
      <c r="K505" s="5">
        <v>0.06</v>
      </c>
      <c r="L505" s="17">
        <v>2051</v>
      </c>
      <c r="M505" s="5">
        <v>0.55800000000000005</v>
      </c>
      <c r="N505" s="6">
        <f t="shared" si="2597"/>
        <v>10.787849999999999</v>
      </c>
      <c r="O505" s="21">
        <f t="shared" si="2598"/>
        <v>45.951300000000003</v>
      </c>
      <c r="P505" s="8">
        <f t="shared" si="2381"/>
        <v>45.705692857142864</v>
      </c>
      <c r="Q505" s="8">
        <f t="shared" si="2599"/>
        <v>60.239149999999995</v>
      </c>
      <c r="R505" s="6">
        <f t="shared" si="2600"/>
        <v>22.110849999999999</v>
      </c>
      <c r="S505" s="6">
        <f t="shared" si="2601"/>
        <v>4.9409999999999998</v>
      </c>
      <c r="T505" s="6">
        <f t="shared" si="2602"/>
        <v>-0.35694999999999766</v>
      </c>
      <c r="U505" s="6">
        <f t="shared" si="2603"/>
        <v>-0.29395000000000238</v>
      </c>
      <c r="V505" s="6">
        <f t="shared" si="2604"/>
        <v>-0.35000000000000853</v>
      </c>
      <c r="W505" s="9">
        <f>Tabla1[[#This Row],[Protein]]/Tabla1[[#This Row],[Peso (Kg)]]</f>
        <v>0.26849848208864602</v>
      </c>
      <c r="X505" s="9">
        <f t="shared" si="2382"/>
        <v>0.2671569279735122</v>
      </c>
      <c r="Y505" s="6">
        <f t="shared" si="2605"/>
        <v>36.398699999999998</v>
      </c>
      <c r="Z505" s="6">
        <f t="shared" ref="Z505" si="2622">AVERAGE(E499:E505)</f>
        <v>82.8</v>
      </c>
      <c r="AA505" s="6">
        <f t="shared" ref="AA505" si="2623">AVERAGE(N499:N505)</f>
        <v>11.475607142857143</v>
      </c>
      <c r="AB505" s="6">
        <f t="shared" ref="AB505" si="2624">AVERAGE(R499:R505)</f>
        <v>22.118699999999993</v>
      </c>
      <c r="AC505" s="6">
        <f t="shared" si="2609"/>
        <v>0.24090566545897918</v>
      </c>
      <c r="AD505" s="42">
        <f>Tabla1[[#This Row],[Avg Agua)]]/Tabla1[[#This Row],[Avg Musculo]]</f>
        <v>2.0663824210800308</v>
      </c>
    </row>
    <row r="506" spans="1:31" x14ac:dyDescent="0.3">
      <c r="A506" t="s">
        <v>141</v>
      </c>
      <c r="B506">
        <v>14</v>
      </c>
      <c r="C506" t="s">
        <v>23</v>
      </c>
      <c r="D506" s="4">
        <v>45748</v>
      </c>
      <c r="E506" s="6">
        <v>82.85</v>
      </c>
      <c r="F506" s="7">
        <f t="shared" ref="F506:F511" si="2625">E506/(1.88^2)</f>
        <v>23.441036668175645</v>
      </c>
      <c r="G506" s="9">
        <v>0.13600000000000001</v>
      </c>
      <c r="H506" s="6">
        <f t="shared" ref="H506:H511" si="2626">E506-N506</f>
        <v>71.582399999999993</v>
      </c>
      <c r="I506" s="6">
        <f t="shared" ref="I506:I511" si="2627">E506-N506-O506-J506</f>
        <v>22.349199999999989</v>
      </c>
      <c r="J506">
        <v>3.5</v>
      </c>
      <c r="K506" s="5">
        <v>0.06</v>
      </c>
      <c r="L506" s="17">
        <v>2053</v>
      </c>
      <c r="M506" s="5">
        <v>0.55200000000000005</v>
      </c>
      <c r="N506" s="6">
        <f t="shared" ref="N506:N511" si="2628">E506*G506</f>
        <v>11.2676</v>
      </c>
      <c r="O506" s="21">
        <f t="shared" ref="O506:O511" si="2629">M506*E506</f>
        <v>45.733200000000004</v>
      </c>
      <c r="P506" s="8">
        <f t="shared" si="2381"/>
        <v>45.752964285714292</v>
      </c>
      <c r="Q506" s="8">
        <f t="shared" ref="Q506:Q511" si="2630">E506-R506</f>
        <v>60.500800000000005</v>
      </c>
      <c r="R506" s="6">
        <f t="shared" ref="R506:R511" si="2631">I506</f>
        <v>22.349199999999989</v>
      </c>
      <c r="S506" s="6">
        <f t="shared" ref="S506:S511" si="2632">K506*E506</f>
        <v>4.9709999999999992</v>
      </c>
      <c r="T506" s="6">
        <f t="shared" ref="T506:T511" si="2633">I506-I505</f>
        <v>0.23834999999998985</v>
      </c>
      <c r="U506" s="6">
        <f t="shared" ref="U506:U511" si="2634">N506-N505</f>
        <v>0.47975000000000101</v>
      </c>
      <c r="V506" s="6">
        <f t="shared" ref="V506:V511" si="2635">E506-E505</f>
        <v>0.5</v>
      </c>
      <c r="W506" s="9">
        <f>Tabla1[[#This Row],[Protein]]/Tabla1[[#This Row],[Peso (Kg)]]</f>
        <v>0.26975497887748934</v>
      </c>
      <c r="X506" s="9">
        <f t="shared" si="2382"/>
        <v>0.26745358845575162</v>
      </c>
      <c r="Y506" s="6">
        <f t="shared" ref="Y506:Y511" si="2636">R506+N506+J506</f>
        <v>37.116799999999991</v>
      </c>
      <c r="Z506" s="6">
        <f t="shared" ref="Z506" si="2637">AVERAGE(E500:E506)</f>
        <v>82.821428571428569</v>
      </c>
      <c r="AA506" s="6">
        <f t="shared" ref="AA506" si="2638">AVERAGE(N500:N506)</f>
        <v>11.419450000000001</v>
      </c>
      <c r="AB506" s="6">
        <f t="shared" ref="AB506" si="2639">AVERAGE(R500:R506)</f>
        <v>22.149014285714284</v>
      </c>
      <c r="AC506" s="6">
        <f t="shared" ref="AC506:AC511" si="2640">100*(AB506/AB505-1)</f>
        <v>0.13705274593123207</v>
      </c>
      <c r="AD506" s="42">
        <f>Tabla1[[#This Row],[Avg Agua)]]/Tabla1[[#This Row],[Avg Musculo]]</f>
        <v>2.0656885085502035</v>
      </c>
    </row>
    <row r="507" spans="1:31" x14ac:dyDescent="0.3">
      <c r="A507" t="s">
        <v>141</v>
      </c>
      <c r="B507">
        <v>14</v>
      </c>
      <c r="C507" t="s">
        <v>24</v>
      </c>
      <c r="D507" s="4">
        <v>45749</v>
      </c>
      <c r="E507" s="6">
        <v>82.65</v>
      </c>
      <c r="F507" s="7">
        <f t="shared" si="2625"/>
        <v>23.384449977365328</v>
      </c>
      <c r="G507" s="9">
        <v>0.13900000000000001</v>
      </c>
      <c r="H507" s="6">
        <f t="shared" si="2626"/>
        <v>71.161650000000009</v>
      </c>
      <c r="I507" s="6">
        <f t="shared" si="2627"/>
        <v>22.038850000000004</v>
      </c>
      <c r="J507">
        <v>3.5</v>
      </c>
      <c r="K507" s="5">
        <v>6.5000000000000002E-2</v>
      </c>
      <c r="L507" s="17">
        <v>2042</v>
      </c>
      <c r="M507" s="5">
        <v>0.55200000000000005</v>
      </c>
      <c r="N507" s="6">
        <f t="shared" si="2628"/>
        <v>11.488350000000002</v>
      </c>
      <c r="O507" s="21">
        <f t="shared" si="2629"/>
        <v>45.622800000000005</v>
      </c>
      <c r="P507" s="8">
        <f t="shared" si="2381"/>
        <v>45.819757142857142</v>
      </c>
      <c r="Q507" s="8">
        <f t="shared" si="2630"/>
        <v>60.611150000000002</v>
      </c>
      <c r="R507" s="6">
        <f t="shared" si="2631"/>
        <v>22.038850000000004</v>
      </c>
      <c r="S507" s="6">
        <f t="shared" si="2632"/>
        <v>5.3722500000000002</v>
      </c>
      <c r="T507" s="6">
        <f t="shared" si="2633"/>
        <v>-0.31034999999998547</v>
      </c>
      <c r="U507" s="6">
        <f t="shared" si="2634"/>
        <v>0.22075000000000244</v>
      </c>
      <c r="V507" s="6">
        <f t="shared" si="2635"/>
        <v>-0.19999999999998863</v>
      </c>
      <c r="W507" s="9">
        <f>Tabla1[[#This Row],[Protein]]/Tabla1[[#This Row],[Peso (Kg)]]</f>
        <v>0.2666527525710829</v>
      </c>
      <c r="X507" s="9">
        <f t="shared" si="2382"/>
        <v>0.26662586617867229</v>
      </c>
      <c r="Y507" s="6">
        <f t="shared" si="2636"/>
        <v>37.027200000000008</v>
      </c>
      <c r="Z507" s="6">
        <f t="shared" ref="Z507" si="2641">AVERAGE(E501:E507)</f>
        <v>82.878571428571419</v>
      </c>
      <c r="AA507" s="6">
        <f t="shared" ref="AA507" si="2642">AVERAGE(N501:N507)</f>
        <v>11.462642857142857</v>
      </c>
      <c r="AB507" s="6">
        <f t="shared" ref="AB507" si="2643">AVERAGE(R501:R507)</f>
        <v>22.096171428571427</v>
      </c>
      <c r="AC507" s="6">
        <f t="shared" si="2640"/>
        <v>-0.23857882098590188</v>
      </c>
      <c r="AD507" s="42">
        <f>Tabla1[[#This Row],[Avg Agua)]]/Tabla1[[#This Row],[Avg Musculo]]</f>
        <v>2.0736514147247229</v>
      </c>
    </row>
    <row r="508" spans="1:31" x14ac:dyDescent="0.3">
      <c r="A508" t="s">
        <v>141</v>
      </c>
      <c r="B508">
        <v>14</v>
      </c>
      <c r="C508" t="s">
        <v>22</v>
      </c>
      <c r="D508" s="4">
        <v>45750</v>
      </c>
      <c r="E508" s="6">
        <v>82.9</v>
      </c>
      <c r="F508" s="7">
        <f t="shared" si="2625"/>
        <v>23.455183340878229</v>
      </c>
      <c r="G508" s="9">
        <v>0.13700000000000001</v>
      </c>
      <c r="H508" s="6">
        <f t="shared" si="2626"/>
        <v>71.542699999999996</v>
      </c>
      <c r="I508" s="6">
        <f t="shared" si="2627"/>
        <v>22.198999999999991</v>
      </c>
      <c r="J508">
        <v>3.5</v>
      </c>
      <c r="K508" s="5">
        <v>0.06</v>
      </c>
      <c r="L508" s="17">
        <v>2051</v>
      </c>
      <c r="M508" s="5">
        <v>0.55300000000000005</v>
      </c>
      <c r="N508" s="6">
        <f t="shared" si="2628"/>
        <v>11.357300000000002</v>
      </c>
      <c r="O508" s="21">
        <f t="shared" si="2629"/>
        <v>45.843700000000005</v>
      </c>
      <c r="P508" s="8">
        <f t="shared" si="2381"/>
        <v>45.800057142857149</v>
      </c>
      <c r="Q508" s="8">
        <f t="shared" si="2630"/>
        <v>60.701000000000015</v>
      </c>
      <c r="R508" s="6">
        <f t="shared" si="2631"/>
        <v>22.198999999999991</v>
      </c>
      <c r="S508" s="6">
        <f t="shared" si="2632"/>
        <v>4.9740000000000002</v>
      </c>
      <c r="T508" s="6">
        <f t="shared" si="2633"/>
        <v>0.16014999999998736</v>
      </c>
      <c r="U508" s="6">
        <f t="shared" si="2634"/>
        <v>-0.13105000000000011</v>
      </c>
      <c r="V508" s="6">
        <f t="shared" si="2635"/>
        <v>0.25</v>
      </c>
      <c r="W508" s="9">
        <f>Tabla1[[#This Row],[Protein]]/Tabla1[[#This Row],[Peso (Kg)]]</f>
        <v>0.26778045838359454</v>
      </c>
      <c r="X508" s="9">
        <f t="shared" si="2382"/>
        <v>0.26773976119385567</v>
      </c>
      <c r="Y508" s="6">
        <f t="shared" si="2636"/>
        <v>37.056299999999993</v>
      </c>
      <c r="Z508" s="6">
        <f t="shared" ref="Z508" si="2644">AVERAGE(E502:E508)</f>
        <v>82.821428571428569</v>
      </c>
      <c r="AA508" s="6">
        <f t="shared" ref="AA508" si="2645">AVERAGE(N502:N508)</f>
        <v>11.347714285714286</v>
      </c>
      <c r="AB508" s="6">
        <f t="shared" ref="AB508" si="2646">AVERAGE(R502:R508)</f>
        <v>22.173657142857138</v>
      </c>
      <c r="AC508" s="6">
        <f t="shared" si="2640"/>
        <v>0.35067484218338496</v>
      </c>
      <c r="AD508" s="42">
        <f>Tabla1[[#This Row],[Avg Agua)]]/Tabla1[[#This Row],[Avg Musculo]]</f>
        <v>2.0655166104437965</v>
      </c>
    </row>
    <row r="509" spans="1:31" x14ac:dyDescent="0.3">
      <c r="A509" t="s">
        <v>141</v>
      </c>
      <c r="B509">
        <v>14</v>
      </c>
      <c r="C509" t="s">
        <v>20</v>
      </c>
      <c r="D509" s="4">
        <v>45751</v>
      </c>
      <c r="E509" s="6">
        <v>82.85</v>
      </c>
      <c r="F509" s="7">
        <f t="shared" si="2625"/>
        <v>23.441036668175645</v>
      </c>
      <c r="G509" s="9">
        <v>0.13900000000000001</v>
      </c>
      <c r="H509" s="6">
        <f t="shared" si="2626"/>
        <v>71.333849999999998</v>
      </c>
      <c r="I509" s="6">
        <f t="shared" si="2627"/>
        <v>21.934950000000001</v>
      </c>
      <c r="J509">
        <v>3.5</v>
      </c>
      <c r="K509" s="5">
        <v>6.5000000000000002E-2</v>
      </c>
      <c r="L509" s="17">
        <v>2045</v>
      </c>
      <c r="M509" s="5">
        <v>0.55400000000000005</v>
      </c>
      <c r="N509" s="6">
        <f t="shared" si="2628"/>
        <v>11.51615</v>
      </c>
      <c r="O509" s="21">
        <f t="shared" si="2629"/>
        <v>45.898899999999998</v>
      </c>
      <c r="P509" s="8">
        <f t="shared" si="2381"/>
        <v>45.748614285714289</v>
      </c>
      <c r="Q509" s="8">
        <f t="shared" si="2630"/>
        <v>60.915049999999994</v>
      </c>
      <c r="R509" s="6">
        <f t="shared" si="2631"/>
        <v>21.934950000000001</v>
      </c>
      <c r="S509" s="6">
        <f t="shared" si="2632"/>
        <v>5.3852500000000001</v>
      </c>
      <c r="T509" s="6">
        <f t="shared" si="2633"/>
        <v>-0.26404999999999035</v>
      </c>
      <c r="U509" s="6">
        <f t="shared" si="2634"/>
        <v>0.15884999999999749</v>
      </c>
      <c r="V509" s="6">
        <f t="shared" si="2635"/>
        <v>-5.0000000000011369E-2</v>
      </c>
      <c r="W509" s="9">
        <f>Tabla1[[#This Row],[Protein]]/Tabla1[[#This Row],[Peso (Kg)]]</f>
        <v>0.26475497887748944</v>
      </c>
      <c r="X509" s="9">
        <f t="shared" si="2382"/>
        <v>0.26854992498559282</v>
      </c>
      <c r="Y509" s="6">
        <f t="shared" si="2636"/>
        <v>36.951099999999997</v>
      </c>
      <c r="Z509" s="6">
        <f t="shared" ref="Z509" si="2647">AVERAGE(E503:E509)</f>
        <v>82.728571428571428</v>
      </c>
      <c r="AA509" s="6">
        <f t="shared" ref="AA509" si="2648">AVERAGE(N503:N509)</f>
        <v>11.263235714285715</v>
      </c>
      <c r="AB509" s="6">
        <f t="shared" ref="AB509" si="2649">AVERAGE(R503:R509)</f>
        <v>22.216721428571425</v>
      </c>
      <c r="AC509" s="6">
        <f t="shared" si="2640"/>
        <v>0.19421372593992903</v>
      </c>
      <c r="AD509" s="42">
        <f>Tabla1[[#This Row],[Avg Agua)]]/Tabla1[[#This Row],[Avg Musculo]]</f>
        <v>2.0591973677484243</v>
      </c>
    </row>
    <row r="510" spans="1:31" x14ac:dyDescent="0.3">
      <c r="A510" t="s">
        <v>141</v>
      </c>
      <c r="B510">
        <v>14</v>
      </c>
      <c r="C510" t="s">
        <v>121</v>
      </c>
      <c r="D510" s="4">
        <v>45752</v>
      </c>
      <c r="E510" s="6">
        <v>83.55</v>
      </c>
      <c r="F510" s="7">
        <f t="shared" si="2625"/>
        <v>23.63909008601177</v>
      </c>
      <c r="G510" s="9">
        <v>0.13900000000000001</v>
      </c>
      <c r="H510" s="6">
        <f t="shared" si="2626"/>
        <v>71.936549999999997</v>
      </c>
      <c r="I510" s="6">
        <f t="shared" si="2627"/>
        <v>22.233399999999996</v>
      </c>
      <c r="J510">
        <v>3.5</v>
      </c>
      <c r="K510" s="5">
        <v>6.5000000000000002E-2</v>
      </c>
      <c r="L510" s="17">
        <v>2064</v>
      </c>
      <c r="M510" s="5">
        <v>0.55300000000000005</v>
      </c>
      <c r="N510" s="6">
        <f t="shared" si="2628"/>
        <v>11.61345</v>
      </c>
      <c r="O510" s="21">
        <f t="shared" si="2629"/>
        <v>46.203150000000001</v>
      </c>
      <c r="P510" s="8">
        <f t="shared" si="2381"/>
        <v>45.843350000000001</v>
      </c>
      <c r="Q510" s="8">
        <f t="shared" si="2630"/>
        <v>61.316600000000001</v>
      </c>
      <c r="R510" s="6">
        <f t="shared" si="2631"/>
        <v>22.233399999999996</v>
      </c>
      <c r="S510" s="6">
        <f t="shared" si="2632"/>
        <v>5.4307499999999997</v>
      </c>
      <c r="T510" s="6">
        <f t="shared" si="2633"/>
        <v>0.29844999999999544</v>
      </c>
      <c r="U510" s="6">
        <f t="shared" si="2634"/>
        <v>9.7300000000000608E-2</v>
      </c>
      <c r="V510" s="6">
        <f t="shared" si="2635"/>
        <v>0.70000000000000284</v>
      </c>
      <c r="W510" s="9">
        <f>Tabla1[[#This Row],[Protein]]/Tabla1[[#This Row],[Peso (Kg)]]</f>
        <v>0.26610891681627763</v>
      </c>
      <c r="X510" s="9">
        <f t="shared" si="2382"/>
        <v>0.2678898461594848</v>
      </c>
      <c r="Y510" s="6">
        <f t="shared" si="2636"/>
        <v>37.346849999999996</v>
      </c>
      <c r="Z510" s="6">
        <f t="shared" ref="Z510" si="2650">AVERAGE(E504:E510)</f>
        <v>82.835714285714289</v>
      </c>
      <c r="AA510" s="6">
        <f t="shared" ref="AA510" si="2651">AVERAGE(N504:N510)</f>
        <v>11.301785714285716</v>
      </c>
      <c r="AB510" s="6">
        <f t="shared" ref="AB510" si="2652">AVERAGE(R504:R510)</f>
        <v>22.190578571428567</v>
      </c>
      <c r="AC510" s="6">
        <f t="shared" si="2640"/>
        <v>-0.11767198516176025</v>
      </c>
      <c r="AD510" s="42">
        <f>Tabla1[[#This Row],[Avg Agua)]]/Tabla1[[#This Row],[Avg Musculo]]</f>
        <v>2.0658925071483045</v>
      </c>
    </row>
    <row r="511" spans="1:31" x14ac:dyDescent="0.3">
      <c r="A511" t="s">
        <v>141</v>
      </c>
      <c r="B511">
        <v>14</v>
      </c>
      <c r="C511" t="s">
        <v>26</v>
      </c>
      <c r="D511" s="4">
        <v>45753</v>
      </c>
      <c r="E511" s="6">
        <v>83.45</v>
      </c>
      <c r="F511" s="7">
        <f t="shared" si="2625"/>
        <v>23.610796740606613</v>
      </c>
      <c r="G511" s="9">
        <v>0.14299999999999999</v>
      </c>
      <c r="H511" s="6">
        <f t="shared" si="2626"/>
        <v>71.516649999999998</v>
      </c>
      <c r="I511" s="6">
        <f t="shared" si="2627"/>
        <v>21.701899999999995</v>
      </c>
      <c r="J511">
        <v>3.5</v>
      </c>
      <c r="K511" s="5">
        <v>6.5000000000000002E-2</v>
      </c>
      <c r="L511" s="17">
        <v>2052</v>
      </c>
      <c r="M511" s="5">
        <v>0.55500000000000005</v>
      </c>
      <c r="N511" s="6">
        <f t="shared" si="2628"/>
        <v>11.933349999999999</v>
      </c>
      <c r="O511" s="21">
        <f t="shared" si="2629"/>
        <v>46.314750000000004</v>
      </c>
      <c r="P511" s="8">
        <f t="shared" si="2381"/>
        <v>45.938257142857147</v>
      </c>
      <c r="Q511" s="8">
        <f t="shared" si="2630"/>
        <v>61.748100000000008</v>
      </c>
      <c r="R511" s="6">
        <f t="shared" si="2631"/>
        <v>21.701899999999995</v>
      </c>
      <c r="S511" s="6">
        <f t="shared" si="2632"/>
        <v>5.4242500000000007</v>
      </c>
      <c r="T511" s="6">
        <f t="shared" si="2633"/>
        <v>-0.53150000000000119</v>
      </c>
      <c r="U511" s="6">
        <f t="shared" si="2634"/>
        <v>0.31989999999999874</v>
      </c>
      <c r="V511" s="6">
        <f t="shared" si="2635"/>
        <v>-9.9999999999994316E-2</v>
      </c>
      <c r="W511" s="9">
        <f>Tabla1[[#This Row],[Protein]]/Tabla1[[#This Row],[Peso (Kg)]]</f>
        <v>0.26005871779508682</v>
      </c>
      <c r="X511" s="9">
        <f t="shared" si="2382"/>
        <v>0.26622989791566665</v>
      </c>
      <c r="Y511" s="6">
        <f t="shared" si="2636"/>
        <v>37.135249999999992</v>
      </c>
      <c r="Z511" s="6">
        <f t="shared" ref="Z511" si="2653">AVERAGE(E505:E511)</f>
        <v>82.94285714285715</v>
      </c>
      <c r="AA511" s="6">
        <f t="shared" ref="AA511" si="2654">AVERAGE(N505:N511)</f>
        <v>11.423435714285716</v>
      </c>
      <c r="AB511" s="6">
        <f t="shared" ref="AB511" si="2655">AVERAGE(R505:R511)</f>
        <v>22.081164285714284</v>
      </c>
      <c r="AC511" s="6">
        <f t="shared" si="2640"/>
        <v>-0.49306639465074298</v>
      </c>
      <c r="AD511" s="42">
        <f>Tabla1[[#This Row],[Avg Agua)]]/Tabla1[[#This Row],[Avg Musculo]]</f>
        <v>2.0804273066605252</v>
      </c>
    </row>
    <row r="512" spans="1:31" x14ac:dyDescent="0.3">
      <c r="A512" t="s">
        <v>141</v>
      </c>
      <c r="B512">
        <v>15</v>
      </c>
      <c r="C512" t="s">
        <v>21</v>
      </c>
      <c r="D512" s="4">
        <v>45754</v>
      </c>
      <c r="E512" s="6">
        <v>83.45</v>
      </c>
      <c r="F512" s="7">
        <f t="shared" ref="F512:F517" si="2656">E512/(1.88^2)</f>
        <v>23.610796740606613</v>
      </c>
      <c r="G512" s="9">
        <v>0.14199999999999999</v>
      </c>
      <c r="H512" s="6">
        <f t="shared" ref="H512:H517" si="2657">E512-N512</f>
        <v>71.600099999999998</v>
      </c>
      <c r="I512" s="6">
        <f t="shared" ref="I512:I517" si="2658">E512-N512-O512-J512</f>
        <v>21.868799999999993</v>
      </c>
      <c r="J512">
        <v>3.5</v>
      </c>
      <c r="K512" s="5">
        <v>6.5000000000000002E-2</v>
      </c>
      <c r="L512" s="17">
        <v>2056</v>
      </c>
      <c r="M512" s="5">
        <v>0.55400000000000005</v>
      </c>
      <c r="N512" s="6">
        <f t="shared" ref="N512:N517" si="2659">E512*G512</f>
        <v>11.8499</v>
      </c>
      <c r="O512" s="21">
        <f t="shared" ref="O512:O517" si="2660">M512*E512</f>
        <v>46.231300000000005</v>
      </c>
      <c r="P512" s="8">
        <f t="shared" si="2381"/>
        <v>45.978257142857146</v>
      </c>
      <c r="Q512" s="8">
        <f t="shared" ref="Q512:Q517" si="2661">E512-R512</f>
        <v>61.58120000000001</v>
      </c>
      <c r="R512" s="6">
        <f t="shared" ref="R512:R517" si="2662">I512</f>
        <v>21.868799999999993</v>
      </c>
      <c r="S512" s="6">
        <f t="shared" ref="S512:S517" si="2663">K512*E512</f>
        <v>5.4242500000000007</v>
      </c>
      <c r="T512" s="6">
        <f t="shared" ref="T512:T517" si="2664">I512-I511</f>
        <v>0.16689999999999827</v>
      </c>
      <c r="U512" s="6">
        <f t="shared" ref="U512:U517" si="2665">N512-N511</f>
        <v>-8.3449999999999136E-2</v>
      </c>
      <c r="V512" s="6">
        <f t="shared" ref="V512:V517" si="2666">E512-E511</f>
        <v>0</v>
      </c>
      <c r="W512" s="9">
        <f>Tabla1[[#This Row],[Protein]]/Tabla1[[#This Row],[Peso (Kg)]]</f>
        <v>0.26205871779508677</v>
      </c>
      <c r="X512" s="9">
        <f t="shared" si="2382"/>
        <v>0.26530993158801536</v>
      </c>
      <c r="Y512" s="6">
        <f t="shared" ref="Y512:Y517" si="2667">R512+N512+J512</f>
        <v>37.218699999999991</v>
      </c>
      <c r="Z512" s="6">
        <f t="shared" ref="Z512" si="2668">AVERAGE(E506:E512)</f>
        <v>83.100000000000009</v>
      </c>
      <c r="AA512" s="6">
        <f t="shared" ref="AA512" si="2669">AVERAGE(N506:N512)</f>
        <v>11.575157142857146</v>
      </c>
      <c r="AB512" s="6">
        <f t="shared" ref="AB512" si="2670">AVERAGE(R506:R512)</f>
        <v>22.046585714285708</v>
      </c>
      <c r="AC512" s="6">
        <f t="shared" ref="AC512:AC517" si="2671">100*(AB512/AB511-1)</f>
        <v>-0.15659759141842811</v>
      </c>
      <c r="AD512" s="42">
        <f>Tabla1[[#This Row],[Avg Agua)]]/Tabla1[[#This Row],[Avg Musculo]]</f>
        <v>2.0855046554017767</v>
      </c>
    </row>
    <row r="513" spans="1:31" x14ac:dyDescent="0.3">
      <c r="A513" t="s">
        <v>141</v>
      </c>
      <c r="B513">
        <v>15</v>
      </c>
      <c r="C513" t="s">
        <v>23</v>
      </c>
      <c r="D513" s="4">
        <v>45755</v>
      </c>
      <c r="E513" s="6">
        <v>82.9</v>
      </c>
      <c r="F513" s="7">
        <f t="shared" si="2656"/>
        <v>23.455183340878229</v>
      </c>
      <c r="G513" s="9">
        <v>0.13200000000000001</v>
      </c>
      <c r="H513" s="6">
        <f t="shared" si="2657"/>
        <v>71.9572</v>
      </c>
      <c r="I513" s="6">
        <f t="shared" si="2658"/>
        <v>22.779299999999992</v>
      </c>
      <c r="J513">
        <v>3.5</v>
      </c>
      <c r="K513" s="5">
        <v>0.06</v>
      </c>
      <c r="L513" s="17">
        <v>2062</v>
      </c>
      <c r="M513" s="5">
        <v>0.55100000000000005</v>
      </c>
      <c r="N513" s="6">
        <f t="shared" si="2659"/>
        <v>10.942800000000002</v>
      </c>
      <c r="O513" s="21">
        <f t="shared" si="2660"/>
        <v>45.677900000000008</v>
      </c>
      <c r="P513" s="8">
        <f t="shared" si="2381"/>
        <v>45.970357142857146</v>
      </c>
      <c r="Q513" s="8">
        <f t="shared" si="2661"/>
        <v>60.120700000000014</v>
      </c>
      <c r="R513" s="6">
        <f t="shared" si="2662"/>
        <v>22.779299999999992</v>
      </c>
      <c r="S513" s="6">
        <f t="shared" si="2663"/>
        <v>4.9740000000000002</v>
      </c>
      <c r="T513" s="6">
        <f t="shared" si="2664"/>
        <v>0.91049999999999898</v>
      </c>
      <c r="U513" s="6">
        <f t="shared" si="2665"/>
        <v>-0.90709999999999802</v>
      </c>
      <c r="V513" s="6">
        <f t="shared" si="2666"/>
        <v>-0.54999999999999716</v>
      </c>
      <c r="W513" s="9">
        <f>Tabla1[[#This Row],[Protein]]/Tabla1[[#This Row],[Peso (Kg)]]</f>
        <v>0.27478045838359461</v>
      </c>
      <c r="X513" s="9">
        <f t="shared" si="2382"/>
        <v>0.26602785723174466</v>
      </c>
      <c r="Y513" s="6">
        <f t="shared" si="2667"/>
        <v>37.222099999999998</v>
      </c>
      <c r="Z513" s="6">
        <f t="shared" ref="Z513" si="2672">AVERAGE(E507:E513)</f>
        <v>83.107142857142861</v>
      </c>
      <c r="AA513" s="6">
        <f t="shared" ref="AA513" si="2673">AVERAGE(N507:N513)</f>
        <v>11.528757142857144</v>
      </c>
      <c r="AB513" s="6">
        <f t="shared" ref="AB513" si="2674">AVERAGE(R507:R513)</f>
        <v>22.108028571428569</v>
      </c>
      <c r="AC513" s="6">
        <f t="shared" si="2671"/>
        <v>0.27869556737325496</v>
      </c>
      <c r="AD513" s="42">
        <f>Tabla1[[#This Row],[Avg Agua)]]/Tabla1[[#This Row],[Avg Musculo]]</f>
        <v>2.0793512634711893</v>
      </c>
    </row>
    <row r="514" spans="1:31" x14ac:dyDescent="0.3">
      <c r="A514" t="s">
        <v>141</v>
      </c>
      <c r="B514">
        <v>15</v>
      </c>
      <c r="C514" t="s">
        <v>20</v>
      </c>
      <c r="D514" s="4">
        <v>45758</v>
      </c>
      <c r="E514" s="6">
        <v>84.65</v>
      </c>
      <c r="F514" s="7">
        <f t="shared" si="2656"/>
        <v>23.950316885468542</v>
      </c>
      <c r="G514" s="9">
        <v>0.153</v>
      </c>
      <c r="H514" s="6">
        <f t="shared" si="2657"/>
        <v>71.698550000000012</v>
      </c>
      <c r="I514" s="6">
        <f t="shared" si="2658"/>
        <v>20.794550000000001</v>
      </c>
      <c r="J514">
        <v>3.5</v>
      </c>
      <c r="K514" s="5">
        <v>7.0000000000000007E-2</v>
      </c>
      <c r="L514" s="17">
        <v>2062</v>
      </c>
      <c r="M514" s="5">
        <v>0.56000000000000005</v>
      </c>
      <c r="N514" s="6">
        <f t="shared" si="2659"/>
        <v>12.951450000000001</v>
      </c>
      <c r="O514" s="21">
        <f t="shared" si="2660"/>
        <v>47.404000000000011</v>
      </c>
      <c r="P514" s="8">
        <f t="shared" si="2381"/>
        <v>46.224814285714288</v>
      </c>
      <c r="Q514" s="8">
        <f t="shared" si="2661"/>
        <v>63.855450000000005</v>
      </c>
      <c r="R514" s="6">
        <f t="shared" si="2662"/>
        <v>20.794550000000001</v>
      </c>
      <c r="S514" s="6">
        <f t="shared" si="2663"/>
        <v>5.9255000000000013</v>
      </c>
      <c r="T514" s="6">
        <f t="shared" si="2664"/>
        <v>-1.9847499999999911</v>
      </c>
      <c r="U514" s="6">
        <f t="shared" si="2665"/>
        <v>2.0086499999999994</v>
      </c>
      <c r="V514" s="6">
        <f t="shared" si="2666"/>
        <v>1.75</v>
      </c>
      <c r="W514" s="9">
        <f>Tabla1[[#This Row],[Protein]]/Tabla1[[#This Row],[Peso (Kg)]]</f>
        <v>0.24565327820437094</v>
      </c>
      <c r="X514" s="9">
        <f t="shared" si="2382"/>
        <v>0.26302793232221439</v>
      </c>
      <c r="Y514" s="6">
        <f t="shared" si="2667"/>
        <v>37.246000000000002</v>
      </c>
      <c r="Z514" s="6">
        <f t="shared" ref="Z514" si="2675">AVERAGE(E508:E514)</f>
        <v>83.392857142857139</v>
      </c>
      <c r="AA514" s="6">
        <f t="shared" ref="AA514" si="2676">AVERAGE(N508:N514)</f>
        <v>11.737771428571429</v>
      </c>
      <c r="AB514" s="6">
        <f t="shared" ref="AB514" si="2677">AVERAGE(R508:R514)</f>
        <v>21.930271428571423</v>
      </c>
      <c r="AC514" s="6">
        <f t="shared" si="2671"/>
        <v>-0.80403886887893128</v>
      </c>
      <c r="AD514" s="42">
        <f>Tabla1[[#This Row],[Avg Agua)]]/Tabla1[[#This Row],[Avg Musculo]]</f>
        <v>2.1078085803120157</v>
      </c>
      <c r="AE514" t="s">
        <v>149</v>
      </c>
    </row>
    <row r="515" spans="1:31" x14ac:dyDescent="0.3">
      <c r="A515" t="s">
        <v>141</v>
      </c>
      <c r="B515">
        <v>15</v>
      </c>
      <c r="C515" t="s">
        <v>121</v>
      </c>
      <c r="D515" s="4">
        <v>45759</v>
      </c>
      <c r="E515" s="6">
        <v>83.7</v>
      </c>
      <c r="F515" s="7">
        <f t="shared" si="2656"/>
        <v>23.681530104119513</v>
      </c>
      <c r="G515" s="9">
        <v>0.14499999999999999</v>
      </c>
      <c r="H515" s="6">
        <f t="shared" si="2657"/>
        <v>71.563500000000005</v>
      </c>
      <c r="I515" s="6">
        <f t="shared" si="2658"/>
        <v>21.6937</v>
      </c>
      <c r="J515">
        <v>3.5</v>
      </c>
      <c r="K515" s="5">
        <v>6.5000000000000002E-2</v>
      </c>
      <c r="L515" s="17">
        <v>2054</v>
      </c>
      <c r="M515" s="5">
        <v>0.55400000000000005</v>
      </c>
      <c r="N515" s="6">
        <f t="shared" si="2659"/>
        <v>12.1365</v>
      </c>
      <c r="O515" s="21">
        <f t="shared" si="2660"/>
        <v>46.369800000000005</v>
      </c>
      <c r="P515" s="8">
        <f t="shared" si="2381"/>
        <v>46.299971428571432</v>
      </c>
      <c r="Q515" s="8">
        <f t="shared" si="2661"/>
        <v>62.006300000000003</v>
      </c>
      <c r="R515" s="6">
        <f t="shared" si="2662"/>
        <v>21.6937</v>
      </c>
      <c r="S515" s="6">
        <f t="shared" si="2663"/>
        <v>5.4405000000000001</v>
      </c>
      <c r="T515" s="6">
        <f t="shared" si="2664"/>
        <v>0.89914999999999878</v>
      </c>
      <c r="U515" s="6">
        <f t="shared" si="2665"/>
        <v>-0.8149500000000014</v>
      </c>
      <c r="V515" s="6">
        <f t="shared" si="2666"/>
        <v>-0.95000000000000284</v>
      </c>
      <c r="W515" s="9">
        <f>Tabla1[[#This Row],[Protein]]/Tabla1[[#This Row],[Peso (Kg)]]</f>
        <v>0.25918399044205492</v>
      </c>
      <c r="X515" s="9">
        <f t="shared" si="2382"/>
        <v>0.26179986547342304</v>
      </c>
      <c r="Y515" s="6">
        <f t="shared" si="2667"/>
        <v>37.330199999999998</v>
      </c>
      <c r="Z515" s="6">
        <f t="shared" ref="Z515" si="2678">AVERAGE(E509:E515)</f>
        <v>83.507142857142853</v>
      </c>
      <c r="AA515" s="6">
        <f t="shared" ref="AA515" si="2679">AVERAGE(N509:N515)</f>
        <v>11.849085714285712</v>
      </c>
      <c r="AB515" s="6">
        <f t="shared" ref="AB515" si="2680">AVERAGE(R509:R515)</f>
        <v>21.858085714285714</v>
      </c>
      <c r="AC515" s="6">
        <f t="shared" si="2671"/>
        <v>-0.32916014979943453</v>
      </c>
      <c r="AD515" s="42">
        <f>Tabla1[[#This Row],[Avg Agua)]]/Tabla1[[#This Row],[Avg Musculo]]</f>
        <v>2.1182079727279741</v>
      </c>
    </row>
    <row r="516" spans="1:31" x14ac:dyDescent="0.3">
      <c r="A516" t="s">
        <v>141</v>
      </c>
      <c r="B516">
        <v>15</v>
      </c>
      <c r="C516" t="s">
        <v>26</v>
      </c>
      <c r="D516" s="4">
        <v>45767</v>
      </c>
      <c r="E516" s="6">
        <v>85.05</v>
      </c>
      <c r="F516" s="7">
        <f t="shared" si="2656"/>
        <v>24.063490267089183</v>
      </c>
      <c r="G516" s="9">
        <v>0.156</v>
      </c>
      <c r="H516" s="6">
        <f t="shared" si="2657"/>
        <v>71.782200000000003</v>
      </c>
      <c r="I516" s="6">
        <f t="shared" si="2658"/>
        <v>22.185099999999998</v>
      </c>
      <c r="J516">
        <v>3.5</v>
      </c>
      <c r="K516" s="5">
        <v>7.0000000000000007E-2</v>
      </c>
      <c r="L516" s="17">
        <v>2066</v>
      </c>
      <c r="M516" s="5">
        <v>0.54200000000000004</v>
      </c>
      <c r="N516" s="6">
        <f t="shared" si="2659"/>
        <v>13.267799999999999</v>
      </c>
      <c r="O516" s="21">
        <f t="shared" si="2660"/>
        <v>46.097100000000005</v>
      </c>
      <c r="P516" s="8">
        <f t="shared" si="2381"/>
        <v>46.328285714285713</v>
      </c>
      <c r="Q516" s="8">
        <f t="shared" si="2661"/>
        <v>62.864899999999999</v>
      </c>
      <c r="R516" s="6">
        <f t="shared" si="2662"/>
        <v>22.185099999999998</v>
      </c>
      <c r="S516" s="6">
        <f t="shared" si="2663"/>
        <v>5.9535</v>
      </c>
      <c r="T516" s="6">
        <f t="shared" si="2664"/>
        <v>0.49139999999999873</v>
      </c>
      <c r="U516" s="6">
        <f t="shared" si="2665"/>
        <v>1.1312999999999995</v>
      </c>
      <c r="V516" s="6">
        <f t="shared" si="2666"/>
        <v>1.3499999999999943</v>
      </c>
      <c r="W516" s="9">
        <f>Tabla1[[#This Row],[Protein]]/Tabla1[[#This Row],[Peso (Kg)]]</f>
        <v>0.26084773662551441</v>
      </c>
      <c r="X516" s="9">
        <f t="shared" si="2382"/>
        <v>0.26124168800885517</v>
      </c>
      <c r="Y516" s="6">
        <f t="shared" si="2667"/>
        <v>38.9529</v>
      </c>
      <c r="Z516" s="6">
        <f t="shared" ref="Z516" si="2681">AVERAGE(E510:E516)</f>
        <v>83.821428571428569</v>
      </c>
      <c r="AA516" s="6">
        <f t="shared" ref="AA516" si="2682">AVERAGE(N510:N516)</f>
        <v>12.099321428571429</v>
      </c>
      <c r="AB516" s="6">
        <f t="shared" ref="AB516" si="2683">AVERAGE(R510:R516)</f>
        <v>21.893821428571425</v>
      </c>
      <c r="AC516" s="6">
        <f t="shared" si="2671"/>
        <v>0.16348967953014881</v>
      </c>
      <c r="AD516" s="42">
        <f>Tabla1[[#This Row],[Avg Agua)]]/Tabla1[[#This Row],[Avg Musculo]]</f>
        <v>2.1160438284121259</v>
      </c>
      <c r="AE516" t="s">
        <v>50</v>
      </c>
    </row>
    <row r="517" spans="1:31" x14ac:dyDescent="0.3">
      <c r="A517" t="s">
        <v>141</v>
      </c>
      <c r="B517">
        <v>16</v>
      </c>
      <c r="C517" t="s">
        <v>21</v>
      </c>
      <c r="D517" s="4">
        <v>45768</v>
      </c>
      <c r="E517" s="6">
        <v>84.95</v>
      </c>
      <c r="F517" s="7">
        <f t="shared" si="2656"/>
        <v>24.035196921684022</v>
      </c>
      <c r="G517" s="9">
        <v>0.152</v>
      </c>
      <c r="H517" s="6">
        <f t="shared" si="2657"/>
        <v>72.037599999999998</v>
      </c>
      <c r="I517" s="6">
        <f t="shared" si="2658"/>
        <v>22.649549999999991</v>
      </c>
      <c r="J517">
        <v>3.6</v>
      </c>
      <c r="K517" s="5">
        <v>7.0000000000000007E-2</v>
      </c>
      <c r="L517" s="17">
        <v>2072</v>
      </c>
      <c r="M517" s="5">
        <v>0.53900000000000003</v>
      </c>
      <c r="N517" s="6">
        <f t="shared" si="2659"/>
        <v>12.9124</v>
      </c>
      <c r="O517" s="21">
        <f t="shared" si="2660"/>
        <v>45.788050000000005</v>
      </c>
      <c r="P517" s="8">
        <f t="shared" si="2381"/>
        <v>46.268985714285712</v>
      </c>
      <c r="Q517" s="8">
        <f t="shared" si="2661"/>
        <v>62.300450000000012</v>
      </c>
      <c r="R517" s="6">
        <f t="shared" si="2662"/>
        <v>22.649549999999991</v>
      </c>
      <c r="S517" s="6">
        <f t="shared" si="2663"/>
        <v>5.9465000000000003</v>
      </c>
      <c r="T517" s="6">
        <f t="shared" si="2664"/>
        <v>0.46444999999999226</v>
      </c>
      <c r="U517" s="6">
        <f t="shared" si="2665"/>
        <v>-0.35539999999999949</v>
      </c>
      <c r="V517" s="6">
        <f t="shared" si="2666"/>
        <v>-9.9999999999994316E-2</v>
      </c>
      <c r="W517" s="9">
        <f>Tabla1[[#This Row],[Protein]]/Tabla1[[#This Row],[Peso (Kg)]]</f>
        <v>0.26662213066509699</v>
      </c>
      <c r="X517" s="9">
        <f t="shared" si="2382"/>
        <v>0.26131500427297227</v>
      </c>
      <c r="Y517" s="6">
        <f t="shared" si="2667"/>
        <v>39.16194999999999</v>
      </c>
      <c r="Z517" s="6">
        <f t="shared" ref="Z517:Z518" si="2684">AVERAGE(E511:E517)</f>
        <v>84.021428571428586</v>
      </c>
      <c r="AA517" s="6">
        <f t="shared" ref="AA517:AA518" si="2685">AVERAGE(N511:N517)</f>
        <v>12.284885714285716</v>
      </c>
      <c r="AB517" s="6">
        <f t="shared" ref="AB517:AB518" si="2686">AVERAGE(R511:R517)</f>
        <v>21.953271428571423</v>
      </c>
      <c r="AC517" s="6">
        <f t="shared" si="2671"/>
        <v>0.2715377952357656</v>
      </c>
      <c r="AD517" s="42">
        <f>Tabla1[[#This Row],[Avg Agua)]]/Tabla1[[#This Row],[Avg Musculo]]</f>
        <v>2.107612337634027</v>
      </c>
      <c r="AE517" t="s">
        <v>150</v>
      </c>
    </row>
    <row r="518" spans="1:31" x14ac:dyDescent="0.3">
      <c r="A518" t="s">
        <v>141</v>
      </c>
      <c r="B518">
        <v>16</v>
      </c>
      <c r="C518" t="s">
        <v>23</v>
      </c>
      <c r="D518" s="4">
        <v>45769</v>
      </c>
      <c r="E518" s="6">
        <v>83.95</v>
      </c>
      <c r="F518" s="7">
        <f t="shared" ref="F518:F523" si="2687">E518/(1.88^2)</f>
        <v>23.752263467632414</v>
      </c>
      <c r="G518" s="9">
        <v>0.14399999999999999</v>
      </c>
      <c r="H518" s="6">
        <f t="shared" ref="H518:H523" si="2688">E518-N518</f>
        <v>71.861199999999997</v>
      </c>
      <c r="I518" s="6">
        <f t="shared" ref="I518:I523" si="2689">E518-N518-O518-J518</f>
        <v>23.531899999999993</v>
      </c>
      <c r="J518">
        <v>3.5</v>
      </c>
      <c r="K518" s="5">
        <v>6.5000000000000002E-2</v>
      </c>
      <c r="L518" s="17">
        <v>2063</v>
      </c>
      <c r="M518" s="5">
        <v>0.53400000000000003</v>
      </c>
      <c r="N518" s="6">
        <f t="shared" ref="N518:N523" si="2690">E518*G518</f>
        <v>12.088799999999999</v>
      </c>
      <c r="O518" s="21">
        <f t="shared" ref="O518:O523" si="2691">M518*E518</f>
        <v>44.829300000000003</v>
      </c>
      <c r="P518" s="8">
        <f t="shared" si="2381"/>
        <v>46.05677857142858</v>
      </c>
      <c r="Q518" s="8">
        <f t="shared" ref="Q518:Q523" si="2692">E518-R518</f>
        <v>60.41810000000001</v>
      </c>
      <c r="R518" s="6">
        <f t="shared" ref="R518:R523" si="2693">I518</f>
        <v>23.531899999999993</v>
      </c>
      <c r="S518" s="6">
        <f t="shared" ref="S518:S523" si="2694">K518*E518</f>
        <v>5.4567500000000004</v>
      </c>
      <c r="T518" s="6">
        <f t="shared" ref="T518:T523" si="2695">I518-I517</f>
        <v>0.88235000000000241</v>
      </c>
      <c r="U518" s="6">
        <f t="shared" ref="U518:U523" si="2696">N518-N517</f>
        <v>-0.82360000000000078</v>
      </c>
      <c r="V518" s="6">
        <f t="shared" ref="V518:V523" si="2697">E518-E517</f>
        <v>-1</v>
      </c>
      <c r="W518" s="9">
        <f>Tabla1[[#This Row],[Protein]]/Tabla1[[#This Row],[Peso (Kg)]]</f>
        <v>0.28030851697438941</v>
      </c>
      <c r="X518" s="9">
        <f t="shared" si="2382"/>
        <v>0.26420783272715825</v>
      </c>
      <c r="Y518" s="6">
        <f t="shared" ref="Y518:Y523" si="2698">R518+N518+J518</f>
        <v>39.120699999999992</v>
      </c>
      <c r="Z518" s="6">
        <f t="shared" si="2684"/>
        <v>84.092857142857156</v>
      </c>
      <c r="AA518" s="6">
        <f t="shared" si="2685"/>
        <v>12.307092857142859</v>
      </c>
      <c r="AB518" s="6">
        <f t="shared" si="2686"/>
        <v>22.214700000000001</v>
      </c>
      <c r="AC518" s="6">
        <f t="shared" ref="AC518:AC523" si="2699">100*(AB518/AB517-1)</f>
        <v>1.1908410656661372</v>
      </c>
      <c r="AD518" s="42">
        <f>Tabla1[[#This Row],[Avg Agua)]]/Tabla1[[#This Row],[Avg Musculo]]</f>
        <v>2.0732568331523082</v>
      </c>
      <c r="AE518" t="s">
        <v>151</v>
      </c>
    </row>
    <row r="519" spans="1:31" x14ac:dyDescent="0.3">
      <c r="A519" t="s">
        <v>141</v>
      </c>
      <c r="B519">
        <v>16</v>
      </c>
      <c r="C519" t="s">
        <v>24</v>
      </c>
      <c r="D519" s="4">
        <v>45770</v>
      </c>
      <c r="E519" s="6">
        <v>83.75</v>
      </c>
      <c r="F519" s="7">
        <f t="shared" si="2687"/>
        <v>23.695676776822094</v>
      </c>
      <c r="G519" s="9">
        <v>0.14599999999999999</v>
      </c>
      <c r="H519" s="6">
        <f t="shared" si="2688"/>
        <v>71.522500000000008</v>
      </c>
      <c r="I519" s="6">
        <f t="shared" si="2689"/>
        <v>23.048750000000005</v>
      </c>
      <c r="J519">
        <v>3.5</v>
      </c>
      <c r="K519" s="5">
        <v>6.5000000000000002E-2</v>
      </c>
      <c r="L519" s="17">
        <v>2052</v>
      </c>
      <c r="M519" s="5">
        <v>0.53700000000000003</v>
      </c>
      <c r="N519" s="6">
        <f t="shared" si="2690"/>
        <v>12.227499999999999</v>
      </c>
      <c r="O519" s="21">
        <f t="shared" si="2691"/>
        <v>44.973750000000003</v>
      </c>
      <c r="P519" s="8">
        <f t="shared" si="2381"/>
        <v>45.877128571428571</v>
      </c>
      <c r="Q519" s="8">
        <f t="shared" si="2692"/>
        <v>60.701249999999995</v>
      </c>
      <c r="R519" s="6">
        <f t="shared" si="2693"/>
        <v>23.048750000000005</v>
      </c>
      <c r="S519" s="6">
        <f t="shared" si="2694"/>
        <v>5.4437500000000005</v>
      </c>
      <c r="T519" s="6">
        <f t="shared" si="2695"/>
        <v>-0.48314999999998776</v>
      </c>
      <c r="U519" s="6">
        <f t="shared" si="2696"/>
        <v>0.13870000000000005</v>
      </c>
      <c r="V519" s="6">
        <f t="shared" si="2697"/>
        <v>-0.20000000000000284</v>
      </c>
      <c r="W519" s="9">
        <f>Tabla1[[#This Row],[Protein]]/Tabla1[[#This Row],[Peso (Kg)]]</f>
        <v>0.27520895522388067</v>
      </c>
      <c r="X519" s="9">
        <f t="shared" si="2382"/>
        <v>0.26608643807412885</v>
      </c>
      <c r="Y519" s="6">
        <f t="shared" si="2698"/>
        <v>38.776250000000005</v>
      </c>
      <c r="Z519" s="6">
        <f t="shared" ref="Z519" si="2700">AVERAGE(E513:E519)</f>
        <v>84.135714285714286</v>
      </c>
      <c r="AA519" s="6">
        <f t="shared" ref="AA519" si="2701">AVERAGE(N513:N519)</f>
        <v>12.361035714285716</v>
      </c>
      <c r="AB519" s="6">
        <f t="shared" ref="AB519" si="2702">AVERAGE(R513:R519)</f>
        <v>22.383264285714287</v>
      </c>
      <c r="AC519" s="6">
        <f t="shared" si="2699"/>
        <v>0.75879613820706293</v>
      </c>
      <c r="AD519" s="42">
        <f>Tabla1[[#This Row],[Avg Agua)]]/Tabla1[[#This Row],[Avg Musculo]]</f>
        <v>2.0496174278167647</v>
      </c>
    </row>
    <row r="520" spans="1:31" x14ac:dyDescent="0.3">
      <c r="A520" t="s">
        <v>141</v>
      </c>
      <c r="B520">
        <v>16</v>
      </c>
      <c r="C520" t="s">
        <v>22</v>
      </c>
      <c r="D520" s="4">
        <v>45771</v>
      </c>
      <c r="E520" s="6">
        <v>83.85</v>
      </c>
      <c r="F520" s="7">
        <f t="shared" si="2687"/>
        <v>23.723970122227254</v>
      </c>
      <c r="G520" s="9">
        <v>0.14399999999999999</v>
      </c>
      <c r="H520" s="6">
        <f t="shared" si="2688"/>
        <v>71.775599999999997</v>
      </c>
      <c r="I520" s="6">
        <f t="shared" si="2689"/>
        <v>22.577349999999996</v>
      </c>
      <c r="J520">
        <v>3.5</v>
      </c>
      <c r="K520" s="5">
        <v>6.5000000000000002E-2</v>
      </c>
      <c r="L520" s="17">
        <v>2060</v>
      </c>
      <c r="M520" s="5">
        <v>0.54500000000000004</v>
      </c>
      <c r="N520" s="6">
        <f t="shared" si="2690"/>
        <v>12.074399999999999</v>
      </c>
      <c r="O520" s="21">
        <f t="shared" si="2691"/>
        <v>45.698250000000002</v>
      </c>
      <c r="P520" s="8">
        <f t="shared" si="2381"/>
        <v>45.880035714285718</v>
      </c>
      <c r="Q520" s="8">
        <f t="shared" si="2692"/>
        <v>61.272649999999999</v>
      </c>
      <c r="R520" s="6">
        <f t="shared" si="2693"/>
        <v>22.577349999999996</v>
      </c>
      <c r="S520" s="6">
        <f t="shared" si="2694"/>
        <v>5.4502499999999996</v>
      </c>
      <c r="T520" s="6">
        <f t="shared" si="2695"/>
        <v>-0.47140000000000981</v>
      </c>
      <c r="U520" s="6">
        <f t="shared" si="2696"/>
        <v>-0.15310000000000024</v>
      </c>
      <c r="V520" s="6">
        <f t="shared" si="2697"/>
        <v>9.9999999999994316E-2</v>
      </c>
      <c r="W520" s="9">
        <f>Tabla1[[#This Row],[Protein]]/Tabla1[[#This Row],[Peso (Kg)]]</f>
        <v>0.26925879546809778</v>
      </c>
      <c r="X520" s="9">
        <f t="shared" si="2382"/>
        <v>0.26529762908620075</v>
      </c>
      <c r="Y520" s="6">
        <f t="shared" si="2698"/>
        <v>38.151749999999993</v>
      </c>
      <c r="Z520" s="6">
        <f t="shared" ref="Z520" si="2703">AVERAGE(E514:E520)</f>
        <v>84.271428571428572</v>
      </c>
      <c r="AA520" s="6">
        <f t="shared" ref="AA520" si="2704">AVERAGE(N514:N520)</f>
        <v>12.522692857142857</v>
      </c>
      <c r="AB520" s="6">
        <f t="shared" ref="AB520" si="2705">AVERAGE(R514:R520)</f>
        <v>22.354414285714284</v>
      </c>
      <c r="AC520" s="6">
        <f t="shared" si="2699"/>
        <v>-0.12889094115917654</v>
      </c>
      <c r="AD520" s="42">
        <f>Tabla1[[#This Row],[Avg Agua)]]/Tabla1[[#This Row],[Avg Musculo]]</f>
        <v>2.0523926562283323</v>
      </c>
    </row>
    <row r="521" spans="1:31" x14ac:dyDescent="0.3">
      <c r="A521" t="s">
        <v>141</v>
      </c>
      <c r="B521">
        <v>16</v>
      </c>
      <c r="C521" t="s">
        <v>20</v>
      </c>
      <c r="D521" s="4">
        <v>45772</v>
      </c>
      <c r="E521" s="6">
        <v>84.15</v>
      </c>
      <c r="F521" s="7">
        <f t="shared" si="2687"/>
        <v>23.808850158442738</v>
      </c>
      <c r="G521" s="9">
        <v>0.14699999999999999</v>
      </c>
      <c r="H521" s="6">
        <f t="shared" si="2688"/>
        <v>71.779949999999999</v>
      </c>
      <c r="I521" s="6">
        <f t="shared" si="2689"/>
        <v>22.502349999999993</v>
      </c>
      <c r="J521">
        <v>3.5</v>
      </c>
      <c r="K521" s="5">
        <v>7.0000000000000007E-2</v>
      </c>
      <c r="L521" s="17">
        <v>2060</v>
      </c>
      <c r="M521" s="5">
        <v>0.54400000000000004</v>
      </c>
      <c r="N521" s="6">
        <f t="shared" si="2690"/>
        <v>12.370050000000001</v>
      </c>
      <c r="O521" s="21">
        <f t="shared" si="2691"/>
        <v>45.777600000000007</v>
      </c>
      <c r="P521" s="8">
        <f t="shared" ref="P521:P584" si="2706">AVERAGE(O515:O521)</f>
        <v>45.647692857142864</v>
      </c>
      <c r="Q521" s="8">
        <f t="shared" si="2692"/>
        <v>61.647650000000013</v>
      </c>
      <c r="R521" s="6">
        <f t="shared" si="2693"/>
        <v>22.502349999999993</v>
      </c>
      <c r="S521" s="6">
        <f t="shared" si="2694"/>
        <v>5.8905000000000012</v>
      </c>
      <c r="T521" s="6">
        <f t="shared" si="2695"/>
        <v>-7.5000000000002842E-2</v>
      </c>
      <c r="U521" s="6">
        <f t="shared" si="2696"/>
        <v>0.29565000000000197</v>
      </c>
      <c r="V521" s="6">
        <f t="shared" si="2697"/>
        <v>0.30000000000001137</v>
      </c>
      <c r="W521" s="9">
        <f>Tabla1[[#This Row],[Protein]]/Tabla1[[#This Row],[Peso (Kg)]]</f>
        <v>0.26740760546642889</v>
      </c>
      <c r="X521" s="9">
        <f t="shared" si="2382"/>
        <v>0.26840539012363757</v>
      </c>
      <c r="Y521" s="6">
        <f t="shared" si="2698"/>
        <v>38.372399999999992</v>
      </c>
      <c r="Z521" s="6">
        <f t="shared" ref="Z521" si="2707">AVERAGE(E515:E521)</f>
        <v>84.2</v>
      </c>
      <c r="AA521" s="6">
        <f t="shared" ref="AA521" si="2708">AVERAGE(N515:N521)</f>
        <v>12.439635714285714</v>
      </c>
      <c r="AB521" s="6">
        <f t="shared" ref="AB521" si="2709">AVERAGE(R515:R521)</f>
        <v>22.598385714285712</v>
      </c>
      <c r="AC521" s="6">
        <f t="shared" si="2699"/>
        <v>1.0913792034682679</v>
      </c>
      <c r="AD521" s="42">
        <f>Tabla1[[#This Row],[Avg Agua)]]/Tabla1[[#This Row],[Avg Musculo]]</f>
        <v>2.0199537008648538</v>
      </c>
    </row>
    <row r="522" spans="1:31" x14ac:dyDescent="0.3">
      <c r="A522" t="s">
        <v>141</v>
      </c>
      <c r="B522">
        <v>16</v>
      </c>
      <c r="C522" t="s">
        <v>121</v>
      </c>
      <c r="D522" s="4">
        <v>45773</v>
      </c>
      <c r="E522" s="6">
        <v>83.75</v>
      </c>
      <c r="F522" s="7">
        <f t="shared" si="2687"/>
        <v>23.695676776822094</v>
      </c>
      <c r="G522" s="9">
        <v>0.14299999999999999</v>
      </c>
      <c r="H522" s="6">
        <f t="shared" si="2688"/>
        <v>71.773750000000007</v>
      </c>
      <c r="I522" s="6">
        <f t="shared" si="2689"/>
        <v>22.630000000000003</v>
      </c>
      <c r="J522">
        <v>3.5</v>
      </c>
      <c r="K522" s="5">
        <v>6.5000000000000002E-2</v>
      </c>
      <c r="L522" s="17">
        <v>2060</v>
      </c>
      <c r="M522" s="5">
        <v>0.54500000000000004</v>
      </c>
      <c r="N522" s="6">
        <f t="shared" si="2690"/>
        <v>11.976249999999999</v>
      </c>
      <c r="O522" s="21">
        <f t="shared" si="2691"/>
        <v>45.643750000000004</v>
      </c>
      <c r="P522" s="8">
        <f t="shared" si="2706"/>
        <v>45.543971428571425</v>
      </c>
      <c r="Q522" s="8">
        <f t="shared" si="2692"/>
        <v>61.12</v>
      </c>
      <c r="R522" s="6">
        <f t="shared" si="2693"/>
        <v>22.630000000000003</v>
      </c>
      <c r="S522" s="6">
        <f t="shared" si="2694"/>
        <v>5.4437500000000005</v>
      </c>
      <c r="T522" s="6">
        <f t="shared" si="2695"/>
        <v>0.12765000000000981</v>
      </c>
      <c r="U522" s="6">
        <f t="shared" si="2696"/>
        <v>-0.39380000000000237</v>
      </c>
      <c r="V522" s="6">
        <f t="shared" si="2697"/>
        <v>-0.40000000000000568</v>
      </c>
      <c r="W522" s="9">
        <f>Tabla1[[#This Row],[Protein]]/Tabla1[[#This Row],[Peso (Kg)]]</f>
        <v>0.27020895522388061</v>
      </c>
      <c r="X522" s="9">
        <f t="shared" si="2382"/>
        <v>0.26998038509246985</v>
      </c>
      <c r="Y522" s="6">
        <f t="shared" si="2698"/>
        <v>38.106250000000003</v>
      </c>
      <c r="Z522" s="6">
        <f t="shared" ref="Z522" si="2710">AVERAGE(E516:E522)</f>
        <v>84.207142857142841</v>
      </c>
      <c r="AA522" s="6">
        <f t="shared" ref="AA522" si="2711">AVERAGE(N516:N522)</f>
        <v>12.416742857142856</v>
      </c>
      <c r="AB522" s="6">
        <f t="shared" ref="AB522" si="2712">AVERAGE(R516:R522)</f>
        <v>22.732142857142858</v>
      </c>
      <c r="AC522" s="6">
        <f t="shared" si="2699"/>
        <v>0.59188804257195304</v>
      </c>
      <c r="AD522" s="42">
        <f>Tabla1[[#This Row],[Avg Agua)]]/Tabla1[[#This Row],[Avg Musculo]]</f>
        <v>2.0035054202670852</v>
      </c>
    </row>
    <row r="523" spans="1:31" x14ac:dyDescent="0.3">
      <c r="A523" t="s">
        <v>141</v>
      </c>
      <c r="B523">
        <v>16</v>
      </c>
      <c r="C523" t="s">
        <v>26</v>
      </c>
      <c r="D523" s="4">
        <v>45774</v>
      </c>
      <c r="E523" s="6">
        <v>83.65</v>
      </c>
      <c r="F523" s="7">
        <f t="shared" si="2687"/>
        <v>23.667383431416933</v>
      </c>
      <c r="G523" s="9">
        <v>0.14399999999999999</v>
      </c>
      <c r="H523" s="6">
        <f t="shared" si="2688"/>
        <v>71.604399999999998</v>
      </c>
      <c r="I523" s="6">
        <f t="shared" si="2689"/>
        <v>22.347849999999994</v>
      </c>
      <c r="J523">
        <v>3.5</v>
      </c>
      <c r="K523" s="5">
        <v>6.5000000000000002E-2</v>
      </c>
      <c r="L523" s="17">
        <v>2053</v>
      </c>
      <c r="M523" s="5">
        <v>0.54700000000000004</v>
      </c>
      <c r="N523" s="6">
        <f t="shared" si="2690"/>
        <v>12.0456</v>
      </c>
      <c r="O523" s="21">
        <f t="shared" si="2691"/>
        <v>45.756550000000004</v>
      </c>
      <c r="P523" s="8">
        <f t="shared" si="2706"/>
        <v>45.495321428571437</v>
      </c>
      <c r="Q523" s="8">
        <f t="shared" si="2692"/>
        <v>61.302150000000012</v>
      </c>
      <c r="R523" s="6">
        <f t="shared" si="2693"/>
        <v>22.347849999999994</v>
      </c>
      <c r="S523" s="6">
        <f t="shared" si="2694"/>
        <v>5.4372500000000006</v>
      </c>
      <c r="T523" s="6">
        <f t="shared" si="2695"/>
        <v>-0.28215000000000856</v>
      </c>
      <c r="U523" s="6">
        <f t="shared" si="2696"/>
        <v>6.9350000000001799E-2</v>
      </c>
      <c r="V523" s="6">
        <f t="shared" si="2697"/>
        <v>-9.9999999999994316E-2</v>
      </c>
      <c r="W523" s="9">
        <f>Tabla1[[#This Row],[Protein]]/Tabla1[[#This Row],[Peso (Kg)]]</f>
        <v>0.26715899581589947</v>
      </c>
      <c r="X523" s="9">
        <f t="shared" si="2382"/>
        <v>0.27088199354823911</v>
      </c>
      <c r="Y523" s="6">
        <f t="shared" si="2698"/>
        <v>37.893449999999994</v>
      </c>
      <c r="Z523" s="6">
        <f t="shared" ref="Z523" si="2713">AVERAGE(E517:E523)</f>
        <v>84.007142857142853</v>
      </c>
      <c r="AA523" s="6">
        <f t="shared" ref="AA523" si="2714">AVERAGE(N517:N523)</f>
        <v>12.242142857142856</v>
      </c>
      <c r="AB523" s="6">
        <f t="shared" ref="AB523" si="2715">AVERAGE(R517:R523)</f>
        <v>22.755392857142855</v>
      </c>
      <c r="AC523" s="6">
        <f t="shared" si="2699"/>
        <v>0.10227808326785937</v>
      </c>
      <c r="AD523" s="42">
        <f>Tabla1[[#This Row],[Avg Agua)]]/Tabla1[[#This Row],[Avg Musculo]]</f>
        <v>1.9993204122727586</v>
      </c>
    </row>
    <row r="524" spans="1:31" x14ac:dyDescent="0.3">
      <c r="A524" t="s">
        <v>141</v>
      </c>
      <c r="B524">
        <v>17</v>
      </c>
      <c r="C524" t="s">
        <v>21</v>
      </c>
      <c r="D524" s="4">
        <v>45775</v>
      </c>
      <c r="E524" s="6">
        <v>83.55</v>
      </c>
      <c r="F524" s="7">
        <f t="shared" ref="F524:F530" si="2716">E524/(1.88^2)</f>
        <v>23.63909008601177</v>
      </c>
      <c r="G524" s="9">
        <v>0.14399999999999999</v>
      </c>
      <c r="H524" s="6">
        <f t="shared" ref="H524:H530" si="2717">E524-N524</f>
        <v>71.518799999999999</v>
      </c>
      <c r="I524" s="6">
        <f t="shared" ref="I524:I530" si="2718">E524-N524-O524-J524</f>
        <v>21.899199999999993</v>
      </c>
      <c r="J524">
        <v>3.5</v>
      </c>
      <c r="K524" s="5">
        <v>6.5000000000000002E-2</v>
      </c>
      <c r="L524" s="17">
        <v>2052</v>
      </c>
      <c r="M524" s="5">
        <v>0.55200000000000005</v>
      </c>
      <c r="N524" s="6">
        <f t="shared" ref="N524:N530" si="2719">E524*G524</f>
        <v>12.031199999999998</v>
      </c>
      <c r="O524" s="21">
        <f t="shared" ref="O524:O530" si="2720">M524*E524</f>
        <v>46.119600000000005</v>
      </c>
      <c r="P524" s="8">
        <f t="shared" si="2706"/>
        <v>45.542685714285717</v>
      </c>
      <c r="Q524" s="8">
        <f t="shared" ref="Q524:Q530" si="2721">E524-R524</f>
        <v>61.650800000000004</v>
      </c>
      <c r="R524" s="6">
        <f t="shared" ref="R524:R530" si="2722">I524</f>
        <v>21.899199999999993</v>
      </c>
      <c r="S524" s="6">
        <f t="shared" ref="S524:S530" si="2723">K524*E524</f>
        <v>5.4307499999999997</v>
      </c>
      <c r="T524" s="6">
        <f t="shared" ref="T524:T530" si="2724">I524-I523</f>
        <v>-0.44865000000000066</v>
      </c>
      <c r="U524" s="6">
        <f t="shared" ref="U524:U530" si="2725">N524-N523</f>
        <v>-1.4400000000001967E-2</v>
      </c>
      <c r="V524" s="6">
        <f t="shared" ref="V524:V530" si="2726">E524-E523</f>
        <v>-0.10000000000000853</v>
      </c>
      <c r="W524" s="9">
        <f>Tabla1[[#This Row],[Protein]]/Tabla1[[#This Row],[Peso (Kg)]]</f>
        <v>0.26210891681627763</v>
      </c>
      <c r="X524" s="9">
        <f t="shared" si="2382"/>
        <v>0.2702372487126935</v>
      </c>
      <c r="Y524" s="6">
        <f t="shared" ref="Y524:Y530" si="2727">R524+N524+J524</f>
        <v>37.430399999999992</v>
      </c>
      <c r="Z524" s="6">
        <f t="shared" ref="Z524" si="2728">AVERAGE(E518:E524)</f>
        <v>83.80714285714285</v>
      </c>
      <c r="AA524" s="6">
        <f t="shared" ref="AA524" si="2729">AVERAGE(N518:N524)</f>
        <v>12.116257142857142</v>
      </c>
      <c r="AB524" s="6">
        <f t="shared" ref="AB524" si="2730">AVERAGE(R518:R524)</f>
        <v>22.648199999999999</v>
      </c>
      <c r="AC524" s="6">
        <f>100*(AB524/AB523-1)</f>
        <v>-0.47106572853216067</v>
      </c>
      <c r="AD524" s="42">
        <f>Tabla1[[#This Row],[Avg Agua)]]/Tabla1[[#This Row],[Avg Musculo]]</f>
        <v>2.0108744056607466</v>
      </c>
    </row>
    <row r="525" spans="1:31" x14ac:dyDescent="0.3">
      <c r="A525" t="s">
        <v>141</v>
      </c>
      <c r="B525">
        <v>17</v>
      </c>
      <c r="C525" t="s">
        <v>22</v>
      </c>
      <c r="D525" s="4">
        <v>45778</v>
      </c>
      <c r="E525" s="6">
        <v>84.14</v>
      </c>
      <c r="F525" s="7">
        <f t="shared" si="2716"/>
        <v>23.80602082390222</v>
      </c>
      <c r="G525" s="9">
        <v>0.152</v>
      </c>
      <c r="H525" s="6">
        <f t="shared" si="2717"/>
        <v>71.350719999999995</v>
      </c>
      <c r="I525" s="6">
        <f t="shared" si="2718"/>
        <v>21.826139999999988</v>
      </c>
      <c r="J525">
        <v>3.5</v>
      </c>
      <c r="K525" s="5">
        <v>7.0000000000000007E-2</v>
      </c>
      <c r="L525" s="17">
        <v>2050</v>
      </c>
      <c r="M525" s="5">
        <v>0.54700000000000004</v>
      </c>
      <c r="N525" s="6">
        <f t="shared" si="2719"/>
        <v>12.78928</v>
      </c>
      <c r="O525" s="21">
        <f t="shared" si="2720"/>
        <v>46.024580000000007</v>
      </c>
      <c r="P525" s="8">
        <f t="shared" si="2706"/>
        <v>45.713440000000006</v>
      </c>
      <c r="Q525" s="8">
        <f t="shared" si="2721"/>
        <v>62.313860000000012</v>
      </c>
      <c r="R525" s="6">
        <f t="shared" si="2722"/>
        <v>21.826139999999988</v>
      </c>
      <c r="S525" s="6">
        <f t="shared" si="2723"/>
        <v>5.889800000000001</v>
      </c>
      <c r="T525" s="6">
        <f t="shared" si="2724"/>
        <v>-7.3060000000005232E-2</v>
      </c>
      <c r="U525" s="6">
        <f t="shared" si="2725"/>
        <v>0.75808000000000142</v>
      </c>
      <c r="V525" s="6">
        <f t="shared" si="2726"/>
        <v>0.59000000000000341</v>
      </c>
      <c r="W525" s="9">
        <f>Tabla1[[#This Row],[Protein]]/Tabla1[[#This Row],[Peso (Kg)]]</f>
        <v>0.25940266222961716</v>
      </c>
      <c r="X525" s="9">
        <f t="shared" si="2382"/>
        <v>0.26725069803486889</v>
      </c>
      <c r="Y525" s="6">
        <f t="shared" si="2727"/>
        <v>38.115419999999986</v>
      </c>
      <c r="Z525" s="6">
        <f t="shared" ref="Z525" si="2731">AVERAGE(E519:E525)</f>
        <v>83.834285714285713</v>
      </c>
      <c r="AA525" s="6">
        <f t="shared" ref="AA525" si="2732">AVERAGE(N519:N525)</f>
        <v>12.216325714285714</v>
      </c>
      <c r="AB525" s="6">
        <f t="shared" ref="AB525" si="2733">AVERAGE(R519:R525)</f>
        <v>22.404519999999994</v>
      </c>
      <c r="AC525" s="6">
        <f>100*(AB525/AB524-1)</f>
        <v>-1.0759353944242989</v>
      </c>
      <c r="AD525" s="42">
        <f>Tabla1[[#This Row],[Avg Agua)]]/Tabla1[[#This Row],[Avg Musculo]]</f>
        <v>2.040366854545423</v>
      </c>
      <c r="AE525" t="s">
        <v>152</v>
      </c>
    </row>
    <row r="526" spans="1:31" x14ac:dyDescent="0.3">
      <c r="A526" t="s">
        <v>141</v>
      </c>
      <c r="B526">
        <v>17</v>
      </c>
      <c r="C526" t="s">
        <v>20</v>
      </c>
      <c r="D526" s="4">
        <v>45779</v>
      </c>
      <c r="E526" s="6">
        <v>83.95</v>
      </c>
      <c r="F526" s="7">
        <f t="shared" si="2716"/>
        <v>23.752263467632414</v>
      </c>
      <c r="G526" s="9">
        <v>0.15</v>
      </c>
      <c r="H526" s="6">
        <f t="shared" si="2717"/>
        <v>71.357500000000002</v>
      </c>
      <c r="I526" s="6">
        <f t="shared" si="2718"/>
        <v>22.104749999999996</v>
      </c>
      <c r="J526">
        <v>3.5</v>
      </c>
      <c r="K526" s="5">
        <v>7.0000000000000007E-2</v>
      </c>
      <c r="L526" s="17">
        <v>2050</v>
      </c>
      <c r="M526" s="5">
        <v>0.54500000000000004</v>
      </c>
      <c r="N526" s="6">
        <f t="shared" si="2719"/>
        <v>12.592499999999999</v>
      </c>
      <c r="O526" s="21">
        <f t="shared" si="2720"/>
        <v>45.752750000000006</v>
      </c>
      <c r="P526" s="8">
        <f t="shared" si="2706"/>
        <v>45.824725714285719</v>
      </c>
      <c r="Q526" s="8">
        <f t="shared" si="2721"/>
        <v>61.845250000000007</v>
      </c>
      <c r="R526" s="6">
        <f t="shared" si="2722"/>
        <v>22.104749999999996</v>
      </c>
      <c r="S526" s="6">
        <f t="shared" si="2723"/>
        <v>5.8765000000000009</v>
      </c>
      <c r="T526" s="6">
        <f t="shared" si="2724"/>
        <v>0.27861000000000757</v>
      </c>
      <c r="U526" s="6">
        <f t="shared" si="2725"/>
        <v>-0.1967800000000004</v>
      </c>
      <c r="V526" s="6">
        <f t="shared" si="2726"/>
        <v>-0.18999999999999773</v>
      </c>
      <c r="W526" s="9">
        <f>Tabla1[[#This Row],[Protein]]/Tabla1[[#This Row],[Peso (Kg)]]</f>
        <v>0.26330851697438945</v>
      </c>
      <c r="X526" s="9">
        <f t="shared" si="2382"/>
        <v>0.26555063542779866</v>
      </c>
      <c r="Y526" s="6">
        <f t="shared" si="2727"/>
        <v>38.197249999999997</v>
      </c>
      <c r="Z526" s="6">
        <f t="shared" ref="Z526:Z527" si="2734">AVERAGE(E520:E526)</f>
        <v>83.862857142857138</v>
      </c>
      <c r="AA526" s="6">
        <f t="shared" ref="AA526:AA527" si="2735">AVERAGE(N520:N526)</f>
        <v>12.268468571428571</v>
      </c>
      <c r="AB526" s="6">
        <f t="shared" ref="AB526:AB527" si="2736">AVERAGE(R520:R526)</f>
        <v>22.269662857142855</v>
      </c>
      <c r="AC526" s="6">
        <f t="shared" ref="AC526:AC527" si="2737">100*(AB526/AB525-1)</f>
        <v>-0.60191935759900117</v>
      </c>
      <c r="AD526" s="42">
        <f>Tabla1[[#This Row],[Avg Agua)]]/Tabla1[[#This Row],[Avg Musculo]]</f>
        <v>2.0577197781684298</v>
      </c>
    </row>
    <row r="527" spans="1:31" x14ac:dyDescent="0.3">
      <c r="A527" t="s">
        <v>141</v>
      </c>
      <c r="B527">
        <v>18</v>
      </c>
      <c r="C527" t="s">
        <v>21</v>
      </c>
      <c r="D527" s="4">
        <v>45782</v>
      </c>
      <c r="E527" s="6">
        <v>85.15</v>
      </c>
      <c r="F527" s="7">
        <f t="shared" si="2716"/>
        <v>24.091783612494346</v>
      </c>
      <c r="G527" s="9">
        <v>0.157</v>
      </c>
      <c r="H527" s="6">
        <f t="shared" si="2717"/>
        <v>71.781450000000007</v>
      </c>
      <c r="I527" s="6">
        <f t="shared" si="2718"/>
        <v>21.7044</v>
      </c>
      <c r="J527">
        <v>3.5</v>
      </c>
      <c r="K527" s="5">
        <v>7.0000000000000007E-2</v>
      </c>
      <c r="L527" s="17">
        <v>2066</v>
      </c>
      <c r="M527" s="5">
        <v>0.54700000000000004</v>
      </c>
      <c r="N527" s="6">
        <f t="shared" si="2719"/>
        <v>13.368550000000001</v>
      </c>
      <c r="O527" s="21">
        <f t="shared" si="2720"/>
        <v>46.577050000000007</v>
      </c>
      <c r="P527" s="8">
        <f t="shared" si="2706"/>
        <v>45.950268571428573</v>
      </c>
      <c r="Q527" s="8">
        <f t="shared" si="2721"/>
        <v>63.445600000000006</v>
      </c>
      <c r="R527" s="6">
        <f t="shared" si="2722"/>
        <v>21.7044</v>
      </c>
      <c r="S527" s="6">
        <f t="shared" si="2723"/>
        <v>5.9605000000000006</v>
      </c>
      <c r="T527" s="6">
        <f t="shared" si="2724"/>
        <v>-0.40034999999999599</v>
      </c>
      <c r="U527" s="6">
        <f t="shared" si="2725"/>
        <v>0.77605000000000146</v>
      </c>
      <c r="V527" s="6">
        <f t="shared" si="2726"/>
        <v>1.2000000000000028</v>
      </c>
      <c r="W527" s="9">
        <f>Tabla1[[#This Row],[Protein]]/Tabla1[[#This Row],[Peso (Kg)]]</f>
        <v>0.25489606576629475</v>
      </c>
      <c r="X527" s="9">
        <f t="shared" ref="X527:X595" si="2738">AVERAGE(W521:W527)</f>
        <v>0.26349881689896965</v>
      </c>
      <c r="Y527" s="6">
        <f t="shared" si="2727"/>
        <v>38.572949999999999</v>
      </c>
      <c r="Z527" s="6">
        <f t="shared" si="2734"/>
        <v>84.048571428571435</v>
      </c>
      <c r="AA527" s="6">
        <f t="shared" si="2735"/>
        <v>12.453347142857142</v>
      </c>
      <c r="AB527" s="6">
        <f t="shared" si="2736"/>
        <v>22.144955714285711</v>
      </c>
      <c r="AC527" s="6">
        <f t="shared" si="2737"/>
        <v>-0.55998666732013369</v>
      </c>
      <c r="AD527" s="42">
        <f>Tabla1[[#This Row],[Avg Agua)]]/Tabla1[[#This Row],[Avg Musculo]]</f>
        <v>2.0749767651052946</v>
      </c>
      <c r="AE527" t="s">
        <v>153</v>
      </c>
    </row>
    <row r="528" spans="1:31" x14ac:dyDescent="0.3">
      <c r="A528" t="s">
        <v>141</v>
      </c>
      <c r="B528">
        <v>19</v>
      </c>
      <c r="C528" t="s">
        <v>26</v>
      </c>
      <c r="D528" s="4">
        <v>45788</v>
      </c>
      <c r="E528" s="6">
        <v>83.65</v>
      </c>
      <c r="F528" s="7">
        <f t="shared" si="2716"/>
        <v>23.667383431416933</v>
      </c>
      <c r="G528" s="9">
        <v>0.14699999999999999</v>
      </c>
      <c r="H528" s="6">
        <f t="shared" si="2717"/>
        <v>71.353450000000009</v>
      </c>
      <c r="I528" s="6">
        <f t="shared" si="2718"/>
        <v>22.096900000000005</v>
      </c>
      <c r="J528">
        <v>3.5</v>
      </c>
      <c r="K528" s="5">
        <v>6.5000000000000002E-2</v>
      </c>
      <c r="L528" s="17">
        <v>2049</v>
      </c>
      <c r="M528" s="5">
        <v>0.54700000000000004</v>
      </c>
      <c r="N528" s="6">
        <f t="shared" si="2719"/>
        <v>12.29655</v>
      </c>
      <c r="O528" s="21">
        <f t="shared" si="2720"/>
        <v>45.756550000000004</v>
      </c>
      <c r="P528" s="8">
        <f t="shared" si="2706"/>
        <v>45.94726142857143</v>
      </c>
      <c r="Q528" s="8">
        <f t="shared" si="2721"/>
        <v>61.553100000000001</v>
      </c>
      <c r="R528" s="6">
        <f t="shared" si="2722"/>
        <v>22.096900000000005</v>
      </c>
      <c r="S528" s="6">
        <f t="shared" si="2723"/>
        <v>5.4372500000000006</v>
      </c>
      <c r="T528" s="6">
        <f t="shared" si="2724"/>
        <v>0.3925000000000054</v>
      </c>
      <c r="U528" s="6">
        <f t="shared" si="2725"/>
        <v>-1.072000000000001</v>
      </c>
      <c r="V528" s="6">
        <f t="shared" si="2726"/>
        <v>-1.5</v>
      </c>
      <c r="W528" s="9">
        <f>Tabla1[[#This Row],[Protein]]/Tabla1[[#This Row],[Peso (Kg)]]</f>
        <v>0.26415899581589963</v>
      </c>
      <c r="X528" s="9">
        <f t="shared" si="2738"/>
        <v>0.26303472980603698</v>
      </c>
      <c r="Y528" s="6">
        <f t="shared" si="2727"/>
        <v>37.893450000000001</v>
      </c>
      <c r="Z528" s="6">
        <f t="shared" ref="Z528" si="2739">AVERAGE(E522:E528)</f>
        <v>83.977142857142852</v>
      </c>
      <c r="AA528" s="6">
        <f t="shared" ref="AA528" si="2740">AVERAGE(N522:N528)</f>
        <v>12.442847142857143</v>
      </c>
      <c r="AB528" s="6">
        <f t="shared" ref="AB528" si="2741">AVERAGE(R522:R528)</f>
        <v>22.087034285714282</v>
      </c>
      <c r="AC528" s="6">
        <f t="shared" ref="AC528:AC534" si="2742">100*(AB528/AB527-1)</f>
        <v>-0.26155585641592927</v>
      </c>
      <c r="AD528" s="42">
        <f>Tabla1[[#This Row],[Avg Agua)]]/Tabla1[[#This Row],[Avg Musculo]]</f>
        <v>2.0802820711103687</v>
      </c>
      <c r="AE528" t="s">
        <v>154</v>
      </c>
    </row>
    <row r="529" spans="1:31" x14ac:dyDescent="0.3">
      <c r="A529" t="s">
        <v>141</v>
      </c>
      <c r="B529">
        <v>20</v>
      </c>
      <c r="C529" t="s">
        <v>21</v>
      </c>
      <c r="D529" s="4">
        <v>45789</v>
      </c>
      <c r="E529" s="6">
        <v>83.9</v>
      </c>
      <c r="F529" s="7">
        <f t="shared" si="2716"/>
        <v>23.738116794929837</v>
      </c>
      <c r="G529" s="9">
        <v>0.14799999999999999</v>
      </c>
      <c r="H529" s="6">
        <f t="shared" si="2717"/>
        <v>71.482800000000012</v>
      </c>
      <c r="I529" s="6">
        <f t="shared" si="2718"/>
        <v>22.257300000000008</v>
      </c>
      <c r="J529">
        <v>3.5</v>
      </c>
      <c r="K529" s="5">
        <v>7.0000000000000007E-2</v>
      </c>
      <c r="L529" s="17">
        <v>2052</v>
      </c>
      <c r="M529" s="5">
        <v>0.54500000000000004</v>
      </c>
      <c r="N529" s="6">
        <f t="shared" si="2719"/>
        <v>12.417199999999999</v>
      </c>
      <c r="O529" s="21">
        <f t="shared" si="2720"/>
        <v>45.725500000000004</v>
      </c>
      <c r="P529" s="8">
        <f t="shared" si="2706"/>
        <v>45.958939999999998</v>
      </c>
      <c r="Q529" s="8">
        <f t="shared" si="2721"/>
        <v>61.642699999999998</v>
      </c>
      <c r="R529" s="6">
        <f t="shared" si="2722"/>
        <v>22.257300000000008</v>
      </c>
      <c r="S529" s="6">
        <f t="shared" si="2723"/>
        <v>5.8730000000000011</v>
      </c>
      <c r="T529" s="6">
        <f t="shared" si="2724"/>
        <v>0.16040000000000276</v>
      </c>
      <c r="U529" s="6">
        <f t="shared" si="2725"/>
        <v>0.12064999999999948</v>
      </c>
      <c r="V529" s="6">
        <f t="shared" si="2726"/>
        <v>0.25</v>
      </c>
      <c r="W529" s="9">
        <f>Tabla1[[#This Row],[Protein]]/Tabla1[[#This Row],[Peso (Kg)]]</f>
        <v>0.26528367103694883</v>
      </c>
      <c r="X529" s="9">
        <f t="shared" si="2738"/>
        <v>0.26233111777933243</v>
      </c>
      <c r="Y529" s="6">
        <f t="shared" si="2727"/>
        <v>38.174500000000009</v>
      </c>
      <c r="Z529" s="6">
        <f t="shared" ref="Z529" si="2743">AVERAGE(E523:E529)</f>
        <v>83.99857142857141</v>
      </c>
      <c r="AA529" s="6">
        <f t="shared" ref="AA529" si="2744">AVERAGE(N523:N529)</f>
        <v>12.505839999999997</v>
      </c>
      <c r="AB529" s="6">
        <f t="shared" ref="AB529" si="2745">AVERAGE(R523:R529)</f>
        <v>22.033791428571426</v>
      </c>
      <c r="AC529" s="6">
        <f t="shared" si="2742"/>
        <v>-0.24105933125341261</v>
      </c>
      <c r="AD529" s="42">
        <f>Tabla1[[#This Row],[Avg Agua)]]/Tabla1[[#This Row],[Avg Musculo]]</f>
        <v>2.0858389328495051</v>
      </c>
    </row>
    <row r="530" spans="1:31" x14ac:dyDescent="0.3">
      <c r="A530" t="s">
        <v>141</v>
      </c>
      <c r="B530">
        <v>20</v>
      </c>
      <c r="C530" t="s">
        <v>23</v>
      </c>
      <c r="D530" s="4">
        <v>45790</v>
      </c>
      <c r="E530" s="6">
        <v>83.8</v>
      </c>
      <c r="F530" s="7">
        <f t="shared" si="2716"/>
        <v>23.709823449524674</v>
      </c>
      <c r="G530" s="9">
        <v>0.14899999999999999</v>
      </c>
      <c r="H530" s="6">
        <f t="shared" si="2717"/>
        <v>71.313800000000001</v>
      </c>
      <c r="I530" s="6">
        <f t="shared" si="2718"/>
        <v>21.975200000000001</v>
      </c>
      <c r="J530">
        <v>3.5</v>
      </c>
      <c r="K530" s="5">
        <v>7.0000000000000007E-2</v>
      </c>
      <c r="L530" s="17">
        <v>2047</v>
      </c>
      <c r="M530" s="5">
        <v>0.54700000000000004</v>
      </c>
      <c r="N530" s="6">
        <f t="shared" si="2719"/>
        <v>12.486199999999998</v>
      </c>
      <c r="O530" s="21">
        <f t="shared" si="2720"/>
        <v>45.8386</v>
      </c>
      <c r="P530" s="8">
        <f t="shared" si="2706"/>
        <v>45.970661428571425</v>
      </c>
      <c r="Q530" s="8">
        <f t="shared" si="2721"/>
        <v>61.824799999999996</v>
      </c>
      <c r="R530" s="6">
        <f t="shared" si="2722"/>
        <v>21.975200000000001</v>
      </c>
      <c r="S530" s="6">
        <f t="shared" si="2723"/>
        <v>5.8660000000000005</v>
      </c>
      <c r="T530" s="6">
        <f t="shared" si="2724"/>
        <v>-0.2821000000000069</v>
      </c>
      <c r="U530" s="6">
        <f t="shared" si="2725"/>
        <v>6.8999999999999062E-2</v>
      </c>
      <c r="V530" s="6">
        <f t="shared" si="2726"/>
        <v>-0.10000000000000853</v>
      </c>
      <c r="W530" s="9">
        <f>Tabla1[[#This Row],[Protein]]/Tabla1[[#This Row],[Peso (Kg)]]</f>
        <v>0.26223389021479715</v>
      </c>
      <c r="X530" s="9">
        <f t="shared" si="2738"/>
        <v>0.26162753126488925</v>
      </c>
      <c r="Y530" s="6">
        <f t="shared" si="2727"/>
        <v>37.961399999999998</v>
      </c>
      <c r="Z530" s="6">
        <f t="shared" ref="Z530" si="2746">AVERAGE(E524:E530)</f>
        <v>84.019999999999982</v>
      </c>
      <c r="AA530" s="6">
        <f t="shared" ref="AA530" si="2747">AVERAGE(N524:N530)</f>
        <v>12.568782857142855</v>
      </c>
      <c r="AB530" s="6">
        <f t="shared" ref="AB530" si="2748">AVERAGE(R524:R530)</f>
        <v>21.980555714285714</v>
      </c>
      <c r="AC530" s="6">
        <f t="shared" si="2742"/>
        <v>-0.24160941369664179</v>
      </c>
      <c r="AD530" s="42">
        <f>Tabla1[[#This Row],[Avg Agua)]]/Tabla1[[#This Row],[Avg Musculo]]</f>
        <v>2.0914239851858678</v>
      </c>
      <c r="AE530" t="s">
        <v>155</v>
      </c>
    </row>
    <row r="531" spans="1:31" x14ac:dyDescent="0.3">
      <c r="A531" t="s">
        <v>141</v>
      </c>
      <c r="B531">
        <v>20</v>
      </c>
      <c r="C531" t="s">
        <v>24</v>
      </c>
      <c r="D531" s="4">
        <v>45791</v>
      </c>
      <c r="E531" s="6">
        <v>84.3</v>
      </c>
      <c r="F531" s="7">
        <f t="shared" ref="F531:F536" si="2749">E531/(1.88^2)</f>
        <v>23.851290176550474</v>
      </c>
      <c r="G531" s="9">
        <v>0.155</v>
      </c>
      <c r="H531" s="6">
        <f t="shared" ref="H531:H536" si="2750">E531-N531</f>
        <v>71.233499999999992</v>
      </c>
      <c r="I531" s="6">
        <f t="shared" ref="I531:I536" si="2751">E531-N531-O531-J531</f>
        <v>21.36849999999999</v>
      </c>
      <c r="J531">
        <v>3.5</v>
      </c>
      <c r="K531" s="5">
        <v>7.0000000000000007E-2</v>
      </c>
      <c r="L531" s="17">
        <v>2048</v>
      </c>
      <c r="M531" s="5">
        <v>0.55000000000000004</v>
      </c>
      <c r="N531" s="6">
        <f t="shared" ref="N531:N536" si="2752">E531*G531</f>
        <v>13.0665</v>
      </c>
      <c r="O531" s="21">
        <f t="shared" ref="O531:O536" si="2753">M531*E531</f>
        <v>46.365000000000002</v>
      </c>
      <c r="P531" s="8">
        <f t="shared" si="2706"/>
        <v>46.005718571428581</v>
      </c>
      <c r="Q531" s="8">
        <f t="shared" ref="Q531:Q536" si="2754">E531-R531</f>
        <v>62.931500000000007</v>
      </c>
      <c r="R531" s="6">
        <f t="shared" ref="R531:R536" si="2755">I531</f>
        <v>21.36849999999999</v>
      </c>
      <c r="S531" s="6">
        <f t="shared" ref="S531:S536" si="2756">K531*E531</f>
        <v>5.9010000000000007</v>
      </c>
      <c r="T531" s="6">
        <f t="shared" ref="T531:T536" si="2757">I531-I530</f>
        <v>-0.60670000000001068</v>
      </c>
      <c r="U531" s="6">
        <f t="shared" ref="U531:U536" si="2758">N531-N530</f>
        <v>0.58030000000000115</v>
      </c>
      <c r="V531" s="6">
        <f t="shared" ref="V531:V536" si="2759">E531-E530</f>
        <v>0.5</v>
      </c>
      <c r="W531" s="9">
        <f>Tabla1[[#This Row],[Protein]]/Tabla1[[#This Row],[Peso (Kg)]]</f>
        <v>0.25348161328588364</v>
      </c>
      <c r="X531" s="9">
        <f t="shared" si="2738"/>
        <v>0.26039505933197582</v>
      </c>
      <c r="Y531" s="6">
        <f t="shared" ref="Y531:Y536" si="2760">R531+N531+J531</f>
        <v>37.934999999999988</v>
      </c>
      <c r="Z531" s="6">
        <f t="shared" ref="Z531" si="2761">AVERAGE(E525:E531)</f>
        <v>84.127142857142857</v>
      </c>
      <c r="AA531" s="6">
        <f t="shared" ref="AA531" si="2762">AVERAGE(N525:N531)</f>
        <v>12.716682857142859</v>
      </c>
      <c r="AB531" s="6">
        <f t="shared" ref="AB531" si="2763">AVERAGE(R525:R531)</f>
        <v>21.904741428571423</v>
      </c>
      <c r="AC531" s="6">
        <f t="shared" si="2742"/>
        <v>-0.34491523644698541</v>
      </c>
      <c r="AD531" s="42">
        <f>Tabla1[[#This Row],[Avg Agua)]]/Tabla1[[#This Row],[Avg Musculo]]</f>
        <v>2.100263028506745</v>
      </c>
    </row>
    <row r="532" spans="1:31" x14ac:dyDescent="0.3">
      <c r="A532" t="s">
        <v>141</v>
      </c>
      <c r="B532">
        <v>20</v>
      </c>
      <c r="C532" t="s">
        <v>22</v>
      </c>
      <c r="D532" s="4">
        <v>45792</v>
      </c>
      <c r="E532" s="6">
        <v>84.6</v>
      </c>
      <c r="F532" s="7">
        <f t="shared" si="2749"/>
        <v>23.936170212765958</v>
      </c>
      <c r="G532" s="9">
        <v>0.154</v>
      </c>
      <c r="H532" s="6">
        <f t="shared" si="2750"/>
        <v>71.571599999999989</v>
      </c>
      <c r="I532" s="6">
        <f t="shared" si="2751"/>
        <v>21.456999999999987</v>
      </c>
      <c r="J532">
        <v>3.5</v>
      </c>
      <c r="K532" s="5">
        <v>7.0000000000000007E-2</v>
      </c>
      <c r="L532" s="17">
        <v>2058</v>
      </c>
      <c r="M532" s="5">
        <v>0.55100000000000005</v>
      </c>
      <c r="N532" s="6">
        <f t="shared" si="2752"/>
        <v>13.0284</v>
      </c>
      <c r="O532" s="21">
        <f t="shared" si="2753"/>
        <v>46.614600000000003</v>
      </c>
      <c r="P532" s="8">
        <f t="shared" si="2706"/>
        <v>46.090007142857147</v>
      </c>
      <c r="Q532" s="8">
        <f t="shared" si="2754"/>
        <v>63.143000000000008</v>
      </c>
      <c r="R532" s="6">
        <f t="shared" si="2755"/>
        <v>21.456999999999987</v>
      </c>
      <c r="S532" s="6">
        <f t="shared" si="2756"/>
        <v>5.9220000000000006</v>
      </c>
      <c r="T532" s="6">
        <f t="shared" si="2757"/>
        <v>8.8499999999996248E-2</v>
      </c>
      <c r="U532" s="6">
        <f t="shared" si="2758"/>
        <v>-3.8100000000000023E-2</v>
      </c>
      <c r="V532" s="6">
        <f t="shared" si="2759"/>
        <v>0.29999999999999716</v>
      </c>
      <c r="W532" s="9">
        <f>Tabla1[[#This Row],[Protein]]/Tabla1[[#This Row],[Peso (Kg)]]</f>
        <v>0.25362884160756488</v>
      </c>
      <c r="X532" s="9">
        <f t="shared" si="2738"/>
        <v>0.25957022781453981</v>
      </c>
      <c r="Y532" s="6">
        <f t="shared" si="2760"/>
        <v>37.985399999999984</v>
      </c>
      <c r="Z532" s="6">
        <f t="shared" ref="Z532" si="2764">AVERAGE(E526:E532)</f>
        <v>84.19285714285715</v>
      </c>
      <c r="AA532" s="6">
        <f t="shared" ref="AA532" si="2765">AVERAGE(N526:N532)</f>
        <v>12.750842857142857</v>
      </c>
      <c r="AB532" s="6">
        <f t="shared" ref="AB532" si="2766">AVERAGE(R526:R532)</f>
        <v>21.85200714285714</v>
      </c>
      <c r="AC532" s="6">
        <f t="shared" si="2742"/>
        <v>-0.24074370330388062</v>
      </c>
      <c r="AD532" s="42">
        <f>Tabla1[[#This Row],[Avg Agua)]]/Tabla1[[#This Row],[Avg Musculo]]</f>
        <v>2.1091887276781707</v>
      </c>
    </row>
    <row r="533" spans="1:31" x14ac:dyDescent="0.3">
      <c r="A533" t="s">
        <v>141</v>
      </c>
      <c r="B533">
        <v>20</v>
      </c>
      <c r="C533" t="s">
        <v>20</v>
      </c>
      <c r="D533" s="4">
        <v>45793</v>
      </c>
      <c r="E533" s="6">
        <v>84.2</v>
      </c>
      <c r="F533" s="7">
        <f t="shared" si="2749"/>
        <v>23.822996831145318</v>
      </c>
      <c r="G533" s="9">
        <v>0.14899999999999999</v>
      </c>
      <c r="H533" s="6">
        <f t="shared" si="2750"/>
        <v>71.654200000000003</v>
      </c>
      <c r="I533" s="6">
        <f t="shared" si="2751"/>
        <v>22.517800000000001</v>
      </c>
      <c r="J533">
        <v>3.5</v>
      </c>
      <c r="K533" s="5">
        <v>7.0000000000000007E-2</v>
      </c>
      <c r="L533" s="17">
        <v>2058</v>
      </c>
      <c r="M533" s="5">
        <v>0.54200000000000004</v>
      </c>
      <c r="N533" s="6">
        <f t="shared" si="2752"/>
        <v>12.5458</v>
      </c>
      <c r="O533" s="21">
        <f t="shared" si="2753"/>
        <v>45.636400000000002</v>
      </c>
      <c r="P533" s="8">
        <f t="shared" si="2706"/>
        <v>46.07338571428572</v>
      </c>
      <c r="Q533" s="8">
        <f t="shared" si="2754"/>
        <v>61.682200000000002</v>
      </c>
      <c r="R533" s="6">
        <f t="shared" si="2755"/>
        <v>22.517800000000001</v>
      </c>
      <c r="S533" s="6">
        <f t="shared" si="2756"/>
        <v>5.894000000000001</v>
      </c>
      <c r="T533" s="6">
        <f t="shared" si="2757"/>
        <v>1.0608000000000146</v>
      </c>
      <c r="U533" s="6">
        <f t="shared" si="2758"/>
        <v>-0.4825999999999997</v>
      </c>
      <c r="V533" s="6">
        <f t="shared" si="2759"/>
        <v>-0.39999999999999147</v>
      </c>
      <c r="W533" s="9">
        <f>Tabla1[[#This Row],[Protein]]/Tabla1[[#This Row],[Peso (Kg)]]</f>
        <v>0.26743230403800478</v>
      </c>
      <c r="X533" s="9">
        <f t="shared" si="2738"/>
        <v>0.26015934025219911</v>
      </c>
      <c r="Y533" s="6">
        <f t="shared" si="2760"/>
        <v>38.563600000000001</v>
      </c>
      <c r="Z533" s="6">
        <f t="shared" ref="Z533" si="2767">AVERAGE(E527:E533)</f>
        <v>84.228571428571428</v>
      </c>
      <c r="AA533" s="6">
        <f t="shared" ref="AA533" si="2768">AVERAGE(N527:N533)</f>
        <v>12.744171428571429</v>
      </c>
      <c r="AB533" s="6">
        <f t="shared" ref="AB533" si="2769">AVERAGE(R527:R533)</f>
        <v>21.911014285714284</v>
      </c>
      <c r="AC533" s="6">
        <f t="shared" si="2742"/>
        <v>0.27003076866753961</v>
      </c>
      <c r="AD533" s="42">
        <f>Tabla1[[#This Row],[Avg Agua)]]/Tabla1[[#This Row],[Avg Musculo]]</f>
        <v>2.102750019396638</v>
      </c>
    </row>
    <row r="534" spans="1:31" x14ac:dyDescent="0.3">
      <c r="A534" t="s">
        <v>141</v>
      </c>
      <c r="B534">
        <v>20</v>
      </c>
      <c r="C534" t="s">
        <v>121</v>
      </c>
      <c r="D534" s="4">
        <v>45794</v>
      </c>
      <c r="E534" s="6">
        <v>83.85</v>
      </c>
      <c r="F534" s="7">
        <f t="shared" si="2749"/>
        <v>23.723970122227254</v>
      </c>
      <c r="G534" s="9">
        <v>0.151</v>
      </c>
      <c r="H534" s="6">
        <f t="shared" si="2750"/>
        <v>71.188649999999996</v>
      </c>
      <c r="I534" s="6">
        <f t="shared" si="2751"/>
        <v>22.325799999999994</v>
      </c>
      <c r="J534">
        <v>3.5</v>
      </c>
      <c r="K534" s="5">
        <v>7.0000000000000007E-2</v>
      </c>
      <c r="L534" s="17">
        <v>2045</v>
      </c>
      <c r="M534" s="5">
        <v>0.54100000000000004</v>
      </c>
      <c r="N534" s="6">
        <f t="shared" si="2752"/>
        <v>12.661349999999999</v>
      </c>
      <c r="O534" s="21">
        <f t="shared" si="2753"/>
        <v>45.362850000000002</v>
      </c>
      <c r="P534" s="8">
        <f t="shared" si="2706"/>
        <v>45.899928571428568</v>
      </c>
      <c r="Q534" s="8">
        <f t="shared" si="2754"/>
        <v>61.5242</v>
      </c>
      <c r="R534" s="6">
        <f t="shared" si="2755"/>
        <v>22.325799999999994</v>
      </c>
      <c r="S534" s="6">
        <f t="shared" si="2756"/>
        <v>5.8695000000000004</v>
      </c>
      <c r="T534" s="6">
        <f t="shared" si="2757"/>
        <v>-0.19200000000000728</v>
      </c>
      <c r="U534" s="6">
        <f t="shared" si="2758"/>
        <v>0.11554999999999893</v>
      </c>
      <c r="V534" s="6">
        <f t="shared" si="2759"/>
        <v>-0.35000000000000853</v>
      </c>
      <c r="W534" s="9">
        <f>Tabla1[[#This Row],[Protein]]/Tabla1[[#This Row],[Peso (Kg)]]</f>
        <v>0.26625879546809772</v>
      </c>
      <c r="X534" s="9">
        <f t="shared" si="2738"/>
        <v>0.26178258735245669</v>
      </c>
      <c r="Y534" s="6">
        <f t="shared" si="2760"/>
        <v>38.487149999999993</v>
      </c>
      <c r="Z534" s="6">
        <f t="shared" ref="Z534" si="2770">AVERAGE(E528:E534)</f>
        <v>84.04285714285713</v>
      </c>
      <c r="AA534" s="6">
        <f t="shared" ref="AA534" si="2771">AVERAGE(N528:N534)</f>
        <v>12.643142857142854</v>
      </c>
      <c r="AB534" s="6">
        <f t="shared" ref="AB534" si="2772">AVERAGE(R528:R534)</f>
        <v>21.999785714285711</v>
      </c>
      <c r="AC534" s="6">
        <f t="shared" si="2742"/>
        <v>0.40514522702541633</v>
      </c>
      <c r="AD534" s="42">
        <f>Tabla1[[#This Row],[Avg Agua)]]/Tabla1[[#This Row],[Avg Musculo]]</f>
        <v>2.0863807115004369</v>
      </c>
    </row>
    <row r="535" spans="1:31" x14ac:dyDescent="0.3">
      <c r="A535" t="s">
        <v>141</v>
      </c>
      <c r="B535">
        <v>21</v>
      </c>
      <c r="C535" t="s">
        <v>24</v>
      </c>
      <c r="D535" s="4">
        <v>45798</v>
      </c>
      <c r="E535" s="6">
        <v>84.8</v>
      </c>
      <c r="F535" s="7">
        <f t="shared" si="2749"/>
        <v>23.992756903576279</v>
      </c>
      <c r="G535" s="9">
        <v>0.152</v>
      </c>
      <c r="H535" s="6">
        <f t="shared" si="2750"/>
        <v>71.910399999999996</v>
      </c>
      <c r="I535" s="6">
        <f t="shared" si="2751"/>
        <v>22.009599999999992</v>
      </c>
      <c r="J535">
        <v>3.6</v>
      </c>
      <c r="K535" s="5">
        <v>7.0000000000000007E-2</v>
      </c>
      <c r="L535" s="17">
        <v>2068</v>
      </c>
      <c r="M535" s="5">
        <v>0.54600000000000004</v>
      </c>
      <c r="N535" s="6">
        <f t="shared" si="2752"/>
        <v>12.8896</v>
      </c>
      <c r="O535" s="21">
        <f t="shared" si="2753"/>
        <v>46.300800000000002</v>
      </c>
      <c r="P535" s="8">
        <f t="shared" si="2706"/>
        <v>45.977678571428569</v>
      </c>
      <c r="Q535" s="8">
        <f t="shared" si="2754"/>
        <v>62.790400000000005</v>
      </c>
      <c r="R535" s="6">
        <f t="shared" si="2755"/>
        <v>22.009599999999992</v>
      </c>
      <c r="S535" s="6">
        <f t="shared" si="2756"/>
        <v>5.9359999999999999</v>
      </c>
      <c r="T535" s="6">
        <f t="shared" si="2757"/>
        <v>-0.31620000000000203</v>
      </c>
      <c r="U535" s="6">
        <f t="shared" si="2758"/>
        <v>0.22825000000000095</v>
      </c>
      <c r="V535" s="6">
        <f t="shared" si="2759"/>
        <v>0.95000000000000284</v>
      </c>
      <c r="W535" s="9">
        <f>Tabla1[[#This Row],[Protein]]/Tabla1[[#This Row],[Peso (Kg)]]</f>
        <v>0.25954716981132064</v>
      </c>
      <c r="X535" s="9">
        <f t="shared" si="2738"/>
        <v>0.26112375506608826</v>
      </c>
      <c r="Y535" s="6">
        <f t="shared" si="2760"/>
        <v>38.499199999999995</v>
      </c>
      <c r="Z535" s="6">
        <f t="shared" ref="Z535" si="2773">AVERAGE(E529:E535)</f>
        <v>84.207142857142841</v>
      </c>
      <c r="AA535" s="6">
        <f t="shared" ref="AA535" si="2774">AVERAGE(N529:N535)</f>
        <v>12.727864285714285</v>
      </c>
      <c r="AB535" s="6">
        <f t="shared" ref="AB535" si="2775">AVERAGE(R529:R535)</f>
        <v>21.98731428571428</v>
      </c>
      <c r="AC535" s="6">
        <f t="shared" ref="AC535:AC540" si="2776">100*(AB535/AB534-1)</f>
        <v>-5.6688863852583093E-2</v>
      </c>
      <c r="AD535" s="42">
        <f>Tabla1[[#This Row],[Avg Agua)]]/Tabla1[[#This Row],[Avg Musculo]]</f>
        <v>2.0911002578109978</v>
      </c>
      <c r="AE535" t="s">
        <v>156</v>
      </c>
    </row>
    <row r="536" spans="1:31" x14ac:dyDescent="0.3">
      <c r="A536" t="s">
        <v>141</v>
      </c>
      <c r="B536">
        <v>21</v>
      </c>
      <c r="C536" t="s">
        <v>22</v>
      </c>
      <c r="D536" s="4">
        <v>45799</v>
      </c>
      <c r="E536" s="6">
        <v>84.4</v>
      </c>
      <c r="F536" s="7">
        <f t="shared" si="2749"/>
        <v>23.879583521955638</v>
      </c>
      <c r="G536" s="9">
        <v>0.152</v>
      </c>
      <c r="H536" s="6">
        <f t="shared" si="2750"/>
        <v>71.571200000000005</v>
      </c>
      <c r="I536" s="6">
        <f t="shared" si="2751"/>
        <v>23.001599999999996</v>
      </c>
      <c r="J536">
        <v>3.5</v>
      </c>
      <c r="K536" s="5">
        <v>7.0000000000000007E-2</v>
      </c>
      <c r="L536" s="17">
        <v>2059</v>
      </c>
      <c r="M536" s="5">
        <v>0.53400000000000003</v>
      </c>
      <c r="N536" s="6">
        <f t="shared" si="2752"/>
        <v>12.828800000000001</v>
      </c>
      <c r="O536" s="21">
        <f t="shared" si="2753"/>
        <v>45.069600000000008</v>
      </c>
      <c r="P536" s="8">
        <f t="shared" si="2706"/>
        <v>45.883978571428578</v>
      </c>
      <c r="Q536" s="8">
        <f t="shared" si="2754"/>
        <v>61.398400000000009</v>
      </c>
      <c r="R536" s="6">
        <f t="shared" si="2755"/>
        <v>23.001599999999996</v>
      </c>
      <c r="S536" s="6">
        <f t="shared" si="2756"/>
        <v>5.9080000000000013</v>
      </c>
      <c r="T536" s="6">
        <f t="shared" si="2757"/>
        <v>0.99200000000000443</v>
      </c>
      <c r="U536" s="6">
        <f t="shared" si="2758"/>
        <v>-6.0799999999998633E-2</v>
      </c>
      <c r="V536" s="6">
        <f t="shared" si="2759"/>
        <v>-0.39999999999999147</v>
      </c>
      <c r="W536" s="9">
        <f>Tabla1[[#This Row],[Protein]]/Tabla1[[#This Row],[Peso (Kg)]]</f>
        <v>0.27253080568720373</v>
      </c>
      <c r="X536" s="9">
        <f t="shared" si="2738"/>
        <v>0.26215906001612466</v>
      </c>
      <c r="Y536" s="6">
        <f t="shared" si="2760"/>
        <v>39.330399999999997</v>
      </c>
      <c r="Z536" s="6">
        <f t="shared" ref="Z536" si="2777">AVERAGE(E530:E536)</f>
        <v>84.278571428571439</v>
      </c>
      <c r="AA536" s="6">
        <f t="shared" ref="AA536" si="2778">AVERAGE(N530:N536)</f>
        <v>12.786664285714284</v>
      </c>
      <c r="AB536" s="6">
        <f t="shared" ref="AB536" si="2779">AVERAGE(R530:R536)</f>
        <v>22.09364285714285</v>
      </c>
      <c r="AC536" s="6">
        <f t="shared" si="2776"/>
        <v>0.48359053792055295</v>
      </c>
      <c r="AD536" s="42">
        <f>Tabla1[[#This Row],[Avg Agua)]]/Tabla1[[#This Row],[Avg Musculo]]</f>
        <v>2.076795522952628</v>
      </c>
    </row>
    <row r="537" spans="1:31" x14ac:dyDescent="0.3">
      <c r="A537" t="s">
        <v>141</v>
      </c>
      <c r="B537">
        <v>21</v>
      </c>
      <c r="C537" t="s">
        <v>20</v>
      </c>
      <c r="D537" s="4">
        <v>45800</v>
      </c>
      <c r="E537" s="6">
        <v>83.85</v>
      </c>
      <c r="F537" s="7">
        <f t="shared" ref="F537:F542" si="2780">E537/(1.88^2)</f>
        <v>23.723970122227254</v>
      </c>
      <c r="G537" s="9">
        <v>0.14399999999999999</v>
      </c>
      <c r="H537" s="6">
        <f t="shared" ref="H537:H542" si="2781">E537-N537</f>
        <v>71.775599999999997</v>
      </c>
      <c r="I537" s="6">
        <f t="shared" ref="I537:I542" si="2782">E537-N537-O537-J537</f>
        <v>23.164299999999997</v>
      </c>
      <c r="J537">
        <v>3.5</v>
      </c>
      <c r="K537" s="5">
        <v>6.5000000000000002E-2</v>
      </c>
      <c r="L537" s="17">
        <v>2059</v>
      </c>
      <c r="M537" s="5">
        <v>0.53800000000000003</v>
      </c>
      <c r="N537" s="6">
        <f t="shared" ref="N537:N542" si="2783">E537*G537</f>
        <v>12.074399999999999</v>
      </c>
      <c r="O537" s="21">
        <f t="shared" ref="O537:O542" si="2784">M537*E537</f>
        <v>45.1113</v>
      </c>
      <c r="P537" s="8">
        <f t="shared" si="2706"/>
        <v>45.780078571428575</v>
      </c>
      <c r="Q537" s="8">
        <f t="shared" ref="Q537:Q542" si="2785">E537-R537</f>
        <v>60.685699999999997</v>
      </c>
      <c r="R537" s="6">
        <f t="shared" ref="R537:R542" si="2786">I537</f>
        <v>23.164299999999997</v>
      </c>
      <c r="S537" s="6">
        <f t="shared" ref="S537:S542" si="2787">K537*E537</f>
        <v>5.4502499999999996</v>
      </c>
      <c r="T537" s="6">
        <f t="shared" ref="T537:T542" si="2788">I537-I536</f>
        <v>0.16270000000000095</v>
      </c>
      <c r="U537" s="6">
        <f t="shared" ref="U537:U542" si="2789">N537-N536</f>
        <v>-0.75440000000000218</v>
      </c>
      <c r="V537" s="6">
        <f t="shared" ref="V537:V542" si="2790">E537-E536</f>
        <v>-0.55000000000001137</v>
      </c>
      <c r="W537" s="9">
        <f>Tabla1[[#This Row],[Protein]]/Tabla1[[#This Row],[Peso (Kg)]]</f>
        <v>0.27625879546809778</v>
      </c>
      <c r="X537" s="9">
        <f t="shared" si="2738"/>
        <v>0.26416261790945333</v>
      </c>
      <c r="Y537" s="6">
        <f t="shared" ref="Y537:Y542" si="2791">R537+N537+J537</f>
        <v>38.738699999999994</v>
      </c>
      <c r="Z537" s="6">
        <f t="shared" ref="Z537" si="2792">AVERAGE(E531:E537)</f>
        <v>84.285714285714292</v>
      </c>
      <c r="AA537" s="6">
        <f t="shared" ref="AA537" si="2793">AVERAGE(N531:N537)</f>
        <v>12.727835714285714</v>
      </c>
      <c r="AB537" s="6">
        <f t="shared" ref="AB537" si="2794">AVERAGE(R531:R537)</f>
        <v>22.263514285714276</v>
      </c>
      <c r="AC537" s="6">
        <f t="shared" si="2776"/>
        <v>0.7688701662727615</v>
      </c>
      <c r="AD537" s="42">
        <f>Tabla1[[#This Row],[Avg Agua)]]/Tabla1[[#This Row],[Avg Musculo]]</f>
        <v>2.0562826687610616</v>
      </c>
    </row>
    <row r="538" spans="1:31" x14ac:dyDescent="0.3">
      <c r="A538" t="s">
        <v>141</v>
      </c>
      <c r="B538">
        <v>21</v>
      </c>
      <c r="C538" t="s">
        <v>121</v>
      </c>
      <c r="D538" s="4">
        <v>45801</v>
      </c>
      <c r="E538" s="6">
        <v>84</v>
      </c>
      <c r="F538" s="7">
        <f t="shared" si="2780"/>
        <v>23.766410140334994</v>
      </c>
      <c r="G538" s="9">
        <v>0.15</v>
      </c>
      <c r="H538" s="6">
        <f t="shared" si="2781"/>
        <v>71.400000000000006</v>
      </c>
      <c r="I538" s="6">
        <f t="shared" si="2782"/>
        <v>22.792000000000002</v>
      </c>
      <c r="J538">
        <v>3.5</v>
      </c>
      <c r="K538" s="5">
        <v>7.0000000000000007E-2</v>
      </c>
      <c r="L538" s="17">
        <v>2051</v>
      </c>
      <c r="M538" s="5">
        <v>0.53700000000000003</v>
      </c>
      <c r="N538" s="6">
        <f t="shared" si="2783"/>
        <v>12.6</v>
      </c>
      <c r="O538" s="21">
        <f t="shared" si="2784"/>
        <v>45.108000000000004</v>
      </c>
      <c r="P538" s="8">
        <f t="shared" si="2706"/>
        <v>45.600507142857147</v>
      </c>
      <c r="Q538" s="8">
        <f t="shared" si="2785"/>
        <v>61.207999999999998</v>
      </c>
      <c r="R538" s="6">
        <f t="shared" si="2786"/>
        <v>22.792000000000002</v>
      </c>
      <c r="S538" s="6">
        <f t="shared" si="2787"/>
        <v>5.8800000000000008</v>
      </c>
      <c r="T538" s="6">
        <f t="shared" si="2788"/>
        <v>-0.37229999999999563</v>
      </c>
      <c r="U538" s="6">
        <f t="shared" si="2789"/>
        <v>0.52560000000000073</v>
      </c>
      <c r="V538" s="6">
        <f t="shared" si="2790"/>
        <v>0.15000000000000568</v>
      </c>
      <c r="W538" s="9">
        <f>Tabla1[[#This Row],[Protein]]/Tabla1[[#This Row],[Peso (Kg)]]</f>
        <v>0.27133333333333337</v>
      </c>
      <c r="X538" s="9">
        <f t="shared" si="2738"/>
        <v>0.26671286363051755</v>
      </c>
      <c r="Y538" s="6">
        <f t="shared" si="2791"/>
        <v>38.892000000000003</v>
      </c>
      <c r="Z538" s="6">
        <f t="shared" ref="Z538" si="2795">AVERAGE(E532:E538)</f>
        <v>84.242857142857147</v>
      </c>
      <c r="AA538" s="6">
        <f t="shared" ref="AA538" si="2796">AVERAGE(N532:N538)</f>
        <v>12.661192857142856</v>
      </c>
      <c r="AB538" s="6">
        <f t="shared" ref="AB538" si="2797">AVERAGE(R532:R538)</f>
        <v>22.466871428571427</v>
      </c>
      <c r="AC538" s="6">
        <f t="shared" si="2776"/>
        <v>0.91340989678183604</v>
      </c>
      <c r="AD538" s="42">
        <f>Tabla1[[#This Row],[Avg Agua)]]/Tabla1[[#This Row],[Avg Musculo]]</f>
        <v>2.0296776650827475</v>
      </c>
    </row>
    <row r="539" spans="1:31" x14ac:dyDescent="0.3">
      <c r="A539" t="s">
        <v>141</v>
      </c>
      <c r="B539">
        <v>21</v>
      </c>
      <c r="C539" t="s">
        <v>26</v>
      </c>
      <c r="D539" s="4">
        <v>45802</v>
      </c>
      <c r="E539" s="6">
        <v>84</v>
      </c>
      <c r="F539" s="7">
        <f t="shared" si="2780"/>
        <v>23.766410140334994</v>
      </c>
      <c r="G539" s="9">
        <v>0.14899999999999999</v>
      </c>
      <c r="H539" s="6">
        <f t="shared" si="2781"/>
        <v>71.483999999999995</v>
      </c>
      <c r="I539" s="6">
        <f t="shared" si="2782"/>
        <v>22.371999999999993</v>
      </c>
      <c r="J539">
        <v>3.5</v>
      </c>
      <c r="K539" s="5">
        <v>7.0000000000000007E-2</v>
      </c>
      <c r="L539" s="17">
        <v>2051</v>
      </c>
      <c r="M539" s="5">
        <v>0.54300000000000004</v>
      </c>
      <c r="N539" s="6">
        <f t="shared" si="2783"/>
        <v>12.516</v>
      </c>
      <c r="O539" s="21">
        <f t="shared" si="2784"/>
        <v>45.612000000000002</v>
      </c>
      <c r="P539" s="8">
        <f t="shared" si="2706"/>
        <v>45.457278571428574</v>
      </c>
      <c r="Q539" s="8">
        <f t="shared" si="2785"/>
        <v>61.628000000000007</v>
      </c>
      <c r="R539" s="6">
        <f t="shared" si="2786"/>
        <v>22.371999999999993</v>
      </c>
      <c r="S539" s="6">
        <f t="shared" si="2787"/>
        <v>5.8800000000000008</v>
      </c>
      <c r="T539" s="6">
        <f t="shared" si="2788"/>
        <v>-0.42000000000000881</v>
      </c>
      <c r="U539" s="6">
        <f t="shared" si="2789"/>
        <v>-8.3999999999999631E-2</v>
      </c>
      <c r="V539" s="6">
        <f t="shared" si="2790"/>
        <v>0</v>
      </c>
      <c r="W539" s="9">
        <f>Tabla1[[#This Row],[Protein]]/Tabla1[[#This Row],[Peso (Kg)]]</f>
        <v>0.26633333333333326</v>
      </c>
      <c r="X539" s="9">
        <f t="shared" si="2738"/>
        <v>0.26852779101991303</v>
      </c>
      <c r="Y539" s="6">
        <f t="shared" si="2791"/>
        <v>38.387999999999991</v>
      </c>
      <c r="Z539" s="6">
        <f t="shared" ref="Z539" si="2798">AVERAGE(E533:E539)</f>
        <v>84.157142857142858</v>
      </c>
      <c r="AA539" s="6">
        <f t="shared" ref="AA539" si="2799">AVERAGE(N533:N539)</f>
        <v>12.587992857142856</v>
      </c>
      <c r="AB539" s="6">
        <f t="shared" ref="AB539" si="2800">AVERAGE(R533:R539)</f>
        <v>22.59758571428571</v>
      </c>
      <c r="AC539" s="6">
        <f t="shared" si="2776"/>
        <v>0.58180902547941837</v>
      </c>
      <c r="AD539" s="42">
        <f>Tabla1[[#This Row],[Avg Agua)]]/Tabla1[[#This Row],[Avg Musculo]]</f>
        <v>2.0115989002617858</v>
      </c>
    </row>
    <row r="540" spans="1:31" x14ac:dyDescent="0.3">
      <c r="A540" t="s">
        <v>141</v>
      </c>
      <c r="B540">
        <v>22</v>
      </c>
      <c r="C540" t="s">
        <v>21</v>
      </c>
      <c r="D540" s="4">
        <v>45803</v>
      </c>
      <c r="E540" s="6">
        <v>83.55</v>
      </c>
      <c r="F540" s="7">
        <f t="shared" si="2780"/>
        <v>23.63909008601177</v>
      </c>
      <c r="G540" s="9">
        <v>0.14399999999999999</v>
      </c>
      <c r="H540" s="6">
        <f t="shared" si="2781"/>
        <v>71.518799999999999</v>
      </c>
      <c r="I540" s="6">
        <f t="shared" si="2782"/>
        <v>22.651149999999994</v>
      </c>
      <c r="J540">
        <v>3.5</v>
      </c>
      <c r="K540" s="5">
        <v>6.5000000000000002E-2</v>
      </c>
      <c r="L540" s="17">
        <v>2053</v>
      </c>
      <c r="M540" s="5">
        <v>0.54300000000000004</v>
      </c>
      <c r="N540" s="6">
        <f t="shared" si="2783"/>
        <v>12.031199999999998</v>
      </c>
      <c r="O540" s="21">
        <f t="shared" si="2784"/>
        <v>45.367650000000005</v>
      </c>
      <c r="P540" s="8">
        <f t="shared" si="2706"/>
        <v>45.418885714285715</v>
      </c>
      <c r="Q540" s="8">
        <f t="shared" si="2785"/>
        <v>60.898850000000003</v>
      </c>
      <c r="R540" s="6">
        <f t="shared" si="2786"/>
        <v>22.651149999999994</v>
      </c>
      <c r="S540" s="6">
        <f t="shared" si="2787"/>
        <v>5.4307499999999997</v>
      </c>
      <c r="T540" s="6">
        <f t="shared" si="2788"/>
        <v>0.27915000000000134</v>
      </c>
      <c r="U540" s="6">
        <f t="shared" si="2789"/>
        <v>-0.48480000000000167</v>
      </c>
      <c r="V540" s="6">
        <f t="shared" si="2790"/>
        <v>-0.45000000000000284</v>
      </c>
      <c r="W540" s="9">
        <f>Tabla1[[#This Row],[Protein]]/Tabla1[[#This Row],[Peso (Kg)]]</f>
        <v>0.27110891681627763</v>
      </c>
      <c r="X540" s="9">
        <f t="shared" si="2738"/>
        <v>0.26905302141680915</v>
      </c>
      <c r="Y540" s="6">
        <f t="shared" si="2791"/>
        <v>38.182349999999992</v>
      </c>
      <c r="Z540" s="6">
        <f t="shared" ref="Z540" si="2801">AVERAGE(E534:E540)</f>
        <v>84.064285714285703</v>
      </c>
      <c r="AA540" s="6">
        <f t="shared" ref="AA540" si="2802">AVERAGE(N534:N540)</f>
        <v>12.514478571428571</v>
      </c>
      <c r="AB540" s="6">
        <f t="shared" ref="AB540" si="2803">AVERAGE(R534:R540)</f>
        <v>22.61663571428571</v>
      </c>
      <c r="AC540" s="6">
        <f t="shared" si="2776"/>
        <v>8.43010410088052E-2</v>
      </c>
      <c r="AD540" s="42">
        <f>Tabla1[[#This Row],[Avg Agua)]]/Tabla1[[#This Row],[Avg Musculo]]</f>
        <v>2.0082069803864351</v>
      </c>
    </row>
    <row r="541" spans="1:31" x14ac:dyDescent="0.3">
      <c r="A541" t="s">
        <v>141</v>
      </c>
      <c r="B541">
        <v>22</v>
      </c>
      <c r="C541" t="s">
        <v>26</v>
      </c>
      <c r="D541" s="4">
        <v>45809</v>
      </c>
      <c r="E541" s="6">
        <v>84.05</v>
      </c>
      <c r="F541" s="7">
        <f t="shared" si="2780"/>
        <v>23.780556813037574</v>
      </c>
      <c r="G541" s="9">
        <v>0.14299999999999999</v>
      </c>
      <c r="H541" s="6">
        <f t="shared" si="2781"/>
        <v>72.030850000000001</v>
      </c>
      <c r="I541" s="6">
        <f t="shared" si="2782"/>
        <v>22.707650000000001</v>
      </c>
      <c r="J541">
        <v>3.6</v>
      </c>
      <c r="K541" s="5">
        <v>6.5000000000000002E-2</v>
      </c>
      <c r="L541" s="17">
        <v>2067</v>
      </c>
      <c r="M541" s="5">
        <v>0.54400000000000004</v>
      </c>
      <c r="N541" s="6">
        <f t="shared" si="2783"/>
        <v>12.019149999999998</v>
      </c>
      <c r="O541" s="21">
        <f t="shared" si="2784"/>
        <v>45.723199999999999</v>
      </c>
      <c r="P541" s="8">
        <f t="shared" si="2706"/>
        <v>45.470364285714297</v>
      </c>
      <c r="Q541" s="8">
        <f t="shared" si="2785"/>
        <v>61.342349999999996</v>
      </c>
      <c r="R541" s="6">
        <f t="shared" si="2786"/>
        <v>22.707650000000001</v>
      </c>
      <c r="S541" s="6">
        <f t="shared" si="2787"/>
        <v>5.4632500000000004</v>
      </c>
      <c r="T541" s="6">
        <f t="shared" si="2788"/>
        <v>5.6500000000006878E-2</v>
      </c>
      <c r="U541" s="6">
        <f t="shared" si="2789"/>
        <v>-1.2050000000000338E-2</v>
      </c>
      <c r="V541" s="6">
        <f t="shared" si="2790"/>
        <v>0.5</v>
      </c>
      <c r="W541" s="9">
        <f>Tabla1[[#This Row],[Protein]]/Tabla1[[#This Row],[Peso (Kg)]]</f>
        <v>0.27016835217132662</v>
      </c>
      <c r="X541" s="9">
        <f t="shared" si="2738"/>
        <v>0.26961152951727041</v>
      </c>
      <c r="Y541" s="6">
        <f t="shared" si="2791"/>
        <v>38.326799999999999</v>
      </c>
      <c r="Z541" s="6">
        <f t="shared" ref="Z541" si="2804">AVERAGE(E535:E541)</f>
        <v>84.092857142857142</v>
      </c>
      <c r="AA541" s="6">
        <f t="shared" ref="AA541" si="2805">AVERAGE(N535:N541)</f>
        <v>12.422735714285713</v>
      </c>
      <c r="AB541" s="6">
        <f t="shared" ref="AB541" si="2806">AVERAGE(R535:R541)</f>
        <v>22.671185714285713</v>
      </c>
      <c r="AC541" s="6">
        <f t="shared" ref="AC541:AC546" si="2807">100*(AB541/AB540-1)</f>
        <v>0.2411941399646178</v>
      </c>
      <c r="AD541" s="42">
        <f>Tabla1[[#This Row],[Avg Agua)]]/Tabla1[[#This Row],[Avg Musculo]]</f>
        <v>2.0056456181320157</v>
      </c>
      <c r="AE541" t="s">
        <v>158</v>
      </c>
    </row>
    <row r="542" spans="1:31" x14ac:dyDescent="0.3">
      <c r="A542" t="s">
        <v>157</v>
      </c>
      <c r="B542">
        <v>23</v>
      </c>
      <c r="C542" t="s">
        <v>21</v>
      </c>
      <c r="D542" s="4">
        <v>45810</v>
      </c>
      <c r="E542" s="6">
        <v>83.95</v>
      </c>
      <c r="F542" s="7">
        <f t="shared" si="2780"/>
        <v>23.752263467632414</v>
      </c>
      <c r="G542" s="9">
        <v>0.14199999999999999</v>
      </c>
      <c r="H542" s="6">
        <f t="shared" si="2781"/>
        <v>72.0291</v>
      </c>
      <c r="I542" s="6">
        <f t="shared" si="2782"/>
        <v>22.592399999999991</v>
      </c>
      <c r="J542">
        <v>3.6</v>
      </c>
      <c r="K542" s="5">
        <v>6.5000000000000002E-2</v>
      </c>
      <c r="L542" s="17">
        <v>2068</v>
      </c>
      <c r="M542" s="5">
        <v>0.54600000000000004</v>
      </c>
      <c r="N542" s="6">
        <f t="shared" si="2783"/>
        <v>11.9209</v>
      </c>
      <c r="O542" s="21">
        <f t="shared" si="2784"/>
        <v>45.836700000000008</v>
      </c>
      <c r="P542" s="8">
        <f t="shared" si="2706"/>
        <v>45.404064285714291</v>
      </c>
      <c r="Q542" s="8">
        <f t="shared" si="2785"/>
        <v>61.357600000000012</v>
      </c>
      <c r="R542" s="6">
        <f t="shared" si="2786"/>
        <v>22.592399999999991</v>
      </c>
      <c r="S542" s="6">
        <f t="shared" si="2787"/>
        <v>5.4567500000000004</v>
      </c>
      <c r="T542" s="6">
        <f t="shared" si="2788"/>
        <v>-0.11525000000001029</v>
      </c>
      <c r="U542" s="6">
        <f t="shared" si="2789"/>
        <v>-9.8249999999998394E-2</v>
      </c>
      <c r="V542" s="6">
        <f t="shared" si="2790"/>
        <v>-9.9999999999994316E-2</v>
      </c>
      <c r="W542" s="9">
        <f>Tabla1[[#This Row],[Protein]]/Tabla1[[#This Row],[Peso (Kg)]]</f>
        <v>0.26911733174508623</v>
      </c>
      <c r="X542" s="9">
        <f t="shared" si="2738"/>
        <v>0.27097869550780834</v>
      </c>
      <c r="Y542" s="6">
        <f t="shared" si="2791"/>
        <v>38.113299999999988</v>
      </c>
      <c r="Z542" s="6">
        <f t="shared" ref="Z542" si="2808">AVERAGE(E536:E542)</f>
        <v>83.971428571428575</v>
      </c>
      <c r="AA542" s="6">
        <f t="shared" ref="AA542" si="2809">AVERAGE(N536:N542)</f>
        <v>12.28435</v>
      </c>
      <c r="AB542" s="6">
        <f t="shared" ref="AB542" si="2810">AVERAGE(R536:R542)</f>
        <v>22.754442857142855</v>
      </c>
      <c r="AC542" s="6">
        <f t="shared" si="2807"/>
        <v>0.36723770828042124</v>
      </c>
      <c r="AD542" s="42">
        <f>Tabla1[[#This Row],[Avg Agua)]]/Tabla1[[#This Row],[Avg Musculo]]</f>
        <v>1.9953933643100159</v>
      </c>
    </row>
    <row r="543" spans="1:31" x14ac:dyDescent="0.3">
      <c r="A543" t="s">
        <v>157</v>
      </c>
      <c r="B543">
        <v>23</v>
      </c>
      <c r="C543" t="s">
        <v>23</v>
      </c>
      <c r="D543" s="4">
        <v>45811</v>
      </c>
      <c r="E543" s="6">
        <v>83.55</v>
      </c>
      <c r="F543" s="7">
        <f t="shared" ref="F543:F548" si="2811">E543/(1.88^2)</f>
        <v>23.63909008601177</v>
      </c>
      <c r="G543" s="9">
        <v>0.14299999999999999</v>
      </c>
      <c r="H543" s="6">
        <f t="shared" ref="H543:H548" si="2812">E543-N543</f>
        <v>71.602350000000001</v>
      </c>
      <c r="I543" s="6">
        <f t="shared" ref="I543:I548" si="2813">E543-N543-O543-J543</f>
        <v>22.651150000000001</v>
      </c>
      <c r="J543">
        <v>3.5</v>
      </c>
      <c r="K543" s="5">
        <v>6.5000000000000002E-2</v>
      </c>
      <c r="L543" s="17">
        <v>2054</v>
      </c>
      <c r="M543" s="5">
        <v>0.54400000000000004</v>
      </c>
      <c r="N543" s="6">
        <f t="shared" ref="N543:N548" si="2814">E543*G543</f>
        <v>11.947649999999999</v>
      </c>
      <c r="O543" s="21">
        <f t="shared" ref="O543:O548" si="2815">M543*E543</f>
        <v>45.4512</v>
      </c>
      <c r="P543" s="8">
        <f t="shared" si="2706"/>
        <v>45.458578571428575</v>
      </c>
      <c r="Q543" s="8">
        <f t="shared" ref="Q543:Q548" si="2816">E543-R543</f>
        <v>60.898849999999996</v>
      </c>
      <c r="R543" s="6">
        <f t="shared" ref="R543:R548" si="2817">I543</f>
        <v>22.651150000000001</v>
      </c>
      <c r="S543" s="6">
        <f t="shared" ref="S543:S548" si="2818">K543*E543</f>
        <v>5.4307499999999997</v>
      </c>
      <c r="T543" s="6">
        <f t="shared" ref="T543:T548" si="2819">I543-I542</f>
        <v>5.8750000000010516E-2</v>
      </c>
      <c r="U543" s="6">
        <f t="shared" ref="U543:U548" si="2820">N543-N542</f>
        <v>2.6749999999999829E-2</v>
      </c>
      <c r="V543" s="6">
        <f t="shared" ref="V543:V548" si="2821">E543-E542</f>
        <v>-0.40000000000000568</v>
      </c>
      <c r="W543" s="9">
        <f>Tabla1[[#This Row],[Protein]]/Tabla1[[#This Row],[Peso (Kg)]]</f>
        <v>0.27110891681627769</v>
      </c>
      <c r="X543" s="9">
        <f t="shared" si="2738"/>
        <v>0.27077556852624751</v>
      </c>
      <c r="Y543" s="6">
        <f t="shared" ref="Y543:Y548" si="2822">R543+N543+J543</f>
        <v>38.098799999999997</v>
      </c>
      <c r="Z543" s="6">
        <f t="shared" ref="Z543" si="2823">AVERAGE(E537:E543)</f>
        <v>83.85</v>
      </c>
      <c r="AA543" s="6">
        <f t="shared" ref="AA543" si="2824">AVERAGE(N537:N543)</f>
        <v>12.158471428571428</v>
      </c>
      <c r="AB543" s="6">
        <f t="shared" ref="AB543" si="2825">AVERAGE(R537:R543)</f>
        <v>22.70437857142857</v>
      </c>
      <c r="AC543" s="6">
        <f t="shared" si="2807"/>
        <v>-0.22001982658331753</v>
      </c>
      <c r="AD543" s="42">
        <f>Tabla1[[#This Row],[Avg Agua)]]/Tabla1[[#This Row],[Avg Musculo]]</f>
        <v>2.0021943533232895</v>
      </c>
    </row>
    <row r="544" spans="1:31" x14ac:dyDescent="0.3">
      <c r="A544" t="s">
        <v>157</v>
      </c>
      <c r="B544">
        <v>23</v>
      </c>
      <c r="C544" t="s">
        <v>24</v>
      </c>
      <c r="D544" s="4">
        <v>45812</v>
      </c>
      <c r="E544" s="6">
        <v>83.65</v>
      </c>
      <c r="F544" s="7">
        <f t="shared" si="2811"/>
        <v>23.667383431416933</v>
      </c>
      <c r="G544" s="9">
        <v>0.14499999999999999</v>
      </c>
      <c r="H544" s="6">
        <f t="shared" si="2812"/>
        <v>71.520750000000007</v>
      </c>
      <c r="I544" s="6">
        <f t="shared" si="2813"/>
        <v>22.515149999999998</v>
      </c>
      <c r="J544">
        <v>3.5</v>
      </c>
      <c r="K544" s="5">
        <v>6.5000000000000002E-2</v>
      </c>
      <c r="L544" s="17">
        <v>2053</v>
      </c>
      <c r="M544" s="5">
        <v>0.54400000000000004</v>
      </c>
      <c r="N544" s="6">
        <f t="shared" si="2814"/>
        <v>12.129250000000001</v>
      </c>
      <c r="O544" s="21">
        <f t="shared" si="2815"/>
        <v>45.505600000000008</v>
      </c>
      <c r="P544" s="8">
        <f t="shared" si="2706"/>
        <v>45.514907142857147</v>
      </c>
      <c r="Q544" s="8">
        <f t="shared" si="2816"/>
        <v>61.134850000000007</v>
      </c>
      <c r="R544" s="6">
        <f t="shared" si="2817"/>
        <v>22.515149999999998</v>
      </c>
      <c r="S544" s="6">
        <f t="shared" si="2818"/>
        <v>5.4372500000000006</v>
      </c>
      <c r="T544" s="6">
        <f t="shared" si="2819"/>
        <v>-0.13600000000000279</v>
      </c>
      <c r="U544" s="6">
        <f t="shared" si="2820"/>
        <v>0.18160000000000132</v>
      </c>
      <c r="V544" s="6">
        <f t="shared" si="2821"/>
        <v>0.10000000000000853</v>
      </c>
      <c r="W544" s="9">
        <f>Tabla1[[#This Row],[Protein]]/Tabla1[[#This Row],[Peso (Kg)]]</f>
        <v>0.26915899581589953</v>
      </c>
      <c r="X544" s="9">
        <f t="shared" si="2738"/>
        <v>0.2697613114330763</v>
      </c>
      <c r="Y544" s="6">
        <f t="shared" si="2822"/>
        <v>38.144399999999997</v>
      </c>
      <c r="Z544" s="6">
        <f t="shared" ref="Z544" si="2826">AVERAGE(E538:E544)</f>
        <v>83.821428571428569</v>
      </c>
      <c r="AA544" s="6">
        <f t="shared" ref="AA544" si="2827">AVERAGE(N538:N544)</f>
        <v>12.166307142857141</v>
      </c>
      <c r="AB544" s="6">
        <f t="shared" ref="AB544" si="2828">AVERAGE(R538:R544)</f>
        <v>22.611642857142858</v>
      </c>
      <c r="AC544" s="6">
        <f t="shared" si="2807"/>
        <v>-0.40844859062741934</v>
      </c>
      <c r="AD544" s="42">
        <f>Tabla1[[#This Row],[Avg Agua)]]/Tabla1[[#This Row],[Avg Musculo]]</f>
        <v>2.0128969588991765</v>
      </c>
    </row>
    <row r="545" spans="1:31" x14ac:dyDescent="0.3">
      <c r="A545" t="s">
        <v>157</v>
      </c>
      <c r="B545">
        <v>23</v>
      </c>
      <c r="C545" t="s">
        <v>22</v>
      </c>
      <c r="D545" s="4">
        <v>45813</v>
      </c>
      <c r="E545" s="6">
        <v>83.85</v>
      </c>
      <c r="F545" s="7">
        <f t="shared" si="2811"/>
        <v>23.723970122227254</v>
      </c>
      <c r="G545" s="9">
        <v>0.14399999999999999</v>
      </c>
      <c r="H545" s="6">
        <f t="shared" si="2812"/>
        <v>71.775599999999997</v>
      </c>
      <c r="I545" s="6">
        <f t="shared" si="2813"/>
        <v>22.409649999999999</v>
      </c>
      <c r="J545">
        <v>3.5</v>
      </c>
      <c r="K545" s="5">
        <v>6.5000000000000002E-2</v>
      </c>
      <c r="L545" s="17">
        <v>2058</v>
      </c>
      <c r="M545" s="5">
        <v>0.54700000000000004</v>
      </c>
      <c r="N545" s="6">
        <f t="shared" si="2814"/>
        <v>12.074399999999999</v>
      </c>
      <c r="O545" s="21">
        <f t="shared" si="2815"/>
        <v>45.865949999999998</v>
      </c>
      <c r="P545" s="8">
        <f t="shared" si="2706"/>
        <v>45.623185714285718</v>
      </c>
      <c r="Q545" s="8">
        <f t="shared" si="2816"/>
        <v>61.440349999999995</v>
      </c>
      <c r="R545" s="6">
        <f t="shared" si="2817"/>
        <v>22.409649999999999</v>
      </c>
      <c r="S545" s="6">
        <f t="shared" si="2818"/>
        <v>5.4502499999999996</v>
      </c>
      <c r="T545" s="6">
        <f t="shared" si="2819"/>
        <v>-0.10549999999999926</v>
      </c>
      <c r="U545" s="6">
        <f t="shared" si="2820"/>
        <v>-5.4850000000001842E-2</v>
      </c>
      <c r="V545" s="6">
        <f t="shared" si="2821"/>
        <v>0.19999999999998863</v>
      </c>
      <c r="W545" s="9">
        <f>Tabla1[[#This Row],[Protein]]/Tabla1[[#This Row],[Peso (Kg)]]</f>
        <v>0.26725879546809778</v>
      </c>
      <c r="X545" s="9">
        <f t="shared" si="2738"/>
        <v>0.2691792345951855</v>
      </c>
      <c r="Y545" s="6">
        <f t="shared" si="2822"/>
        <v>37.984049999999996</v>
      </c>
      <c r="Z545" s="6">
        <f t="shared" ref="Z545" si="2829">AVERAGE(E539:E545)</f>
        <v>83.8</v>
      </c>
      <c r="AA545" s="6">
        <f t="shared" ref="AA545" si="2830">AVERAGE(N539:N545)</f>
        <v>12.091221428571426</v>
      </c>
      <c r="AB545" s="6">
        <f t="shared" ref="AB545" si="2831">AVERAGE(R539:R545)</f>
        <v>22.557021428571428</v>
      </c>
      <c r="AC545" s="6">
        <f t="shared" si="2807"/>
        <v>-0.2415632907193932</v>
      </c>
      <c r="AD545" s="42">
        <f>Tabla1[[#This Row],[Avg Agua)]]/Tabla1[[#This Row],[Avg Musculo]]</f>
        <v>2.0225713691302332</v>
      </c>
    </row>
    <row r="546" spans="1:31" x14ac:dyDescent="0.3">
      <c r="A546" t="s">
        <v>157</v>
      </c>
      <c r="B546">
        <v>23</v>
      </c>
      <c r="C546" t="s">
        <v>20</v>
      </c>
      <c r="D546" s="4">
        <v>45814</v>
      </c>
      <c r="E546" s="6">
        <v>83.95</v>
      </c>
      <c r="F546" s="7">
        <f t="shared" si="2811"/>
        <v>23.752263467632414</v>
      </c>
      <c r="G546" s="9">
        <v>0.14599999999999999</v>
      </c>
      <c r="H546" s="6">
        <f t="shared" si="2812"/>
        <v>71.693300000000008</v>
      </c>
      <c r="I546" s="6">
        <f t="shared" si="2813"/>
        <v>22.104750000000003</v>
      </c>
      <c r="J546">
        <v>3.5</v>
      </c>
      <c r="K546" s="5">
        <v>6.5000000000000002E-2</v>
      </c>
      <c r="L546" s="17">
        <v>2059</v>
      </c>
      <c r="M546" s="5">
        <v>0.54900000000000004</v>
      </c>
      <c r="N546" s="6">
        <f t="shared" si="2814"/>
        <v>12.2567</v>
      </c>
      <c r="O546" s="21">
        <f t="shared" si="2815"/>
        <v>46.088550000000005</v>
      </c>
      <c r="P546" s="8">
        <f t="shared" si="2706"/>
        <v>45.69126428571429</v>
      </c>
      <c r="Q546" s="8">
        <f t="shared" si="2816"/>
        <v>61.84525</v>
      </c>
      <c r="R546" s="6">
        <f t="shared" si="2817"/>
        <v>22.104750000000003</v>
      </c>
      <c r="S546" s="6">
        <f t="shared" si="2818"/>
        <v>5.4567500000000004</v>
      </c>
      <c r="T546" s="6">
        <f t="shared" si="2819"/>
        <v>-0.3048999999999964</v>
      </c>
      <c r="U546" s="6">
        <f t="shared" si="2820"/>
        <v>0.18230000000000146</v>
      </c>
      <c r="V546" s="6">
        <f t="shared" si="2821"/>
        <v>0.10000000000000853</v>
      </c>
      <c r="W546" s="9">
        <f>Tabla1[[#This Row],[Protein]]/Tabla1[[#This Row],[Peso (Kg)]]</f>
        <v>0.26330851697438956</v>
      </c>
      <c r="X546" s="9">
        <f t="shared" si="2738"/>
        <v>0.2687471179724793</v>
      </c>
      <c r="Y546" s="6">
        <f t="shared" si="2822"/>
        <v>37.861450000000005</v>
      </c>
      <c r="Z546" s="6">
        <f t="shared" ref="Z546" si="2832">AVERAGE(E540:E546)</f>
        <v>83.792857142857159</v>
      </c>
      <c r="AA546" s="6">
        <f t="shared" ref="AA546" si="2833">AVERAGE(N540:N546)</f>
        <v>12.054178571428569</v>
      </c>
      <c r="AB546" s="6">
        <f t="shared" ref="AB546" si="2834">AVERAGE(R540:R546)</f>
        <v>22.518842857142854</v>
      </c>
      <c r="AC546" s="6">
        <f t="shared" si="2807"/>
        <v>-0.16925360269515188</v>
      </c>
      <c r="AD546" s="42">
        <f>Tabla1[[#This Row],[Avg Agua)]]/Tabla1[[#This Row],[Avg Musculo]]</f>
        <v>2.0290236303692342</v>
      </c>
    </row>
    <row r="547" spans="1:31" x14ac:dyDescent="0.3">
      <c r="A547" t="s">
        <v>157</v>
      </c>
      <c r="B547">
        <v>23</v>
      </c>
      <c r="C547" t="s">
        <v>121</v>
      </c>
      <c r="D547" s="4">
        <v>45815</v>
      </c>
      <c r="E547" s="6">
        <v>83.75</v>
      </c>
      <c r="F547" s="7">
        <f t="shared" si="2811"/>
        <v>23.695676776822094</v>
      </c>
      <c r="G547" s="9">
        <v>0.152</v>
      </c>
      <c r="H547" s="6">
        <f t="shared" si="2812"/>
        <v>71.02</v>
      </c>
      <c r="I547" s="6">
        <f t="shared" si="2813"/>
        <v>22.294999999999995</v>
      </c>
      <c r="J547">
        <v>3.5</v>
      </c>
      <c r="K547" s="5">
        <v>7.0000000000000007E-2</v>
      </c>
      <c r="L547" s="17">
        <v>2039</v>
      </c>
      <c r="M547" s="5">
        <v>0.54</v>
      </c>
      <c r="N547" s="6">
        <f t="shared" si="2814"/>
        <v>12.73</v>
      </c>
      <c r="O547" s="21">
        <f t="shared" si="2815"/>
        <v>45.225000000000001</v>
      </c>
      <c r="P547" s="8">
        <f t="shared" si="2706"/>
        <v>45.670885714285717</v>
      </c>
      <c r="Q547" s="8">
        <f t="shared" si="2816"/>
        <v>61.455000000000005</v>
      </c>
      <c r="R547" s="6">
        <f t="shared" si="2817"/>
        <v>22.294999999999995</v>
      </c>
      <c r="S547" s="6">
        <f t="shared" si="2818"/>
        <v>5.8625000000000007</v>
      </c>
      <c r="T547" s="6">
        <f t="shared" si="2819"/>
        <v>0.19024999999999181</v>
      </c>
      <c r="U547" s="6">
        <f t="shared" si="2820"/>
        <v>0.47330000000000005</v>
      </c>
      <c r="V547" s="6">
        <f t="shared" si="2821"/>
        <v>-0.20000000000000284</v>
      </c>
      <c r="W547" s="9">
        <f>Tabla1[[#This Row],[Protein]]/Tabla1[[#This Row],[Peso (Kg)]]</f>
        <v>0.26620895522388055</v>
      </c>
      <c r="X547" s="9">
        <f t="shared" si="2738"/>
        <v>0.26804712345927972</v>
      </c>
      <c r="Y547" s="6">
        <f t="shared" si="2822"/>
        <v>38.524999999999991</v>
      </c>
      <c r="Z547" s="6">
        <f t="shared" ref="Z547" si="2835">AVERAGE(E541:E547)</f>
        <v>83.821428571428569</v>
      </c>
      <c r="AA547" s="6">
        <f t="shared" ref="AA547" si="2836">AVERAGE(N541:N547)</f>
        <v>12.154007142857141</v>
      </c>
      <c r="AB547" s="6">
        <f t="shared" ref="AB547" si="2837">AVERAGE(R541:R547)</f>
        <v>22.467964285714285</v>
      </c>
      <c r="AC547" s="6">
        <f t="shared" ref="AC547:AC552" si="2838">100*(AB547/AB546-1)</f>
        <v>-0.225937770210205</v>
      </c>
      <c r="AD547" s="42">
        <f>Tabla1[[#This Row],[Avg Agua)]]/Tabla1[[#This Row],[Avg Musculo]]</f>
        <v>2.0327113366173744</v>
      </c>
    </row>
    <row r="548" spans="1:31" x14ac:dyDescent="0.3">
      <c r="A548" t="s">
        <v>157</v>
      </c>
      <c r="B548">
        <v>23</v>
      </c>
      <c r="C548" t="s">
        <v>26</v>
      </c>
      <c r="D548" s="4">
        <v>45816</v>
      </c>
      <c r="E548" s="6">
        <v>84.55</v>
      </c>
      <c r="F548" s="7">
        <f t="shared" si="2811"/>
        <v>23.922023540063378</v>
      </c>
      <c r="G548" s="9">
        <v>0.14899999999999999</v>
      </c>
      <c r="H548" s="6">
        <f t="shared" si="2812"/>
        <v>71.95205</v>
      </c>
      <c r="I548" s="6">
        <f t="shared" si="2813"/>
        <v>21.695899999999995</v>
      </c>
      <c r="J548">
        <v>3.5</v>
      </c>
      <c r="K548" s="5">
        <v>7.0000000000000007E-2</v>
      </c>
      <c r="L548" s="17">
        <v>2065</v>
      </c>
      <c r="M548" s="5">
        <v>0.55300000000000005</v>
      </c>
      <c r="N548" s="6">
        <f t="shared" si="2814"/>
        <v>12.597949999999999</v>
      </c>
      <c r="O548" s="21">
        <f t="shared" si="2815"/>
        <v>46.756150000000005</v>
      </c>
      <c r="P548" s="8">
        <f t="shared" si="2706"/>
        <v>45.818449999999999</v>
      </c>
      <c r="Q548" s="8">
        <f t="shared" si="2816"/>
        <v>62.854100000000003</v>
      </c>
      <c r="R548" s="6">
        <f t="shared" si="2817"/>
        <v>21.695899999999995</v>
      </c>
      <c r="S548" s="6">
        <f t="shared" si="2818"/>
        <v>5.9185000000000008</v>
      </c>
      <c r="T548" s="6">
        <f t="shared" si="2819"/>
        <v>-0.59909999999999997</v>
      </c>
      <c r="U548" s="6">
        <f t="shared" si="2820"/>
        <v>-0.13205000000000133</v>
      </c>
      <c r="V548" s="6">
        <f t="shared" si="2821"/>
        <v>0.79999999999999716</v>
      </c>
      <c r="W548" s="9">
        <f>Tabla1[[#This Row],[Protein]]/Tabla1[[#This Row],[Peso (Kg)]]</f>
        <v>0.25660437610881132</v>
      </c>
      <c r="X548" s="9">
        <f t="shared" si="2738"/>
        <v>0.26610941259320608</v>
      </c>
      <c r="Y548" s="6">
        <f t="shared" si="2822"/>
        <v>37.793849999999992</v>
      </c>
      <c r="Z548" s="6">
        <f t="shared" ref="Z548" si="2839">AVERAGE(E542:E548)</f>
        <v>83.892857142857139</v>
      </c>
      <c r="AA548" s="6">
        <f t="shared" ref="AA548" si="2840">AVERAGE(N542:N548)</f>
        <v>12.236692857142856</v>
      </c>
      <c r="AB548" s="6">
        <f t="shared" ref="AB548" si="2841">AVERAGE(R542:R548)</f>
        <v>22.323428571428568</v>
      </c>
      <c r="AC548" s="6">
        <f t="shared" si="2838"/>
        <v>-0.64329688461191026</v>
      </c>
      <c r="AD548" s="42">
        <f>Tabla1[[#This Row],[Avg Agua)]]/Tabla1[[#This Row],[Avg Musculo]]</f>
        <v>2.0524826575538833</v>
      </c>
    </row>
    <row r="549" spans="1:31" x14ac:dyDescent="0.3">
      <c r="A549" t="s">
        <v>157</v>
      </c>
      <c r="B549">
        <v>24</v>
      </c>
      <c r="C549" t="s">
        <v>20</v>
      </c>
      <c r="D549" s="4">
        <v>45821</v>
      </c>
      <c r="E549" s="6">
        <v>84.85</v>
      </c>
      <c r="F549" s="7">
        <f t="shared" ref="F549:F554" si="2842">E549/(1.88^2)</f>
        <v>24.006903576278859</v>
      </c>
      <c r="G549" s="9">
        <v>0.15</v>
      </c>
      <c r="H549" s="6">
        <f t="shared" ref="H549:H554" si="2843">E549-N549</f>
        <v>72.122500000000002</v>
      </c>
      <c r="I549" s="6">
        <f t="shared" ref="I549:I554" si="2844">E549-N549-O549-J549</f>
        <v>23.042900000000003</v>
      </c>
      <c r="J549">
        <v>3.6</v>
      </c>
      <c r="K549" s="5">
        <v>7.0000000000000007E-2</v>
      </c>
      <c r="L549" s="17">
        <v>2074</v>
      </c>
      <c r="M549" s="5">
        <v>0.53600000000000003</v>
      </c>
      <c r="N549" s="6">
        <f t="shared" ref="N549:N554" si="2845">E549*G549</f>
        <v>12.727499999999999</v>
      </c>
      <c r="O549" s="21">
        <f t="shared" ref="O549:O554" si="2846">M549*E549</f>
        <v>45.479599999999998</v>
      </c>
      <c r="P549" s="8">
        <f t="shared" si="2706"/>
        <v>45.767435714285718</v>
      </c>
      <c r="Q549" s="8">
        <f t="shared" ref="Q549:Q554" si="2847">E549-R549</f>
        <v>61.807099999999991</v>
      </c>
      <c r="R549" s="6">
        <f t="shared" ref="R549:R554" si="2848">I549</f>
        <v>23.042900000000003</v>
      </c>
      <c r="S549" s="6">
        <f t="shared" ref="S549:S554" si="2849">K549*E549</f>
        <v>5.9394999999999998</v>
      </c>
      <c r="T549" s="6">
        <f t="shared" ref="T549:T554" si="2850">I549-I548</f>
        <v>1.3470000000000084</v>
      </c>
      <c r="U549" s="6">
        <f t="shared" ref="U549:U554" si="2851">N549-N548</f>
        <v>0.12955000000000005</v>
      </c>
      <c r="V549" s="6">
        <f t="shared" ref="V549:V554" si="2852">E549-E548</f>
        <v>0.29999999999999716</v>
      </c>
      <c r="W549" s="9">
        <f>Tabla1[[#This Row],[Protein]]/Tabla1[[#This Row],[Peso (Kg)]]</f>
        <v>0.27157218621096058</v>
      </c>
      <c r="X549" s="9">
        <f t="shared" si="2738"/>
        <v>0.26646010608833098</v>
      </c>
      <c r="Y549" s="6">
        <f t="shared" ref="Y549:Y554" si="2853">R549+N549+J549</f>
        <v>39.370400000000004</v>
      </c>
      <c r="Z549" s="6">
        <f t="shared" ref="Z549" si="2854">AVERAGE(E543:E549)</f>
        <v>84.021428571428572</v>
      </c>
      <c r="AA549" s="6">
        <f t="shared" ref="AA549" si="2855">AVERAGE(N543:N549)</f>
        <v>12.351921428571428</v>
      </c>
      <c r="AB549" s="6">
        <f t="shared" ref="AB549" si="2856">AVERAGE(R543:R549)</f>
        <v>22.387785714285712</v>
      </c>
      <c r="AC549" s="6">
        <f t="shared" si="2838"/>
        <v>0.28829416884248449</v>
      </c>
      <c r="AD549" s="42">
        <f>Tabla1[[#This Row],[Avg Agua)]]/Tabla1[[#This Row],[Avg Musculo]]</f>
        <v>2.0443038136228622</v>
      </c>
      <c r="AE549" t="s">
        <v>159</v>
      </c>
    </row>
    <row r="550" spans="1:31" x14ac:dyDescent="0.3">
      <c r="A550" t="s">
        <v>157</v>
      </c>
      <c r="B550">
        <v>24</v>
      </c>
      <c r="C550" t="s">
        <v>121</v>
      </c>
      <c r="D550" s="4">
        <v>45822</v>
      </c>
      <c r="E550" s="6">
        <v>84.9</v>
      </c>
      <c r="F550" s="7">
        <f t="shared" si="2842"/>
        <v>24.021050248981442</v>
      </c>
      <c r="G550" s="9">
        <v>0.14899999999999999</v>
      </c>
      <c r="H550" s="6">
        <f t="shared" si="2843"/>
        <v>72.249900000000011</v>
      </c>
      <c r="I550" s="6">
        <f t="shared" si="2844"/>
        <v>23.228400000000001</v>
      </c>
      <c r="J550">
        <v>3.6</v>
      </c>
      <c r="K550" s="5">
        <v>7.0000000000000007E-2</v>
      </c>
      <c r="L550" s="17">
        <v>2077</v>
      </c>
      <c r="M550" s="5">
        <v>0.53500000000000003</v>
      </c>
      <c r="N550" s="6">
        <f t="shared" si="2845"/>
        <v>12.6501</v>
      </c>
      <c r="O550" s="21">
        <f t="shared" si="2846"/>
        <v>45.421500000000009</v>
      </c>
      <c r="P550" s="8">
        <f t="shared" si="2706"/>
        <v>45.763192857142862</v>
      </c>
      <c r="Q550" s="8">
        <f t="shared" si="2847"/>
        <v>61.671600000000005</v>
      </c>
      <c r="R550" s="6">
        <f t="shared" si="2848"/>
        <v>23.228400000000001</v>
      </c>
      <c r="S550" s="6">
        <f t="shared" si="2849"/>
        <v>5.9430000000000014</v>
      </c>
      <c r="T550" s="6">
        <f t="shared" si="2850"/>
        <v>0.18549999999999756</v>
      </c>
      <c r="U550" s="6">
        <f t="shared" si="2851"/>
        <v>-7.7399999999999025E-2</v>
      </c>
      <c r="V550" s="6">
        <f t="shared" si="2852"/>
        <v>5.0000000000011369E-2</v>
      </c>
      <c r="W550" s="9">
        <f>Tabla1[[#This Row],[Protein]]/Tabla1[[#This Row],[Peso (Kg)]]</f>
        <v>0.2735971731448763</v>
      </c>
      <c r="X550" s="9">
        <f t="shared" si="2738"/>
        <v>0.26681557127813083</v>
      </c>
      <c r="Y550" s="6">
        <f t="shared" si="2853"/>
        <v>39.478500000000004</v>
      </c>
      <c r="Z550" s="6">
        <f t="shared" ref="Z550" si="2857">AVERAGE(E544:E550)</f>
        <v>84.214285714285708</v>
      </c>
      <c r="AA550" s="6">
        <f t="shared" ref="AA550" si="2858">AVERAGE(N544:N550)</f>
        <v>12.452271428571425</v>
      </c>
      <c r="AB550" s="6">
        <f t="shared" ref="AB550" si="2859">AVERAGE(R544:R550)</f>
        <v>22.470249999999997</v>
      </c>
      <c r="AC550" s="6">
        <f t="shared" si="2838"/>
        <v>0.36834498403146565</v>
      </c>
      <c r="AD550" s="42">
        <f>Tabla1[[#This Row],[Avg Agua)]]/Tabla1[[#This Row],[Avg Musculo]]</f>
        <v>2.0366125368940207</v>
      </c>
    </row>
    <row r="551" spans="1:31" x14ac:dyDescent="0.3">
      <c r="A551" t="s">
        <v>157</v>
      </c>
      <c r="B551">
        <v>24</v>
      </c>
      <c r="C551" t="s">
        <v>26</v>
      </c>
      <c r="D551" s="4">
        <v>45823</v>
      </c>
      <c r="E551" s="6">
        <v>84.45</v>
      </c>
      <c r="F551" s="7">
        <f t="shared" si="2842"/>
        <v>23.893730194658218</v>
      </c>
      <c r="G551" s="9">
        <v>0.14799999999999999</v>
      </c>
      <c r="H551" s="6">
        <f t="shared" si="2843"/>
        <v>71.951400000000007</v>
      </c>
      <c r="I551" s="6">
        <f t="shared" si="2844"/>
        <v>22.832850000000001</v>
      </c>
      <c r="J551">
        <v>3.6</v>
      </c>
      <c r="K551" s="5">
        <v>7.0000000000000007E-2</v>
      </c>
      <c r="L551" s="17">
        <v>2067</v>
      </c>
      <c r="M551" s="5">
        <v>0.53900000000000003</v>
      </c>
      <c r="N551" s="6">
        <f t="shared" si="2845"/>
        <v>12.4986</v>
      </c>
      <c r="O551" s="21">
        <f t="shared" si="2846"/>
        <v>45.518550000000005</v>
      </c>
      <c r="P551" s="8">
        <f t="shared" si="2706"/>
        <v>45.765042857142866</v>
      </c>
      <c r="Q551" s="8">
        <f t="shared" si="2847"/>
        <v>61.617150000000002</v>
      </c>
      <c r="R551" s="6">
        <f t="shared" si="2848"/>
        <v>22.832850000000001</v>
      </c>
      <c r="S551" s="6">
        <f t="shared" si="2849"/>
        <v>5.9115000000000011</v>
      </c>
      <c r="T551" s="6">
        <f t="shared" si="2850"/>
        <v>-0.39555000000000007</v>
      </c>
      <c r="U551" s="6">
        <f t="shared" si="2851"/>
        <v>-0.15150000000000041</v>
      </c>
      <c r="V551" s="6">
        <f t="shared" si="2852"/>
        <v>-0.45000000000000284</v>
      </c>
      <c r="W551" s="9">
        <f>Tabla1[[#This Row],[Protein]]/Tabla1[[#This Row],[Peso (Kg)]]</f>
        <v>0.27037122557726467</v>
      </c>
      <c r="X551" s="9">
        <f t="shared" si="2738"/>
        <v>0.26698874695832581</v>
      </c>
      <c r="Y551" s="6">
        <f t="shared" si="2853"/>
        <v>38.931450000000005</v>
      </c>
      <c r="Z551" s="6">
        <f t="shared" ref="Z551" si="2860">AVERAGE(E545:E551)</f>
        <v>84.328571428571436</v>
      </c>
      <c r="AA551" s="6">
        <f t="shared" ref="AA551" si="2861">AVERAGE(N545:N551)</f>
        <v>12.505035714285713</v>
      </c>
      <c r="AB551" s="6">
        <f t="shared" ref="AB551" si="2862">AVERAGE(R545:R551)</f>
        <v>22.515635714285715</v>
      </c>
      <c r="AC551" s="6">
        <f t="shared" si="2838"/>
        <v>0.20198134994366956</v>
      </c>
      <c r="AD551" s="42">
        <f>Tabla1[[#This Row],[Avg Agua)]]/Tabla1[[#This Row],[Avg Musculo]]</f>
        <v>2.0325894164341038</v>
      </c>
    </row>
    <row r="552" spans="1:31" x14ac:dyDescent="0.3">
      <c r="A552" t="s">
        <v>157</v>
      </c>
      <c r="B552">
        <v>25</v>
      </c>
      <c r="C552" t="s">
        <v>21</v>
      </c>
      <c r="D552" s="4">
        <v>45824</v>
      </c>
      <c r="E552" s="6">
        <v>84.65</v>
      </c>
      <c r="F552" s="7">
        <f t="shared" si="2842"/>
        <v>23.950316885468542</v>
      </c>
      <c r="G552" s="9">
        <v>0.14799999999999999</v>
      </c>
      <c r="H552" s="6">
        <f t="shared" si="2843"/>
        <v>72.121800000000007</v>
      </c>
      <c r="I552" s="6">
        <f t="shared" si="2844"/>
        <v>22.641500000000001</v>
      </c>
      <c r="J552">
        <v>3.6</v>
      </c>
      <c r="K552" s="5">
        <v>7.0000000000000007E-2</v>
      </c>
      <c r="L552" s="17">
        <v>2071</v>
      </c>
      <c r="M552" s="5">
        <v>0.54200000000000004</v>
      </c>
      <c r="N552" s="6">
        <f t="shared" si="2845"/>
        <v>12.5282</v>
      </c>
      <c r="O552" s="21">
        <f t="shared" si="2846"/>
        <v>45.880300000000005</v>
      </c>
      <c r="P552" s="8">
        <f t="shared" si="2706"/>
        <v>45.76709285714287</v>
      </c>
      <c r="Q552" s="8">
        <f t="shared" si="2847"/>
        <v>62.008500000000005</v>
      </c>
      <c r="R552" s="6">
        <f t="shared" si="2848"/>
        <v>22.641500000000001</v>
      </c>
      <c r="S552" s="6">
        <f t="shared" si="2849"/>
        <v>5.9255000000000013</v>
      </c>
      <c r="T552" s="6">
        <f t="shared" si="2850"/>
        <v>-0.19134999999999991</v>
      </c>
      <c r="U552" s="6">
        <f t="shared" si="2851"/>
        <v>2.9600000000000293E-2</v>
      </c>
      <c r="V552" s="6">
        <f t="shared" si="2852"/>
        <v>0.20000000000000284</v>
      </c>
      <c r="W552" s="9">
        <f>Tabla1[[#This Row],[Protein]]/Tabla1[[#This Row],[Peso (Kg)]]</f>
        <v>0.26747194329592439</v>
      </c>
      <c r="X552" s="9">
        <f t="shared" si="2738"/>
        <v>0.26701919664801538</v>
      </c>
      <c r="Y552" s="6">
        <f t="shared" si="2853"/>
        <v>38.7697</v>
      </c>
      <c r="Z552" s="6">
        <f t="shared" ref="Z552" si="2863">AVERAGE(E546:E552)</f>
        <v>84.44285714285715</v>
      </c>
      <c r="AA552" s="6">
        <f t="shared" ref="AA552" si="2864">AVERAGE(N546:N552)</f>
        <v>12.569864285714285</v>
      </c>
      <c r="AB552" s="6">
        <f t="shared" ref="AB552" si="2865">AVERAGE(R546:R552)</f>
        <v>22.548757142857145</v>
      </c>
      <c r="AC552" s="6">
        <f t="shared" si="2838"/>
        <v>0.14710412351544022</v>
      </c>
      <c r="AD552" s="42">
        <f>Tabla1[[#This Row],[Avg Agua)]]/Tabla1[[#This Row],[Avg Musculo]]</f>
        <v>2.029694699676194</v>
      </c>
    </row>
    <row r="553" spans="1:31" x14ac:dyDescent="0.3">
      <c r="A553" t="s">
        <v>157</v>
      </c>
      <c r="B553">
        <v>25</v>
      </c>
      <c r="C553" t="s">
        <v>23</v>
      </c>
      <c r="D553" s="4">
        <v>45825</v>
      </c>
      <c r="E553" s="6">
        <v>84.2</v>
      </c>
      <c r="F553" s="7">
        <f t="shared" si="2842"/>
        <v>23.822996831145318</v>
      </c>
      <c r="G553" s="9">
        <v>0.14399999999999999</v>
      </c>
      <c r="H553" s="6">
        <f t="shared" si="2843"/>
        <v>72.075200000000009</v>
      </c>
      <c r="I553" s="6">
        <f t="shared" si="2844"/>
        <v>22.670400000000001</v>
      </c>
      <c r="J553">
        <v>3.6</v>
      </c>
      <c r="K553" s="5">
        <v>6.5000000000000002E-2</v>
      </c>
      <c r="L553" s="17">
        <v>2070</v>
      </c>
      <c r="M553" s="5">
        <v>0.54400000000000004</v>
      </c>
      <c r="N553" s="6">
        <f t="shared" si="2845"/>
        <v>12.124799999999999</v>
      </c>
      <c r="O553" s="21">
        <f t="shared" si="2846"/>
        <v>45.804800000000007</v>
      </c>
      <c r="P553" s="8">
        <f t="shared" si="2706"/>
        <v>45.726557142857146</v>
      </c>
      <c r="Q553" s="8">
        <f t="shared" si="2847"/>
        <v>61.529600000000002</v>
      </c>
      <c r="R553" s="6">
        <f t="shared" si="2848"/>
        <v>22.670400000000001</v>
      </c>
      <c r="S553" s="6">
        <f t="shared" si="2849"/>
        <v>5.4730000000000008</v>
      </c>
      <c r="T553" s="6">
        <f t="shared" si="2850"/>
        <v>2.8900000000000148E-2</v>
      </c>
      <c r="U553" s="6">
        <f t="shared" si="2851"/>
        <v>-0.40340000000000131</v>
      </c>
      <c r="V553" s="6">
        <f t="shared" si="2852"/>
        <v>-0.45000000000000284</v>
      </c>
      <c r="W553" s="9">
        <f>Tabla1[[#This Row],[Protein]]/Tabla1[[#This Row],[Peso (Kg)]]</f>
        <v>0.26924465558194777</v>
      </c>
      <c r="X553" s="9">
        <f t="shared" si="2738"/>
        <v>0.26786721644909511</v>
      </c>
      <c r="Y553" s="6">
        <f t="shared" si="2853"/>
        <v>38.395200000000003</v>
      </c>
      <c r="Z553" s="6">
        <f t="shared" ref="Z553" si="2866">AVERAGE(E547:E553)</f>
        <v>84.478571428571428</v>
      </c>
      <c r="AA553" s="6">
        <f t="shared" ref="AA553" si="2867">AVERAGE(N547:N553)</f>
        <v>12.551021428571428</v>
      </c>
      <c r="AB553" s="6">
        <f t="shared" ref="AB553" si="2868">AVERAGE(R547:R553)</f>
        <v>22.629564285714284</v>
      </c>
      <c r="AC553" s="6">
        <f t="shared" ref="AC553:AC558" si="2869">100*(AB553/AB552-1)</f>
        <v>0.35836628309573459</v>
      </c>
      <c r="AD553" s="42">
        <f>Tabla1[[#This Row],[Avg Agua)]]/Tabla1[[#This Row],[Avg Musculo]]</f>
        <v>2.0206556593634311</v>
      </c>
    </row>
    <row r="554" spans="1:31" x14ac:dyDescent="0.3">
      <c r="A554" t="s">
        <v>157</v>
      </c>
      <c r="B554">
        <v>25</v>
      </c>
      <c r="C554" t="s">
        <v>24</v>
      </c>
      <c r="D554" s="4">
        <v>45826</v>
      </c>
      <c r="E554" s="6">
        <v>83.95</v>
      </c>
      <c r="F554" s="7">
        <f t="shared" si="2842"/>
        <v>23.752263467632414</v>
      </c>
      <c r="G554" s="9">
        <v>0.14599999999999999</v>
      </c>
      <c r="H554" s="6">
        <f t="shared" si="2843"/>
        <v>71.693300000000008</v>
      </c>
      <c r="I554" s="6">
        <f t="shared" si="2844"/>
        <v>22.692400000000006</v>
      </c>
      <c r="J554">
        <v>3.5</v>
      </c>
      <c r="K554" s="5">
        <v>6.5000000000000002E-2</v>
      </c>
      <c r="L554" s="17">
        <v>2059</v>
      </c>
      <c r="M554" s="5">
        <v>0.54200000000000004</v>
      </c>
      <c r="N554" s="6">
        <f t="shared" si="2845"/>
        <v>12.2567</v>
      </c>
      <c r="O554" s="21">
        <f t="shared" si="2846"/>
        <v>45.500900000000001</v>
      </c>
      <c r="P554" s="8">
        <f t="shared" si="2706"/>
        <v>45.765971428571433</v>
      </c>
      <c r="Q554" s="8">
        <f t="shared" si="2847"/>
        <v>61.257599999999996</v>
      </c>
      <c r="R554" s="6">
        <f t="shared" si="2848"/>
        <v>22.692400000000006</v>
      </c>
      <c r="S554" s="6">
        <f t="shared" si="2849"/>
        <v>5.4567500000000004</v>
      </c>
      <c r="T554" s="6">
        <f t="shared" si="2850"/>
        <v>2.2000000000005571E-2</v>
      </c>
      <c r="U554" s="6">
        <f t="shared" si="2851"/>
        <v>0.13190000000000168</v>
      </c>
      <c r="V554" s="6">
        <f t="shared" si="2852"/>
        <v>-0.25</v>
      </c>
      <c r="W554" s="9">
        <f>Tabla1[[#This Row],[Protein]]/Tabla1[[#This Row],[Peso (Kg)]]</f>
        <v>0.27030851697438957</v>
      </c>
      <c r="X554" s="9">
        <f t="shared" si="2738"/>
        <v>0.26845286812773927</v>
      </c>
      <c r="Y554" s="6">
        <f t="shared" si="2853"/>
        <v>38.449100000000008</v>
      </c>
      <c r="Z554" s="6">
        <f t="shared" ref="Z554" si="2870">AVERAGE(E548:E554)</f>
        <v>84.507142857142853</v>
      </c>
      <c r="AA554" s="6">
        <f t="shared" ref="AA554" si="2871">AVERAGE(N548:N554)</f>
        <v>12.483407142857141</v>
      </c>
      <c r="AB554" s="6">
        <f t="shared" ref="AB554" si="2872">AVERAGE(R548:R554)</f>
        <v>22.686335714285715</v>
      </c>
      <c r="AC554" s="6">
        <f t="shared" si="2869"/>
        <v>0.25087283102163127</v>
      </c>
      <c r="AD554" s="42">
        <f>Tabla1[[#This Row],[Avg Agua)]]/Tabla1[[#This Row],[Avg Musculo]]</f>
        <v>2.0173364268674003</v>
      </c>
    </row>
    <row r="555" spans="1:31" x14ac:dyDescent="0.3">
      <c r="A555" t="s">
        <v>157</v>
      </c>
      <c r="B555">
        <v>25</v>
      </c>
      <c r="C555" t="s">
        <v>22</v>
      </c>
      <c r="D555" s="4">
        <v>45827</v>
      </c>
      <c r="E555" s="6">
        <v>84.45</v>
      </c>
      <c r="F555" s="7">
        <f t="shared" ref="F555:F560" si="2873">E555/(1.88^2)</f>
        <v>23.893730194658218</v>
      </c>
      <c r="G555" s="9">
        <v>0.153</v>
      </c>
      <c r="H555" s="6">
        <f t="shared" ref="H555:H560" si="2874">E555-N555</f>
        <v>71.529150000000001</v>
      </c>
      <c r="I555" s="6">
        <f t="shared" ref="I555:I560" si="2875">E555-N555-O555-J555</f>
        <v>22.088349999999998</v>
      </c>
      <c r="J555">
        <v>3.5</v>
      </c>
      <c r="K555" s="5">
        <v>7.0000000000000007E-2</v>
      </c>
      <c r="L555" s="17">
        <v>2055</v>
      </c>
      <c r="M555" s="5">
        <v>0.54400000000000004</v>
      </c>
      <c r="N555" s="6">
        <f t="shared" ref="N555:N560" si="2876">E555*G555</f>
        <v>12.92085</v>
      </c>
      <c r="O555" s="21">
        <f t="shared" ref="O555:O560" si="2877">M555*E555</f>
        <v>45.940800000000003</v>
      </c>
      <c r="P555" s="8">
        <f t="shared" si="2706"/>
        <v>45.649492857142867</v>
      </c>
      <c r="Q555" s="8">
        <f t="shared" ref="Q555:Q560" si="2878">E555-R555</f>
        <v>62.361650000000004</v>
      </c>
      <c r="R555" s="6">
        <f t="shared" ref="R555:R560" si="2879">I555</f>
        <v>22.088349999999998</v>
      </c>
      <c r="S555" s="6">
        <f t="shared" ref="S555:S560" si="2880">K555*E555</f>
        <v>5.9115000000000011</v>
      </c>
      <c r="T555" s="6">
        <f t="shared" ref="T555:T560" si="2881">I555-I554</f>
        <v>-0.60405000000000797</v>
      </c>
      <c r="U555" s="6">
        <f t="shared" ref="U555:U560" si="2882">N555-N554</f>
        <v>0.66414999999999935</v>
      </c>
      <c r="V555" s="6">
        <f t="shared" ref="V555:V560" si="2883">E555-E554</f>
        <v>0.5</v>
      </c>
      <c r="W555" s="9">
        <f>Tabla1[[#This Row],[Protein]]/Tabla1[[#This Row],[Peso (Kg)]]</f>
        <v>0.26155535820011838</v>
      </c>
      <c r="X555" s="9">
        <f t="shared" si="2738"/>
        <v>0.26916015128364024</v>
      </c>
      <c r="Y555" s="6">
        <f t="shared" ref="Y555:Y560" si="2884">R555+N555+J555</f>
        <v>38.5092</v>
      </c>
      <c r="Z555" s="6">
        <f t="shared" ref="Z555" si="2885">AVERAGE(E549:E555)</f>
        <v>84.492857142857147</v>
      </c>
      <c r="AA555" s="6">
        <f t="shared" ref="AA555" si="2886">AVERAGE(N549:N555)</f>
        <v>12.529535714285714</v>
      </c>
      <c r="AB555" s="6">
        <f t="shared" ref="AB555" si="2887">AVERAGE(R549:R555)</f>
        <v>22.7424</v>
      </c>
      <c r="AC555" s="6">
        <f t="shared" si="2869"/>
        <v>0.2471279911413049</v>
      </c>
      <c r="AD555" s="42">
        <f>Tabla1[[#This Row],[Avg Agua)]]/Tabla1[[#This Row],[Avg Musculo]]</f>
        <v>2.0072416656616219</v>
      </c>
      <c r="AE555" t="s">
        <v>161</v>
      </c>
    </row>
    <row r="556" spans="1:31" x14ac:dyDescent="0.3">
      <c r="A556" t="s">
        <v>157</v>
      </c>
      <c r="B556">
        <v>25</v>
      </c>
      <c r="C556" t="s">
        <v>20</v>
      </c>
      <c r="D556" s="4">
        <v>45828</v>
      </c>
      <c r="E556" s="6">
        <v>84.65</v>
      </c>
      <c r="F556" s="7">
        <f t="shared" si="2873"/>
        <v>23.950316885468542</v>
      </c>
      <c r="G556" s="9">
        <v>0.14799999999999999</v>
      </c>
      <c r="H556" s="6">
        <f t="shared" si="2874"/>
        <v>72.121800000000007</v>
      </c>
      <c r="I556" s="6">
        <f t="shared" si="2875"/>
        <v>22.302900000000001</v>
      </c>
      <c r="J556">
        <v>3.6</v>
      </c>
      <c r="K556" s="5">
        <v>7.0000000000000007E-2</v>
      </c>
      <c r="L556" s="17">
        <v>2071</v>
      </c>
      <c r="M556" s="5">
        <v>0.54600000000000004</v>
      </c>
      <c r="N556" s="6">
        <f t="shared" si="2876"/>
        <v>12.5282</v>
      </c>
      <c r="O556" s="21">
        <f t="shared" si="2877"/>
        <v>46.218900000000005</v>
      </c>
      <c r="P556" s="8">
        <f t="shared" si="2706"/>
        <v>45.755107142857149</v>
      </c>
      <c r="Q556" s="8">
        <f t="shared" si="2878"/>
        <v>62.347100000000005</v>
      </c>
      <c r="R556" s="6">
        <f t="shared" si="2879"/>
        <v>22.302900000000001</v>
      </c>
      <c r="S556" s="6">
        <f t="shared" si="2880"/>
        <v>5.9255000000000013</v>
      </c>
      <c r="T556" s="6">
        <f t="shared" si="2881"/>
        <v>0.21455000000000268</v>
      </c>
      <c r="U556" s="6">
        <f t="shared" si="2882"/>
        <v>-0.39264999999999972</v>
      </c>
      <c r="V556" s="6">
        <f t="shared" si="2883"/>
        <v>0.20000000000000284</v>
      </c>
      <c r="W556" s="9">
        <f>Tabla1[[#This Row],[Protein]]/Tabla1[[#This Row],[Peso (Kg)]]</f>
        <v>0.26347194329592438</v>
      </c>
      <c r="X556" s="9">
        <f t="shared" si="2738"/>
        <v>0.26800297372434934</v>
      </c>
      <c r="Y556" s="6">
        <f t="shared" si="2884"/>
        <v>38.431100000000001</v>
      </c>
      <c r="Z556" s="6">
        <f t="shared" ref="Z556" si="2888">AVERAGE(E550:E556)</f>
        <v>84.464285714285708</v>
      </c>
      <c r="AA556" s="6">
        <f t="shared" ref="AA556" si="2889">AVERAGE(N550:N556)</f>
        <v>12.501064285714284</v>
      </c>
      <c r="AB556" s="6">
        <f t="shared" ref="AB556" si="2890">AVERAGE(R550:R556)</f>
        <v>22.636685714285715</v>
      </c>
      <c r="AC556" s="6">
        <f t="shared" si="2869"/>
        <v>-0.46483346398922265</v>
      </c>
      <c r="AD556" s="42">
        <f>Tabla1[[#This Row],[Avg Agua)]]/Tabla1[[#This Row],[Avg Musculo]]</f>
        <v>2.0212811946221305</v>
      </c>
      <c r="AE556" t="s">
        <v>160</v>
      </c>
    </row>
    <row r="557" spans="1:31" x14ac:dyDescent="0.3">
      <c r="A557" t="s">
        <v>157</v>
      </c>
      <c r="B557">
        <v>25</v>
      </c>
      <c r="C557" t="s">
        <v>121</v>
      </c>
      <c r="D557" s="4">
        <v>45829</v>
      </c>
      <c r="E557" s="6">
        <v>84.6</v>
      </c>
      <c r="F557" s="7">
        <f t="shared" si="2873"/>
        <v>23.936170212765958</v>
      </c>
      <c r="G557" s="9">
        <v>0.14499999999999999</v>
      </c>
      <c r="H557" s="6">
        <f t="shared" si="2874"/>
        <v>72.332999999999998</v>
      </c>
      <c r="I557" s="6">
        <f t="shared" si="2875"/>
        <v>22.118399999999994</v>
      </c>
      <c r="J557">
        <v>3.6</v>
      </c>
      <c r="K557" s="5">
        <v>6.5000000000000002E-2</v>
      </c>
      <c r="L557" s="17">
        <v>2079</v>
      </c>
      <c r="M557" s="5">
        <v>0.55100000000000005</v>
      </c>
      <c r="N557" s="6">
        <f t="shared" si="2876"/>
        <v>12.266999999999998</v>
      </c>
      <c r="O557" s="21">
        <f t="shared" si="2877"/>
        <v>46.614600000000003</v>
      </c>
      <c r="P557" s="8">
        <f t="shared" si="2706"/>
        <v>45.925550000000001</v>
      </c>
      <c r="Q557" s="8">
        <f t="shared" si="2878"/>
        <v>62.4816</v>
      </c>
      <c r="R557" s="6">
        <f t="shared" si="2879"/>
        <v>22.118399999999994</v>
      </c>
      <c r="S557" s="6">
        <f t="shared" si="2880"/>
        <v>5.4989999999999997</v>
      </c>
      <c r="T557" s="6">
        <f t="shared" si="2881"/>
        <v>-0.18450000000000699</v>
      </c>
      <c r="U557" s="6">
        <f t="shared" si="2882"/>
        <v>-0.26120000000000232</v>
      </c>
      <c r="V557" s="6">
        <f t="shared" si="2883"/>
        <v>-5.0000000000011369E-2</v>
      </c>
      <c r="W557" s="9">
        <f>Tabla1[[#This Row],[Protein]]/Tabla1[[#This Row],[Peso (Kg)]]</f>
        <v>0.26144680851063823</v>
      </c>
      <c r="X557" s="9">
        <f t="shared" si="2738"/>
        <v>0.26626720734802961</v>
      </c>
      <c r="Y557" s="6">
        <f t="shared" si="2884"/>
        <v>37.985399999999991</v>
      </c>
      <c r="Z557" s="6">
        <f t="shared" ref="Z557" si="2891">AVERAGE(E551:E557)</f>
        <v>84.421428571428578</v>
      </c>
      <c r="AA557" s="6">
        <f t="shared" ref="AA557" si="2892">AVERAGE(N551:N557)</f>
        <v>12.446335714285715</v>
      </c>
      <c r="AB557" s="6">
        <f t="shared" ref="AB557" si="2893">AVERAGE(R551:R557)</f>
        <v>22.47811428571428</v>
      </c>
      <c r="AC557" s="6">
        <f t="shared" si="2869"/>
        <v>-0.70050638407442856</v>
      </c>
      <c r="AD557" s="42">
        <f>Tabla1[[#This Row],[Avg Agua)]]/Tabla1[[#This Row],[Avg Musculo]]</f>
        <v>2.0431228979553451</v>
      </c>
    </row>
    <row r="558" spans="1:31" x14ac:dyDescent="0.3">
      <c r="A558" t="s">
        <v>157</v>
      </c>
      <c r="B558">
        <v>25</v>
      </c>
      <c r="C558" t="s">
        <v>26</v>
      </c>
      <c r="D558" s="4">
        <v>45830</v>
      </c>
      <c r="E558" s="6">
        <v>83.9</v>
      </c>
      <c r="F558" s="7">
        <f t="shared" si="2873"/>
        <v>23.738116794929837</v>
      </c>
      <c r="G558" s="9">
        <v>0.13700000000000001</v>
      </c>
      <c r="H558" s="6">
        <f t="shared" si="2874"/>
        <v>72.40570000000001</v>
      </c>
      <c r="I558" s="6">
        <f t="shared" si="2875"/>
        <v>22.660699999999999</v>
      </c>
      <c r="J558">
        <v>3.6</v>
      </c>
      <c r="K558" s="5">
        <v>6.5000000000000002E-2</v>
      </c>
      <c r="L558" s="17">
        <v>2079</v>
      </c>
      <c r="M558" s="5">
        <v>0.55000000000000004</v>
      </c>
      <c r="N558" s="6">
        <f t="shared" si="2876"/>
        <v>11.494300000000001</v>
      </c>
      <c r="O558" s="21">
        <f t="shared" si="2877"/>
        <v>46.14500000000001</v>
      </c>
      <c r="P558" s="8">
        <f t="shared" si="2706"/>
        <v>46.015042857142866</v>
      </c>
      <c r="Q558" s="8">
        <f t="shared" si="2878"/>
        <v>61.239300000000007</v>
      </c>
      <c r="R558" s="6">
        <f t="shared" si="2879"/>
        <v>22.660699999999999</v>
      </c>
      <c r="S558" s="6">
        <f t="shared" si="2880"/>
        <v>5.4535000000000009</v>
      </c>
      <c r="T558" s="6">
        <f t="shared" si="2881"/>
        <v>0.54230000000000445</v>
      </c>
      <c r="U558" s="6">
        <f t="shared" si="2882"/>
        <v>-0.77269999999999683</v>
      </c>
      <c r="V558" s="6">
        <f t="shared" si="2883"/>
        <v>-0.69999999999998863</v>
      </c>
      <c r="W558" s="9">
        <f>Tabla1[[#This Row],[Protein]]/Tabla1[[#This Row],[Peso (Kg)]]</f>
        <v>0.27009177592371869</v>
      </c>
      <c r="X558" s="9">
        <f t="shared" si="2738"/>
        <v>0.26622728596895162</v>
      </c>
      <c r="Y558" s="6">
        <f t="shared" si="2884"/>
        <v>37.755000000000003</v>
      </c>
      <c r="Z558" s="6">
        <f t="shared" ref="Z558" si="2894">AVERAGE(E552:E558)</f>
        <v>84.342857142857142</v>
      </c>
      <c r="AA558" s="6">
        <f t="shared" ref="AA558" si="2895">AVERAGE(N552:N558)</f>
        <v>12.302864285714284</v>
      </c>
      <c r="AB558" s="6">
        <f t="shared" ref="AB558" si="2896">AVERAGE(R552:R558)</f>
        <v>22.453521428571424</v>
      </c>
      <c r="AC558" s="6">
        <f t="shared" si="2869"/>
        <v>-0.10940800829759567</v>
      </c>
      <c r="AD558" s="42">
        <f>Tabla1[[#This Row],[Avg Agua)]]/Tabla1[[#This Row],[Avg Musculo]]</f>
        <v>2.0493463799664902</v>
      </c>
    </row>
    <row r="559" spans="1:31" x14ac:dyDescent="0.3">
      <c r="A559" t="s">
        <v>157</v>
      </c>
      <c r="B559">
        <v>26</v>
      </c>
      <c r="C559" t="s">
        <v>21</v>
      </c>
      <c r="D559" s="4">
        <v>45831</v>
      </c>
      <c r="E559" s="6">
        <v>84.4</v>
      </c>
      <c r="F559" s="7">
        <f t="shared" si="2873"/>
        <v>23.879583521955638</v>
      </c>
      <c r="G559" s="9">
        <v>0.14499999999999999</v>
      </c>
      <c r="H559" s="6">
        <f t="shared" si="2874"/>
        <v>72.162000000000006</v>
      </c>
      <c r="I559" s="6">
        <f t="shared" si="2875"/>
        <v>21.973199999999999</v>
      </c>
      <c r="J559">
        <v>3.6</v>
      </c>
      <c r="K559" s="5">
        <v>6.5000000000000002E-2</v>
      </c>
      <c r="L559" s="17">
        <v>2073</v>
      </c>
      <c r="M559" s="5">
        <v>0.55200000000000005</v>
      </c>
      <c r="N559" s="6">
        <f t="shared" si="2876"/>
        <v>12.238</v>
      </c>
      <c r="O559" s="21">
        <f t="shared" si="2877"/>
        <v>46.588800000000006</v>
      </c>
      <c r="P559" s="8">
        <f t="shared" si="2706"/>
        <v>46.116257142857144</v>
      </c>
      <c r="Q559" s="8">
        <f t="shared" si="2878"/>
        <v>62.426800000000007</v>
      </c>
      <c r="R559" s="6">
        <f t="shared" si="2879"/>
        <v>21.973199999999999</v>
      </c>
      <c r="S559" s="6">
        <f t="shared" si="2880"/>
        <v>5.4860000000000007</v>
      </c>
      <c r="T559" s="6">
        <f t="shared" si="2881"/>
        <v>-0.6875</v>
      </c>
      <c r="U559" s="6">
        <f t="shared" si="2882"/>
        <v>0.7436999999999987</v>
      </c>
      <c r="V559" s="6">
        <f t="shared" si="2883"/>
        <v>0.5</v>
      </c>
      <c r="W559" s="9">
        <f>Tabla1[[#This Row],[Protein]]/Tabla1[[#This Row],[Peso (Kg)]]</f>
        <v>0.26034597156398098</v>
      </c>
      <c r="X559" s="9">
        <f t="shared" si="2738"/>
        <v>0.26520929000724547</v>
      </c>
      <c r="Y559" s="6">
        <f t="shared" si="2884"/>
        <v>37.811199999999999</v>
      </c>
      <c r="Z559" s="6">
        <f t="shared" ref="Z559" si="2897">AVERAGE(E553:E559)</f>
        <v>84.30714285714285</v>
      </c>
      <c r="AA559" s="6">
        <f t="shared" ref="AA559" si="2898">AVERAGE(N553:N559)</f>
        <v>12.261407142857141</v>
      </c>
      <c r="AB559" s="6">
        <f t="shared" ref="AB559" si="2899">AVERAGE(R553:R559)</f>
        <v>22.358049999999999</v>
      </c>
      <c r="AC559" s="6">
        <f t="shared" ref="AC559:AC564" si="2900">100*(AB559/AB558-1)</f>
        <v>-0.42519579334198143</v>
      </c>
      <c r="AD559" s="42">
        <f>Tabla1[[#This Row],[Avg Agua)]]/Tabla1[[#This Row],[Avg Musculo]]</f>
        <v>2.0626242960748877</v>
      </c>
    </row>
    <row r="560" spans="1:31" x14ac:dyDescent="0.3">
      <c r="A560" t="s">
        <v>157</v>
      </c>
      <c r="B560">
        <v>26</v>
      </c>
      <c r="C560" t="s">
        <v>23</v>
      </c>
      <c r="D560" s="4">
        <v>45832</v>
      </c>
      <c r="E560" s="6">
        <v>84.05</v>
      </c>
      <c r="F560" s="7">
        <f t="shared" si="2873"/>
        <v>23.780556813037574</v>
      </c>
      <c r="G560" s="9">
        <v>0.14000000000000001</v>
      </c>
      <c r="H560" s="6">
        <f t="shared" si="2874"/>
        <v>72.283000000000001</v>
      </c>
      <c r="I560" s="6">
        <f t="shared" si="2875"/>
        <v>22.623599999999996</v>
      </c>
      <c r="J560">
        <v>3.6</v>
      </c>
      <c r="K560" s="5">
        <v>6.5000000000000002E-2</v>
      </c>
      <c r="L560" s="17">
        <v>2073</v>
      </c>
      <c r="M560" s="5">
        <v>0.54800000000000004</v>
      </c>
      <c r="N560" s="6">
        <f t="shared" si="2876"/>
        <v>11.767000000000001</v>
      </c>
      <c r="O560" s="21">
        <f t="shared" si="2877"/>
        <v>46.059400000000004</v>
      </c>
      <c r="P560" s="8">
        <f t="shared" si="2706"/>
        <v>46.152628571428572</v>
      </c>
      <c r="Q560" s="8">
        <f t="shared" si="2878"/>
        <v>61.426400000000001</v>
      </c>
      <c r="R560" s="6">
        <f t="shared" si="2879"/>
        <v>22.623599999999996</v>
      </c>
      <c r="S560" s="6">
        <f t="shared" si="2880"/>
        <v>5.4632500000000004</v>
      </c>
      <c r="T560" s="6">
        <f t="shared" si="2881"/>
        <v>0.65039999999999765</v>
      </c>
      <c r="U560" s="6">
        <f t="shared" si="2882"/>
        <v>-0.47099999999999831</v>
      </c>
      <c r="V560" s="6">
        <f t="shared" si="2883"/>
        <v>-0.35000000000000853</v>
      </c>
      <c r="W560" s="9">
        <f>Tabla1[[#This Row],[Protein]]/Tabla1[[#This Row],[Peso (Kg)]]</f>
        <v>0.26916835217132656</v>
      </c>
      <c r="X560" s="9">
        <f t="shared" si="2738"/>
        <v>0.26519838952001379</v>
      </c>
      <c r="Y560" s="6">
        <f t="shared" si="2884"/>
        <v>37.990600000000001</v>
      </c>
      <c r="Z560" s="6">
        <f t="shared" ref="Z560" si="2901">AVERAGE(E554:E560)</f>
        <v>84.285714285714263</v>
      </c>
      <c r="AA560" s="6">
        <f t="shared" ref="AA560" si="2902">AVERAGE(N554:N560)</f>
        <v>12.210292857142857</v>
      </c>
      <c r="AB560" s="6">
        <f t="shared" ref="AB560" si="2903">AVERAGE(R554:R560)</f>
        <v>22.351364285714283</v>
      </c>
      <c r="AC560" s="6">
        <f t="shared" si="2900"/>
        <v>-2.9902940040460457E-2</v>
      </c>
      <c r="AD560" s="42">
        <f>Tabla1[[#This Row],[Avg Agua)]]/Tabla1[[#This Row],[Avg Musculo]]</f>
        <v>2.0648685235257296</v>
      </c>
    </row>
    <row r="561" spans="1:31" x14ac:dyDescent="0.3">
      <c r="A561" t="s">
        <v>157</v>
      </c>
      <c r="B561">
        <v>26</v>
      </c>
      <c r="C561" t="s">
        <v>24</v>
      </c>
      <c r="D561" s="4">
        <v>45833</v>
      </c>
      <c r="E561" s="6">
        <v>83.25</v>
      </c>
      <c r="F561" s="7">
        <f t="shared" ref="F561:F566" si="2904">E561/(1.88^2)</f>
        <v>23.554210049796289</v>
      </c>
      <c r="G561" s="9">
        <v>0.13600000000000001</v>
      </c>
      <c r="H561" s="6">
        <f t="shared" ref="H561:H566" si="2905">E561-N561</f>
        <v>71.927999999999997</v>
      </c>
      <c r="I561" s="6">
        <f t="shared" ref="I561:I566" si="2906">E561-N561-O561-J561</f>
        <v>22.873499999999993</v>
      </c>
      <c r="J561">
        <v>3.6</v>
      </c>
      <c r="K561" s="5">
        <v>6.5000000000000002E-2</v>
      </c>
      <c r="L561" s="17">
        <v>2062</v>
      </c>
      <c r="M561" s="5">
        <v>0.54600000000000004</v>
      </c>
      <c r="N561" s="6">
        <f t="shared" ref="N561:N566" si="2907">E561*G561</f>
        <v>11.322000000000001</v>
      </c>
      <c r="O561" s="21">
        <f t="shared" ref="O561:O566" si="2908">M561*E561</f>
        <v>45.454500000000003</v>
      </c>
      <c r="P561" s="8">
        <f t="shared" si="2706"/>
        <v>46.146000000000001</v>
      </c>
      <c r="Q561" s="8">
        <f t="shared" ref="Q561:Q566" si="2909">E561-R561</f>
        <v>60.376500000000007</v>
      </c>
      <c r="R561" s="6">
        <f t="shared" ref="R561:R566" si="2910">I561</f>
        <v>22.873499999999993</v>
      </c>
      <c r="S561" s="6">
        <f t="shared" ref="S561:S566" si="2911">K561*E561</f>
        <v>5.4112499999999999</v>
      </c>
      <c r="T561" s="6">
        <f t="shared" ref="T561:T566" si="2912">I561-I560</f>
        <v>0.24989999999999668</v>
      </c>
      <c r="U561" s="6">
        <f t="shared" ref="U561:U566" si="2913">N561-N560</f>
        <v>-0.44500000000000028</v>
      </c>
      <c r="V561" s="6">
        <f t="shared" ref="V561:V566" si="2914">E561-E560</f>
        <v>-0.79999999999999716</v>
      </c>
      <c r="W561" s="9">
        <f>Tabla1[[#This Row],[Protein]]/Tabla1[[#This Row],[Peso (Kg)]]</f>
        <v>0.27475675675675665</v>
      </c>
      <c r="X561" s="9">
        <f t="shared" si="2738"/>
        <v>0.26583385234606627</v>
      </c>
      <c r="Y561" s="6">
        <f t="shared" ref="Y561:Y566" si="2915">R561+N561+J561</f>
        <v>37.795499999999997</v>
      </c>
      <c r="Z561" s="6">
        <f t="shared" ref="Z561" si="2916">AVERAGE(E555:E561)</f>
        <v>84.185714285714283</v>
      </c>
      <c r="AA561" s="6">
        <f t="shared" ref="AA561" si="2917">AVERAGE(N555:N561)</f>
        <v>12.076764285714287</v>
      </c>
      <c r="AB561" s="6">
        <f t="shared" ref="AB561" si="2918">AVERAGE(R555:R561)</f>
        <v>22.377235714285707</v>
      </c>
      <c r="AC561" s="6">
        <f t="shared" si="2900"/>
        <v>0.11574876701356818</v>
      </c>
      <c r="AD561" s="42">
        <f>Tabla1[[#This Row],[Avg Agua)]]/Tabla1[[#This Row],[Avg Musculo]]</f>
        <v>2.0621850075315704</v>
      </c>
    </row>
    <row r="562" spans="1:31" x14ac:dyDescent="0.3">
      <c r="A562" t="s">
        <v>157</v>
      </c>
      <c r="B562">
        <v>26</v>
      </c>
      <c r="C562" t="s">
        <v>22</v>
      </c>
      <c r="D562" s="4">
        <v>45834</v>
      </c>
      <c r="E562" s="6">
        <v>84.2</v>
      </c>
      <c r="F562" s="7">
        <f t="shared" si="2904"/>
        <v>23.822996831145318</v>
      </c>
      <c r="G562" s="9">
        <v>0.14399999999999999</v>
      </c>
      <c r="H562" s="6">
        <f t="shared" si="2905"/>
        <v>72.075200000000009</v>
      </c>
      <c r="I562" s="6">
        <f t="shared" si="2906"/>
        <v>22.249400000000001</v>
      </c>
      <c r="J562">
        <v>3.6</v>
      </c>
      <c r="K562" s="5">
        <v>6.5000000000000002E-2</v>
      </c>
      <c r="L562" s="17">
        <v>2068</v>
      </c>
      <c r="M562" s="5">
        <v>0.54900000000000004</v>
      </c>
      <c r="N562" s="6">
        <f t="shared" si="2907"/>
        <v>12.124799999999999</v>
      </c>
      <c r="O562" s="21">
        <f t="shared" si="2908"/>
        <v>46.225800000000007</v>
      </c>
      <c r="P562" s="8">
        <f t="shared" si="2706"/>
        <v>46.186714285714295</v>
      </c>
      <c r="Q562" s="8">
        <f t="shared" si="2909"/>
        <v>61.950600000000001</v>
      </c>
      <c r="R562" s="6">
        <f t="shared" si="2910"/>
        <v>22.249400000000001</v>
      </c>
      <c r="S562" s="6">
        <f t="shared" si="2911"/>
        <v>5.4730000000000008</v>
      </c>
      <c r="T562" s="6">
        <f t="shared" si="2912"/>
        <v>-0.62409999999999144</v>
      </c>
      <c r="U562" s="6">
        <f t="shared" si="2913"/>
        <v>0.80279999999999774</v>
      </c>
      <c r="V562" s="6">
        <f t="shared" si="2914"/>
        <v>0.95000000000000284</v>
      </c>
      <c r="W562" s="9">
        <f>Tabla1[[#This Row],[Protein]]/Tabla1[[#This Row],[Peso (Kg)]]</f>
        <v>0.26424465558194776</v>
      </c>
      <c r="X562" s="9">
        <f t="shared" si="2738"/>
        <v>0.26621803768632757</v>
      </c>
      <c r="Y562" s="6">
        <f t="shared" si="2915"/>
        <v>37.974200000000003</v>
      </c>
      <c r="Z562" s="6">
        <f t="shared" ref="Z562" si="2919">AVERAGE(E556:E562)</f>
        <v>84.15</v>
      </c>
      <c r="AA562" s="6">
        <f t="shared" ref="AA562" si="2920">AVERAGE(N556:N562)</f>
        <v>11.963042857142856</v>
      </c>
      <c r="AB562" s="6">
        <f t="shared" ref="AB562" si="2921">AVERAGE(R556:R562)</f>
        <v>22.400242857142853</v>
      </c>
      <c r="AC562" s="6">
        <f t="shared" si="2900"/>
        <v>0.10281494618415987</v>
      </c>
      <c r="AD562" s="42">
        <f>Tabla1[[#This Row],[Avg Agua)]]/Tabla1[[#This Row],[Avg Musculo]]</f>
        <v>2.0618845331396289</v>
      </c>
    </row>
    <row r="563" spans="1:31" x14ac:dyDescent="0.3">
      <c r="A563" t="s">
        <v>157</v>
      </c>
      <c r="B563">
        <v>26</v>
      </c>
      <c r="C563" t="s">
        <v>20</v>
      </c>
      <c r="D563" s="4">
        <v>45835</v>
      </c>
      <c r="E563" s="6">
        <v>82.95</v>
      </c>
      <c r="F563" s="7">
        <f t="shared" si="2904"/>
        <v>23.469330013580809</v>
      </c>
      <c r="G563" s="9">
        <v>0.127</v>
      </c>
      <c r="H563" s="6">
        <f t="shared" si="2905"/>
        <v>72.415350000000004</v>
      </c>
      <c r="I563" s="6">
        <f t="shared" si="2906"/>
        <v>23.275799999999997</v>
      </c>
      <c r="J563">
        <v>3.6</v>
      </c>
      <c r="K563" s="5">
        <v>0.06</v>
      </c>
      <c r="L563" s="17">
        <v>2075</v>
      </c>
      <c r="M563" s="5">
        <v>0.54900000000000004</v>
      </c>
      <c r="N563" s="6">
        <f t="shared" si="2907"/>
        <v>10.534650000000001</v>
      </c>
      <c r="O563" s="21">
        <f t="shared" si="2908"/>
        <v>45.539550000000006</v>
      </c>
      <c r="P563" s="8">
        <f t="shared" si="2706"/>
        <v>46.089664285714299</v>
      </c>
      <c r="Q563" s="8">
        <f t="shared" si="2909"/>
        <v>59.674200000000006</v>
      </c>
      <c r="R563" s="6">
        <f t="shared" si="2910"/>
        <v>23.275799999999997</v>
      </c>
      <c r="S563" s="6">
        <f t="shared" si="2911"/>
        <v>4.9770000000000003</v>
      </c>
      <c r="T563" s="6">
        <f t="shared" si="2912"/>
        <v>1.0263999999999953</v>
      </c>
      <c r="U563" s="6">
        <f t="shared" si="2913"/>
        <v>-1.5901499999999977</v>
      </c>
      <c r="V563" s="6">
        <f t="shared" si="2914"/>
        <v>-1.25</v>
      </c>
      <c r="W563" s="9">
        <f>Tabla1[[#This Row],[Protein]]/Tabla1[[#This Row],[Peso (Kg)]]</f>
        <v>0.28060036166365276</v>
      </c>
      <c r="X563" s="9">
        <f t="shared" si="2738"/>
        <v>0.26866495459600309</v>
      </c>
      <c r="Y563" s="6">
        <f t="shared" si="2915"/>
        <v>37.410449999999997</v>
      </c>
      <c r="Z563" s="6">
        <f t="shared" ref="Z563" si="2922">AVERAGE(E557:E563)</f>
        <v>83.907142857142858</v>
      </c>
      <c r="AA563" s="6">
        <f t="shared" ref="AA563" si="2923">AVERAGE(N557:N563)</f>
        <v>11.67825</v>
      </c>
      <c r="AB563" s="6">
        <f t="shared" ref="AB563" si="2924">AVERAGE(R557:R563)</f>
        <v>22.53922857142857</v>
      </c>
      <c r="AC563" s="6">
        <f t="shared" si="2900"/>
        <v>0.62046521179299763</v>
      </c>
      <c r="AD563" s="42">
        <f>Tabla1[[#This Row],[Avg Agua)]]/Tabla1[[#This Row],[Avg Musculo]]</f>
        <v>2.0448643190982585</v>
      </c>
    </row>
    <row r="564" spans="1:31" x14ac:dyDescent="0.3">
      <c r="A564" t="s">
        <v>157</v>
      </c>
      <c r="B564">
        <v>26</v>
      </c>
      <c r="C564" t="s">
        <v>121</v>
      </c>
      <c r="D564" s="4">
        <v>45836</v>
      </c>
      <c r="E564" s="6">
        <v>83.2</v>
      </c>
      <c r="F564" s="7">
        <f t="shared" si="2904"/>
        <v>23.540063377093709</v>
      </c>
      <c r="G564" s="9">
        <v>0.13500000000000001</v>
      </c>
      <c r="H564" s="6">
        <f t="shared" si="2905"/>
        <v>71.968000000000004</v>
      </c>
      <c r="I564" s="6">
        <f t="shared" si="2906"/>
        <v>23.273599999999995</v>
      </c>
      <c r="J564">
        <v>3.6</v>
      </c>
      <c r="K564" s="5">
        <v>6.5000000000000002E-2</v>
      </c>
      <c r="L564" s="17">
        <v>2062</v>
      </c>
      <c r="M564" s="5">
        <v>0.54200000000000004</v>
      </c>
      <c r="N564" s="6">
        <f t="shared" si="2907"/>
        <v>11.232000000000001</v>
      </c>
      <c r="O564" s="21">
        <f t="shared" si="2908"/>
        <v>45.094400000000007</v>
      </c>
      <c r="P564" s="8">
        <f t="shared" si="2706"/>
        <v>45.872492857142859</v>
      </c>
      <c r="Q564" s="8">
        <f t="shared" si="2909"/>
        <v>59.926400000000008</v>
      </c>
      <c r="R564" s="6">
        <f t="shared" si="2910"/>
        <v>23.273599999999995</v>
      </c>
      <c r="S564" s="6">
        <f t="shared" si="2911"/>
        <v>5.4080000000000004</v>
      </c>
      <c r="T564" s="6">
        <f t="shared" si="2912"/>
        <v>-2.2000000000019782E-3</v>
      </c>
      <c r="U564" s="6">
        <f t="shared" si="2913"/>
        <v>0.69735000000000014</v>
      </c>
      <c r="V564" s="6">
        <f t="shared" si="2914"/>
        <v>0.25</v>
      </c>
      <c r="W564" s="9">
        <f>Tabla1[[#This Row],[Protein]]/Tabla1[[#This Row],[Peso (Kg)]]</f>
        <v>0.27973076923076917</v>
      </c>
      <c r="X564" s="9">
        <f t="shared" si="2738"/>
        <v>0.2712769489845932</v>
      </c>
      <c r="Y564" s="6">
        <f t="shared" si="2915"/>
        <v>38.105599999999995</v>
      </c>
      <c r="Z564" s="6">
        <f t="shared" ref="Z564" si="2925">AVERAGE(E558:E564)</f>
        <v>83.70714285714287</v>
      </c>
      <c r="AA564" s="6">
        <f t="shared" ref="AA564" si="2926">AVERAGE(N558:N564)</f>
        <v>11.530392857142859</v>
      </c>
      <c r="AB564" s="6">
        <f t="shared" ref="AB564" si="2927">AVERAGE(R558:R564)</f>
        <v>22.704257142857138</v>
      </c>
      <c r="AC564" s="6">
        <f t="shared" si="2900"/>
        <v>0.73218376088417525</v>
      </c>
      <c r="AD564" s="42">
        <f>Tabla1[[#This Row],[Avg Agua)]]/Tabla1[[#This Row],[Avg Musculo]]</f>
        <v>2.0204357521371077</v>
      </c>
    </row>
    <row r="565" spans="1:31" x14ac:dyDescent="0.3">
      <c r="A565" t="s">
        <v>157</v>
      </c>
      <c r="B565">
        <v>26</v>
      </c>
      <c r="C565" t="s">
        <v>26</v>
      </c>
      <c r="D565" s="4">
        <v>45837</v>
      </c>
      <c r="E565" s="6">
        <v>83.65</v>
      </c>
      <c r="F565" s="7">
        <f t="shared" si="2904"/>
        <v>23.667383431416933</v>
      </c>
      <c r="G565" s="9">
        <v>0.13800000000000001</v>
      </c>
      <c r="H565" s="6">
        <f t="shared" si="2905"/>
        <v>72.106300000000005</v>
      </c>
      <c r="I565" s="6">
        <f t="shared" si="2906"/>
        <v>22.582449999999994</v>
      </c>
      <c r="J565">
        <v>3.6</v>
      </c>
      <c r="K565" s="5">
        <v>6.5000000000000002E-2</v>
      </c>
      <c r="L565" s="17">
        <v>2069</v>
      </c>
      <c r="M565" s="5">
        <v>0.54900000000000004</v>
      </c>
      <c r="N565" s="6">
        <f t="shared" si="2907"/>
        <v>11.543700000000001</v>
      </c>
      <c r="O565" s="21">
        <f t="shared" si="2908"/>
        <v>45.923850000000009</v>
      </c>
      <c r="P565" s="8">
        <f t="shared" si="2706"/>
        <v>45.840900000000012</v>
      </c>
      <c r="Q565" s="8">
        <f t="shared" si="2909"/>
        <v>61.067550000000011</v>
      </c>
      <c r="R565" s="6">
        <f t="shared" si="2910"/>
        <v>22.582449999999994</v>
      </c>
      <c r="S565" s="6">
        <f t="shared" si="2911"/>
        <v>5.4372500000000006</v>
      </c>
      <c r="T565" s="6">
        <f t="shared" si="2912"/>
        <v>-0.69115000000000038</v>
      </c>
      <c r="U565" s="6">
        <f t="shared" si="2913"/>
        <v>0.31170000000000009</v>
      </c>
      <c r="V565" s="6">
        <f t="shared" si="2914"/>
        <v>0.45000000000000284</v>
      </c>
      <c r="W565" s="9">
        <f>Tabla1[[#This Row],[Protein]]/Tabla1[[#This Row],[Peso (Kg)]]</f>
        <v>0.26996353855349664</v>
      </c>
      <c r="X565" s="9">
        <f t="shared" si="2738"/>
        <v>0.27125862936027578</v>
      </c>
      <c r="Y565" s="6">
        <f t="shared" si="2915"/>
        <v>37.726149999999997</v>
      </c>
      <c r="Z565" s="6">
        <f t="shared" ref="Z565" si="2928">AVERAGE(E559:E565)</f>
        <v>83.671428571428564</v>
      </c>
      <c r="AA565" s="6">
        <f t="shared" ref="AA565" si="2929">AVERAGE(N559:N565)</f>
        <v>11.537450000000002</v>
      </c>
      <c r="AB565" s="6">
        <f t="shared" ref="AB565" si="2930">AVERAGE(R559:R565)</f>
        <v>22.693078571428568</v>
      </c>
      <c r="AC565" s="6">
        <f t="shared" ref="AC565:AC570" si="2931">100*(AB565/AB564-1)</f>
        <v>-4.9235574448580621E-2</v>
      </c>
      <c r="AD565" s="42">
        <f>Tabla1[[#This Row],[Avg Agua)]]/Tabla1[[#This Row],[Avg Musculo]]</f>
        <v>2.020038835000352</v>
      </c>
    </row>
    <row r="566" spans="1:31" x14ac:dyDescent="0.3">
      <c r="A566" t="s">
        <v>157</v>
      </c>
      <c r="B566">
        <v>27</v>
      </c>
      <c r="C566" t="s">
        <v>21</v>
      </c>
      <c r="D566" s="4">
        <v>45838</v>
      </c>
      <c r="E566" s="6">
        <v>83.9</v>
      </c>
      <c r="F566" s="7">
        <f t="shared" si="2904"/>
        <v>23.738116794929837</v>
      </c>
      <c r="G566" s="9">
        <v>0.14499999999999999</v>
      </c>
      <c r="H566" s="6">
        <f t="shared" si="2905"/>
        <v>71.734500000000011</v>
      </c>
      <c r="I566" s="6">
        <f t="shared" si="2906"/>
        <v>22.089500000000001</v>
      </c>
      <c r="J566">
        <v>3.5</v>
      </c>
      <c r="K566" s="5">
        <v>6.5000000000000002E-2</v>
      </c>
      <c r="L566" s="17">
        <v>2059</v>
      </c>
      <c r="M566" s="5">
        <v>0.55000000000000004</v>
      </c>
      <c r="N566" s="6">
        <f t="shared" si="2907"/>
        <v>12.1655</v>
      </c>
      <c r="O566" s="21">
        <f t="shared" si="2908"/>
        <v>46.14500000000001</v>
      </c>
      <c r="P566" s="8">
        <f t="shared" si="2706"/>
        <v>45.777500000000018</v>
      </c>
      <c r="Q566" s="8">
        <f t="shared" si="2909"/>
        <v>61.810500000000005</v>
      </c>
      <c r="R566" s="6">
        <f t="shared" si="2910"/>
        <v>22.089500000000001</v>
      </c>
      <c r="S566" s="6">
        <f t="shared" si="2911"/>
        <v>5.4535000000000009</v>
      </c>
      <c r="T566" s="6">
        <f t="shared" si="2912"/>
        <v>-0.49294999999999334</v>
      </c>
      <c r="U566" s="6">
        <f t="shared" si="2913"/>
        <v>0.62179999999999858</v>
      </c>
      <c r="V566" s="6">
        <f t="shared" si="2914"/>
        <v>0.25</v>
      </c>
      <c r="W566" s="9">
        <f>Tabla1[[#This Row],[Protein]]/Tabla1[[#This Row],[Peso (Kg)]]</f>
        <v>0.26328367103694872</v>
      </c>
      <c r="X566" s="9">
        <f t="shared" si="2738"/>
        <v>0.27167830071355686</v>
      </c>
      <c r="Y566" s="6">
        <f t="shared" si="2915"/>
        <v>37.755000000000003</v>
      </c>
      <c r="Z566" s="6">
        <f t="shared" ref="Z566" si="2932">AVERAGE(E560:E566)</f>
        <v>83.6</v>
      </c>
      <c r="AA566" s="6">
        <f t="shared" ref="AA566" si="2933">AVERAGE(N560:N566)</f>
        <v>11.527092857142856</v>
      </c>
      <c r="AB566" s="6">
        <f t="shared" ref="AB566" si="2934">AVERAGE(R560:R566)</f>
        <v>22.709692857142858</v>
      </c>
      <c r="AC566" s="6">
        <f t="shared" si="2931"/>
        <v>7.3213009253003669E-2</v>
      </c>
      <c r="AD566" s="42">
        <f>Tabla1[[#This Row],[Avg Agua)]]/Tabla1[[#This Row],[Avg Musculo]]</f>
        <v>2.0157692262932416</v>
      </c>
    </row>
    <row r="567" spans="1:31" x14ac:dyDescent="0.3">
      <c r="A567" t="s">
        <v>157</v>
      </c>
      <c r="B567">
        <v>27</v>
      </c>
      <c r="C567" t="s">
        <v>23</v>
      </c>
      <c r="D567" s="4">
        <v>45839</v>
      </c>
      <c r="E567" s="6">
        <v>83.65</v>
      </c>
      <c r="F567" s="7">
        <f t="shared" ref="F567:F572" si="2935">E567/(1.88^2)</f>
        <v>23.667383431416933</v>
      </c>
      <c r="G567" s="9">
        <v>0.13800000000000001</v>
      </c>
      <c r="H567" s="6">
        <f t="shared" ref="H567:H572" si="2936">E567-N567</f>
        <v>72.106300000000005</v>
      </c>
      <c r="I567" s="6">
        <f t="shared" ref="I567:I572" si="2937">E567-N567-O567-J567</f>
        <v>21.996899999999997</v>
      </c>
      <c r="J567">
        <v>3.6</v>
      </c>
      <c r="K567" s="5">
        <v>6.5000000000000002E-2</v>
      </c>
      <c r="L567" s="17">
        <v>2069</v>
      </c>
      <c r="M567" s="5">
        <v>0.55600000000000005</v>
      </c>
      <c r="N567" s="6">
        <f t="shared" ref="N567:N572" si="2938">E567*G567</f>
        <v>11.543700000000001</v>
      </c>
      <c r="O567" s="21">
        <f t="shared" ref="O567:O572" si="2939">M567*E567</f>
        <v>46.509400000000007</v>
      </c>
      <c r="P567" s="8">
        <f t="shared" si="2706"/>
        <v>45.84178571428572</v>
      </c>
      <c r="Q567" s="8">
        <f t="shared" ref="Q567:Q572" si="2940">E567-R567</f>
        <v>61.653100000000009</v>
      </c>
      <c r="R567" s="6">
        <f t="shared" ref="R567:R572" si="2941">I567</f>
        <v>21.996899999999997</v>
      </c>
      <c r="S567" s="6">
        <f t="shared" ref="S567:S572" si="2942">K567*E567</f>
        <v>5.4372500000000006</v>
      </c>
      <c r="T567" s="6">
        <f t="shared" ref="T567:T572" si="2943">I567-I566</f>
        <v>-9.2600000000004457E-2</v>
      </c>
      <c r="U567" s="6">
        <f t="shared" ref="U567:U572" si="2944">N567-N566</f>
        <v>-0.62179999999999858</v>
      </c>
      <c r="V567" s="6">
        <f t="shared" ref="V567:V572" si="2945">E567-E566</f>
        <v>-0.25</v>
      </c>
      <c r="W567" s="9">
        <f>Tabla1[[#This Row],[Protein]]/Tabla1[[#This Row],[Peso (Kg)]]</f>
        <v>0.26296353855349663</v>
      </c>
      <c r="X567" s="9">
        <f t="shared" si="2738"/>
        <v>0.27079189876815263</v>
      </c>
      <c r="Y567" s="6">
        <f t="shared" ref="Y567:Y572" si="2946">R567+N567+J567</f>
        <v>37.140599999999999</v>
      </c>
      <c r="Z567" s="6">
        <f t="shared" ref="Z567" si="2947">AVERAGE(E561:E567)</f>
        <v>83.54285714285713</v>
      </c>
      <c r="AA567" s="6">
        <f t="shared" ref="AA567" si="2948">AVERAGE(N561:N567)</f>
        <v>11.495192857142857</v>
      </c>
      <c r="AB567" s="6">
        <f t="shared" ref="AB567" si="2949">AVERAGE(R561:R567)</f>
        <v>22.620164285714282</v>
      </c>
      <c r="AC567" s="6">
        <f t="shared" si="2931"/>
        <v>-0.39423065733105167</v>
      </c>
      <c r="AD567" s="42">
        <f>Tabla1[[#This Row],[Avg Agua)]]/Tabla1[[#This Row],[Avg Musculo]]</f>
        <v>2.0265894241642184</v>
      </c>
    </row>
    <row r="568" spans="1:31" x14ac:dyDescent="0.3">
      <c r="A568" t="s">
        <v>157</v>
      </c>
      <c r="B568">
        <v>27</v>
      </c>
      <c r="C568" t="s">
        <v>24</v>
      </c>
      <c r="D568" s="4">
        <v>45840</v>
      </c>
      <c r="E568" s="6">
        <v>83.1</v>
      </c>
      <c r="F568" s="7">
        <f t="shared" si="2935"/>
        <v>23.511770031688545</v>
      </c>
      <c r="G568" s="9">
        <v>0.13700000000000001</v>
      </c>
      <c r="H568" s="6">
        <f t="shared" si="2936"/>
        <v>71.715299999999999</v>
      </c>
      <c r="I568" s="6">
        <f t="shared" si="2937"/>
        <v>22.593399999999995</v>
      </c>
      <c r="J568">
        <v>3.5</v>
      </c>
      <c r="K568" s="5">
        <v>6.5000000000000002E-2</v>
      </c>
      <c r="L568" s="17">
        <v>2056</v>
      </c>
      <c r="M568" s="5">
        <v>0.54900000000000004</v>
      </c>
      <c r="N568" s="6">
        <f t="shared" si="2938"/>
        <v>11.3847</v>
      </c>
      <c r="O568" s="21">
        <f t="shared" si="2939"/>
        <v>45.621900000000004</v>
      </c>
      <c r="P568" s="8">
        <f t="shared" si="2706"/>
        <v>45.865700000000004</v>
      </c>
      <c r="Q568" s="8">
        <f t="shared" si="2940"/>
        <v>60.506599999999999</v>
      </c>
      <c r="R568" s="6">
        <f t="shared" si="2941"/>
        <v>22.593399999999995</v>
      </c>
      <c r="S568" s="6">
        <f t="shared" si="2942"/>
        <v>5.4014999999999995</v>
      </c>
      <c r="T568" s="6">
        <f t="shared" si="2943"/>
        <v>0.59649999999999892</v>
      </c>
      <c r="U568" s="6">
        <f t="shared" si="2944"/>
        <v>-0.1590000000000007</v>
      </c>
      <c r="V568" s="6">
        <f t="shared" si="2945"/>
        <v>-0.55000000000001137</v>
      </c>
      <c r="W568" s="9">
        <f>Tabla1[[#This Row],[Protein]]/Tabla1[[#This Row],[Peso (Kg)]]</f>
        <v>0.27188206979542717</v>
      </c>
      <c r="X568" s="9">
        <f t="shared" si="2738"/>
        <v>0.27038122920224839</v>
      </c>
      <c r="Y568" s="6">
        <f t="shared" si="2946"/>
        <v>37.478099999999998</v>
      </c>
      <c r="Z568" s="6">
        <f t="shared" ref="Z568" si="2950">AVERAGE(E562:E568)</f>
        <v>83.521428571428572</v>
      </c>
      <c r="AA568" s="6">
        <f t="shared" ref="AA568" si="2951">AVERAGE(N562:N568)</f>
        <v>11.504149999999999</v>
      </c>
      <c r="AB568" s="6">
        <f t="shared" ref="AB568" si="2952">AVERAGE(R562:R568)</f>
        <v>22.58015</v>
      </c>
      <c r="AC568" s="6">
        <f t="shared" si="2931"/>
        <v>-0.17689653005550365</v>
      </c>
      <c r="AD568" s="42">
        <f>Tabla1[[#This Row],[Avg Agua)]]/Tabla1[[#This Row],[Avg Musculo]]</f>
        <v>2.0312398279019406</v>
      </c>
    </row>
    <row r="569" spans="1:31" x14ac:dyDescent="0.3">
      <c r="A569" t="s">
        <v>157</v>
      </c>
      <c r="B569">
        <v>27</v>
      </c>
      <c r="C569" t="s">
        <v>22</v>
      </c>
      <c r="D569" s="4">
        <v>45841</v>
      </c>
      <c r="E569" s="6">
        <v>82.45</v>
      </c>
      <c r="F569" s="7">
        <f t="shared" si="2935"/>
        <v>23.327863286555004</v>
      </c>
      <c r="G569" s="9">
        <v>0.13100000000000001</v>
      </c>
      <c r="H569" s="6">
        <f t="shared" si="2936"/>
        <v>71.649050000000003</v>
      </c>
      <c r="I569" s="6">
        <f t="shared" si="2937"/>
        <v>22.966449999999995</v>
      </c>
      <c r="J569">
        <v>3.5</v>
      </c>
      <c r="K569" s="5">
        <v>0.06</v>
      </c>
      <c r="L569" s="17">
        <v>2051</v>
      </c>
      <c r="M569" s="5">
        <v>0.54800000000000004</v>
      </c>
      <c r="N569" s="6">
        <f t="shared" si="2938"/>
        <v>10.80095</v>
      </c>
      <c r="O569" s="21">
        <f t="shared" si="2939"/>
        <v>45.182600000000008</v>
      </c>
      <c r="P569" s="8">
        <f t="shared" si="2706"/>
        <v>45.716671428571431</v>
      </c>
      <c r="Q569" s="8">
        <f t="shared" si="2940"/>
        <v>59.483550000000008</v>
      </c>
      <c r="R569" s="6">
        <f t="shared" si="2941"/>
        <v>22.966449999999995</v>
      </c>
      <c r="S569" s="6">
        <f t="shared" si="2942"/>
        <v>4.9470000000000001</v>
      </c>
      <c r="T569" s="6">
        <f t="shared" si="2943"/>
        <v>0.37304999999999922</v>
      </c>
      <c r="U569" s="6">
        <f t="shared" si="2944"/>
        <v>-0.58375000000000021</v>
      </c>
      <c r="V569" s="6">
        <f t="shared" si="2945"/>
        <v>-0.64999999999999147</v>
      </c>
      <c r="W569" s="9">
        <f>Tabla1[[#This Row],[Protein]]/Tabla1[[#This Row],[Peso (Kg)]]</f>
        <v>0.27855003032140685</v>
      </c>
      <c r="X569" s="9">
        <f t="shared" si="2738"/>
        <v>0.27242485416502826</v>
      </c>
      <c r="Y569" s="6">
        <f t="shared" si="2946"/>
        <v>37.267399999999995</v>
      </c>
      <c r="Z569" s="6">
        <f t="shared" ref="Z569" si="2953">AVERAGE(E563:E569)</f>
        <v>83.271428571428586</v>
      </c>
      <c r="AA569" s="6">
        <f t="shared" ref="AA569" si="2954">AVERAGE(N563:N569)</f>
        <v>11.315028571428572</v>
      </c>
      <c r="AB569" s="6">
        <f t="shared" ref="AB569" si="2955">AVERAGE(R563:R569)</f>
        <v>22.682585714285715</v>
      </c>
      <c r="AC569" s="6">
        <f t="shared" si="2931"/>
        <v>0.45365382553133049</v>
      </c>
      <c r="AD569" s="42">
        <f>Tabla1[[#This Row],[Avg Agua)]]/Tabla1[[#This Row],[Avg Musculo]]</f>
        <v>2.0154964696012865</v>
      </c>
    </row>
    <row r="570" spans="1:31" x14ac:dyDescent="0.3">
      <c r="A570" t="s">
        <v>157</v>
      </c>
      <c r="B570">
        <v>27</v>
      </c>
      <c r="C570" t="s">
        <v>20</v>
      </c>
      <c r="D570" s="4">
        <v>45842</v>
      </c>
      <c r="E570" s="6">
        <v>82.9</v>
      </c>
      <c r="F570" s="7">
        <f t="shared" si="2935"/>
        <v>23.455183340878229</v>
      </c>
      <c r="G570" s="9">
        <v>0.129</v>
      </c>
      <c r="H570" s="6">
        <f t="shared" si="2936"/>
        <v>72.2059</v>
      </c>
      <c r="I570" s="6">
        <f t="shared" si="2937"/>
        <v>22.762199999999993</v>
      </c>
      <c r="J570">
        <v>3.6</v>
      </c>
      <c r="K570" s="5">
        <v>0.06</v>
      </c>
      <c r="L570" s="17">
        <v>2068</v>
      </c>
      <c r="M570" s="5">
        <v>0.55300000000000005</v>
      </c>
      <c r="N570" s="6">
        <f t="shared" si="2938"/>
        <v>10.694100000000001</v>
      </c>
      <c r="O570" s="21">
        <f t="shared" si="2939"/>
        <v>45.843700000000005</v>
      </c>
      <c r="P570" s="8">
        <f t="shared" si="2706"/>
        <v>45.760121428571438</v>
      </c>
      <c r="Q570" s="8">
        <f t="shared" si="2940"/>
        <v>60.137800000000013</v>
      </c>
      <c r="R570" s="6">
        <f t="shared" si="2941"/>
        <v>22.762199999999993</v>
      </c>
      <c r="S570" s="6">
        <f t="shared" si="2942"/>
        <v>4.9740000000000002</v>
      </c>
      <c r="T570" s="6">
        <f t="shared" si="2943"/>
        <v>-0.20425000000000182</v>
      </c>
      <c r="U570" s="6">
        <f t="shared" si="2944"/>
        <v>-0.10684999999999967</v>
      </c>
      <c r="V570" s="6">
        <f t="shared" si="2945"/>
        <v>0.45000000000000284</v>
      </c>
      <c r="W570" s="9">
        <f>Tabla1[[#This Row],[Protein]]/Tabla1[[#This Row],[Peso (Kg)]]</f>
        <v>0.27457418576598303</v>
      </c>
      <c r="X570" s="9">
        <f t="shared" si="2738"/>
        <v>0.27156397189393255</v>
      </c>
      <c r="Y570" s="6">
        <f t="shared" si="2946"/>
        <v>37.056299999999993</v>
      </c>
      <c r="Z570" s="6">
        <f t="shared" ref="Z570" si="2956">AVERAGE(E564:E570)</f>
        <v>83.26428571428572</v>
      </c>
      <c r="AA570" s="6">
        <f t="shared" ref="AA570" si="2957">AVERAGE(N564:N570)</f>
        <v>11.337807142857145</v>
      </c>
      <c r="AB570" s="6">
        <f t="shared" ref="AB570" si="2958">AVERAGE(R564:R570)</f>
        <v>22.609214285714284</v>
      </c>
      <c r="AC570" s="6">
        <f t="shared" si="2931"/>
        <v>-0.32347030226461682</v>
      </c>
      <c r="AD570" s="42">
        <f>Tabla1[[#This Row],[Avg Agua)]]/Tabla1[[#This Row],[Avg Musculo]]</f>
        <v>2.023958942150641</v>
      </c>
    </row>
    <row r="571" spans="1:31" x14ac:dyDescent="0.3">
      <c r="A571" t="s">
        <v>157</v>
      </c>
      <c r="B571">
        <v>27</v>
      </c>
      <c r="C571" t="s">
        <v>121</v>
      </c>
      <c r="D571" s="4">
        <v>45843</v>
      </c>
      <c r="E571" s="6">
        <v>82.8</v>
      </c>
      <c r="F571" s="7">
        <f t="shared" si="2935"/>
        <v>23.426889995473065</v>
      </c>
      <c r="G571" s="9">
        <v>0.13200000000000001</v>
      </c>
      <c r="H571" s="6">
        <f t="shared" si="2936"/>
        <v>71.870399999999989</v>
      </c>
      <c r="I571" s="6">
        <f t="shared" si="2937"/>
        <v>22.167999999999985</v>
      </c>
      <c r="J571">
        <v>3.5</v>
      </c>
      <c r="K571" s="5">
        <v>0.06</v>
      </c>
      <c r="L571" s="17">
        <v>2058</v>
      </c>
      <c r="M571" s="5">
        <v>0.55800000000000005</v>
      </c>
      <c r="N571" s="6">
        <f t="shared" si="2938"/>
        <v>10.929600000000001</v>
      </c>
      <c r="O571" s="21">
        <f t="shared" si="2939"/>
        <v>46.202400000000004</v>
      </c>
      <c r="P571" s="8">
        <f t="shared" si="2706"/>
        <v>45.918407142857156</v>
      </c>
      <c r="Q571" s="8">
        <f t="shared" si="2940"/>
        <v>60.632000000000012</v>
      </c>
      <c r="R571" s="6">
        <f t="shared" si="2941"/>
        <v>22.167999999999985</v>
      </c>
      <c r="S571" s="6">
        <f t="shared" si="2942"/>
        <v>4.968</v>
      </c>
      <c r="T571" s="6">
        <f t="shared" si="2943"/>
        <v>-0.59420000000000783</v>
      </c>
      <c r="U571" s="6">
        <f t="shared" si="2944"/>
        <v>0.23550000000000004</v>
      </c>
      <c r="V571" s="6">
        <f t="shared" si="2945"/>
        <v>-0.10000000000000853</v>
      </c>
      <c r="W571" s="9">
        <f>Tabla1[[#This Row],[Protein]]/Tabla1[[#This Row],[Peso (Kg)]]</f>
        <v>0.26772946859903363</v>
      </c>
      <c r="X571" s="9">
        <f t="shared" si="2738"/>
        <v>0.26984950037511324</v>
      </c>
      <c r="Y571" s="6">
        <f t="shared" si="2946"/>
        <v>36.597599999999986</v>
      </c>
      <c r="Z571" s="6">
        <f t="shared" ref="Z571:Z572" si="2959">AVERAGE(E565:E571)</f>
        <v>83.207142857142841</v>
      </c>
      <c r="AA571" s="6">
        <f t="shared" ref="AA571:AA572" si="2960">AVERAGE(N565:N571)</f>
        <v>11.294607142857144</v>
      </c>
      <c r="AB571" s="6">
        <f t="shared" ref="AB571:AB572" si="2961">AVERAGE(R565:R571)</f>
        <v>22.451271428571424</v>
      </c>
      <c r="AC571" s="6">
        <f t="shared" ref="AC571:AC576" si="2962">100*(AB571/AB570-1)</f>
        <v>-0.69857738153535909</v>
      </c>
      <c r="AD571" s="42">
        <f>Tabla1[[#This Row],[Avg Agua)]]/Tabla1[[#This Row],[Avg Musculo]]</f>
        <v>2.0452475170034923</v>
      </c>
    </row>
    <row r="572" spans="1:31" x14ac:dyDescent="0.3">
      <c r="A572" t="s">
        <v>157</v>
      </c>
      <c r="B572">
        <v>27</v>
      </c>
      <c r="C572" t="s">
        <v>26</v>
      </c>
      <c r="D572" s="4">
        <v>45844</v>
      </c>
      <c r="E572" s="6">
        <v>83.2</v>
      </c>
      <c r="F572" s="7">
        <f t="shared" si="2935"/>
        <v>23.540063377093709</v>
      </c>
      <c r="G572" s="9">
        <v>0.13500000000000001</v>
      </c>
      <c r="H572" s="6">
        <f t="shared" si="2936"/>
        <v>71.968000000000004</v>
      </c>
      <c r="I572" s="6">
        <f t="shared" si="2937"/>
        <v>21.775999999999996</v>
      </c>
      <c r="J572">
        <v>3.6</v>
      </c>
      <c r="K572" s="5">
        <v>6.5000000000000002E-2</v>
      </c>
      <c r="L572" s="17">
        <v>2063</v>
      </c>
      <c r="M572" s="5">
        <v>0.56000000000000005</v>
      </c>
      <c r="N572" s="6">
        <f t="shared" si="2938"/>
        <v>11.232000000000001</v>
      </c>
      <c r="O572" s="21">
        <f t="shared" si="2939"/>
        <v>46.592000000000006</v>
      </c>
      <c r="P572" s="8">
        <f t="shared" si="2706"/>
        <v>46.013857142857148</v>
      </c>
      <c r="Q572" s="8">
        <f t="shared" si="2940"/>
        <v>61.424000000000007</v>
      </c>
      <c r="R572" s="6">
        <f t="shared" si="2941"/>
        <v>21.775999999999996</v>
      </c>
      <c r="S572" s="6">
        <f t="shared" si="2942"/>
        <v>5.4080000000000004</v>
      </c>
      <c r="T572" s="6">
        <f t="shared" si="2943"/>
        <v>-0.3919999999999888</v>
      </c>
      <c r="U572" s="6">
        <f t="shared" si="2944"/>
        <v>0.30240000000000045</v>
      </c>
      <c r="V572" s="6">
        <f t="shared" si="2945"/>
        <v>0.40000000000000568</v>
      </c>
      <c r="W572" s="9">
        <f>Tabla1[[#This Row],[Protein]]/Tabla1[[#This Row],[Peso (Kg)]]</f>
        <v>0.26173076923076916</v>
      </c>
      <c r="X572" s="9">
        <f t="shared" si="2738"/>
        <v>0.26867339047186645</v>
      </c>
      <c r="Y572" s="6">
        <f t="shared" si="2946"/>
        <v>36.607999999999997</v>
      </c>
      <c r="Z572" s="6">
        <f t="shared" si="2959"/>
        <v>83.142857142857139</v>
      </c>
      <c r="AA572" s="6">
        <f t="shared" si="2960"/>
        <v>11.250078571428572</v>
      </c>
      <c r="AB572" s="6">
        <f t="shared" si="2961"/>
        <v>22.336064285714283</v>
      </c>
      <c r="AC572" s="6">
        <f t="shared" si="2962"/>
        <v>-0.51314306730321224</v>
      </c>
      <c r="AD572" s="42">
        <f>Tabla1[[#This Row],[Avg Agua)]]/Tabla1[[#This Row],[Avg Musculo]]</f>
        <v>2.0600700532674741</v>
      </c>
    </row>
    <row r="573" spans="1:31" x14ac:dyDescent="0.3">
      <c r="A573" t="s">
        <v>157</v>
      </c>
      <c r="B573">
        <v>28</v>
      </c>
      <c r="C573" t="s">
        <v>21</v>
      </c>
      <c r="D573" s="4">
        <v>45845</v>
      </c>
      <c r="E573" s="6">
        <v>82.55</v>
      </c>
      <c r="F573" s="7">
        <f t="shared" ref="F573:F578" si="2963">E573/(1.88^2)</f>
        <v>23.356156631960165</v>
      </c>
      <c r="G573" s="9">
        <v>0.13800000000000001</v>
      </c>
      <c r="H573" s="6">
        <f t="shared" ref="H573:H578" si="2964">E573-N573</f>
        <v>71.15809999999999</v>
      </c>
      <c r="I573" s="6">
        <f t="shared" ref="I573:I578" si="2965">E573-N573-O573-J573</f>
        <v>22.007949999999987</v>
      </c>
      <c r="J573">
        <v>3.5</v>
      </c>
      <c r="K573" s="5">
        <v>6.5000000000000002E-2</v>
      </c>
      <c r="L573" s="17">
        <v>2038</v>
      </c>
      <c r="M573" s="5">
        <v>0.55300000000000005</v>
      </c>
      <c r="N573" s="6">
        <f t="shared" ref="N573:N578" si="2966">E573*G573</f>
        <v>11.3919</v>
      </c>
      <c r="O573" s="21">
        <f t="shared" ref="O573:O578" si="2967">M573*E573</f>
        <v>45.650150000000004</v>
      </c>
      <c r="P573" s="8">
        <f t="shared" si="2706"/>
        <v>45.943164285714296</v>
      </c>
      <c r="Q573" s="8">
        <f t="shared" ref="Q573:Q578" si="2968">E573-R573</f>
        <v>60.54205000000001</v>
      </c>
      <c r="R573" s="6">
        <f t="shared" ref="R573:R578" si="2969">I573</f>
        <v>22.007949999999987</v>
      </c>
      <c r="S573" s="6">
        <f t="shared" ref="S573:S578" si="2970">K573*E573</f>
        <v>5.3657500000000002</v>
      </c>
      <c r="T573" s="6">
        <f t="shared" ref="T573:T578" si="2971">I573-I572</f>
        <v>0.23194999999999055</v>
      </c>
      <c r="U573" s="6">
        <f t="shared" ref="U573:U578" si="2972">N573-N572</f>
        <v>0.1598999999999986</v>
      </c>
      <c r="V573" s="6">
        <f t="shared" ref="V573:V578" si="2973">E573-E572</f>
        <v>-0.65000000000000568</v>
      </c>
      <c r="W573" s="9">
        <f>Tabla1[[#This Row],[Protein]]/Tabla1[[#This Row],[Peso (Kg)]]</f>
        <v>0.26660145366444565</v>
      </c>
      <c r="X573" s="9">
        <f t="shared" si="2738"/>
        <v>0.2691473594186517</v>
      </c>
      <c r="Y573" s="6">
        <f t="shared" ref="Y573:Y578" si="2974">R573+N573+J573</f>
        <v>36.899849999999986</v>
      </c>
      <c r="Z573" s="6">
        <f t="shared" ref="Z573" si="2975">AVERAGE(E567:E573)</f>
        <v>82.95</v>
      </c>
      <c r="AA573" s="6">
        <f t="shared" ref="AA573" si="2976">AVERAGE(N567:N573)</f>
        <v>11.139564285714288</v>
      </c>
      <c r="AB573" s="6">
        <f t="shared" ref="AB573" si="2977">AVERAGE(R567:R573)</f>
        <v>22.324414285714283</v>
      </c>
      <c r="AC573" s="6">
        <f t="shared" si="2962"/>
        <v>-5.2157801172925122E-2</v>
      </c>
      <c r="AD573" s="42">
        <f>Tabla1[[#This Row],[Avg Agua)]]/Tabla1[[#This Row],[Avg Musculo]]</f>
        <v>2.0579784847978742</v>
      </c>
    </row>
    <row r="574" spans="1:31" x14ac:dyDescent="0.3">
      <c r="A574" t="s">
        <v>157</v>
      </c>
      <c r="B574">
        <v>28</v>
      </c>
      <c r="C574" t="s">
        <v>23</v>
      </c>
      <c r="D574" s="4">
        <v>45846</v>
      </c>
      <c r="E574" s="6">
        <v>82.45</v>
      </c>
      <c r="F574" s="7">
        <f t="shared" si="2963"/>
        <v>23.327863286555004</v>
      </c>
      <c r="G574" s="9">
        <v>0.13300000000000001</v>
      </c>
      <c r="H574" s="6">
        <f t="shared" si="2964"/>
        <v>71.48415</v>
      </c>
      <c r="I574" s="6">
        <f t="shared" si="2965"/>
        <v>22.389299999999992</v>
      </c>
      <c r="J574">
        <v>3.5</v>
      </c>
      <c r="K574" s="5">
        <v>0.06</v>
      </c>
      <c r="L574" s="17">
        <v>2044</v>
      </c>
      <c r="M574" s="5">
        <v>0.55300000000000005</v>
      </c>
      <c r="N574" s="6">
        <f t="shared" si="2966"/>
        <v>10.965850000000001</v>
      </c>
      <c r="O574" s="21">
        <f t="shared" si="2967"/>
        <v>45.594850000000008</v>
      </c>
      <c r="P574" s="8">
        <f t="shared" si="2706"/>
        <v>45.8125142857143</v>
      </c>
      <c r="Q574" s="8">
        <f t="shared" si="2968"/>
        <v>60.060700000000011</v>
      </c>
      <c r="R574" s="6">
        <f t="shared" si="2969"/>
        <v>22.389299999999992</v>
      </c>
      <c r="S574" s="6">
        <f t="shared" si="2970"/>
        <v>4.9470000000000001</v>
      </c>
      <c r="T574" s="6">
        <f t="shared" si="2971"/>
        <v>0.38135000000000474</v>
      </c>
      <c r="U574" s="6">
        <f t="shared" si="2972"/>
        <v>-0.42604999999999826</v>
      </c>
      <c r="V574" s="6">
        <f t="shared" si="2973"/>
        <v>-9.9999999999994316E-2</v>
      </c>
      <c r="W574" s="9">
        <f>Tabla1[[#This Row],[Protein]]/Tabla1[[#This Row],[Peso (Kg)]]</f>
        <v>0.27155003032140679</v>
      </c>
      <c r="X574" s="9">
        <f t="shared" si="2738"/>
        <v>0.27037400109978177</v>
      </c>
      <c r="Y574" s="6">
        <f t="shared" si="2974"/>
        <v>36.855149999999995</v>
      </c>
      <c r="Z574" s="6">
        <f t="shared" ref="Z574:Z576" si="2978">AVERAGE(E568:E574)</f>
        <v>82.778571428571439</v>
      </c>
      <c r="AA574" s="6">
        <f>AVERAGE(N568:N574)</f>
        <v>11.057014285714287</v>
      </c>
      <c r="AB574" s="6">
        <f t="shared" ref="AB574:AB576" si="2979">AVERAGE(R568:R574)</f>
        <v>22.380471428571418</v>
      </c>
      <c r="AC574" s="6">
        <f t="shared" si="2962"/>
        <v>0.25110241254127086</v>
      </c>
      <c r="AD574" s="42">
        <f>Tabla1[[#This Row],[Avg Agua)]]/Tabla1[[#This Row],[Avg Musculo]]</f>
        <v>2.0469861160846237</v>
      </c>
    </row>
    <row r="575" spans="1:31" x14ac:dyDescent="0.3">
      <c r="A575" t="s">
        <v>157</v>
      </c>
      <c r="B575">
        <v>28</v>
      </c>
      <c r="C575" t="s">
        <v>24</v>
      </c>
      <c r="D575" s="4">
        <v>45847</v>
      </c>
      <c r="E575" s="6">
        <v>83.55</v>
      </c>
      <c r="F575" s="7">
        <f t="shared" si="2963"/>
        <v>23.63909008601177</v>
      </c>
      <c r="G575" s="9">
        <v>0.14899999999999999</v>
      </c>
      <c r="H575" s="6">
        <f t="shared" si="2964"/>
        <v>71.101050000000001</v>
      </c>
      <c r="I575" s="6">
        <f t="shared" si="2965"/>
        <v>20.980149999999995</v>
      </c>
      <c r="J575">
        <v>3.5</v>
      </c>
      <c r="K575" s="5">
        <v>7.0000000000000007E-2</v>
      </c>
      <c r="L575" s="17">
        <v>2041</v>
      </c>
      <c r="M575" s="5">
        <v>0.55800000000000005</v>
      </c>
      <c r="N575" s="6">
        <f t="shared" si="2966"/>
        <v>12.448949999999998</v>
      </c>
      <c r="O575" s="21">
        <f t="shared" si="2967"/>
        <v>46.620900000000006</v>
      </c>
      <c r="P575" s="8">
        <f t="shared" si="2706"/>
        <v>45.955228571428577</v>
      </c>
      <c r="Q575" s="8">
        <f t="shared" si="2968"/>
        <v>62.569850000000002</v>
      </c>
      <c r="R575" s="6">
        <f t="shared" si="2969"/>
        <v>20.980149999999995</v>
      </c>
      <c r="S575" s="6">
        <f t="shared" si="2970"/>
        <v>5.8485000000000005</v>
      </c>
      <c r="T575" s="6">
        <f t="shared" si="2971"/>
        <v>-1.4091499999999968</v>
      </c>
      <c r="U575" s="6">
        <f t="shared" si="2972"/>
        <v>1.4830999999999968</v>
      </c>
      <c r="V575" s="6">
        <f t="shared" si="2973"/>
        <v>1.0999999999999943</v>
      </c>
      <c r="W575" s="9">
        <f>Tabla1[[#This Row],[Protein]]/Tabla1[[#This Row],[Peso (Kg)]]</f>
        <v>0.25110891681627762</v>
      </c>
      <c r="X575" s="9">
        <f t="shared" si="2738"/>
        <v>0.26740640781704611</v>
      </c>
      <c r="Y575" s="6">
        <f t="shared" si="2974"/>
        <v>36.929099999999991</v>
      </c>
      <c r="Z575" s="6">
        <f t="shared" si="2978"/>
        <v>82.842857142857142</v>
      </c>
      <c r="AA575" s="6">
        <f t="shared" ref="AA575:AA576" si="2980">AVERAGE(N569:N575)</f>
        <v>11.20905</v>
      </c>
      <c r="AB575" s="6">
        <f t="shared" si="2979"/>
        <v>22.150007142857135</v>
      </c>
      <c r="AC575" s="6">
        <f t="shared" si="2962"/>
        <v>-1.0297561713560111</v>
      </c>
      <c r="AD575" s="42">
        <f>Tabla1[[#This Row],[Avg Agua)]]/Tabla1[[#This Row],[Avg Musculo]]</f>
        <v>2.0747274831578588</v>
      </c>
      <c r="AE575" t="s">
        <v>162</v>
      </c>
    </row>
    <row r="576" spans="1:31" x14ac:dyDescent="0.3">
      <c r="A576" t="s">
        <v>157</v>
      </c>
      <c r="B576">
        <v>28</v>
      </c>
      <c r="C576" t="s">
        <v>22</v>
      </c>
      <c r="D576" s="4">
        <v>45848</v>
      </c>
      <c r="E576" s="6">
        <v>83.95</v>
      </c>
      <c r="F576" s="7">
        <f t="shared" si="2963"/>
        <v>23.752263467632414</v>
      </c>
      <c r="G576" s="9">
        <v>0.14399999999999999</v>
      </c>
      <c r="H576" s="6">
        <f t="shared" si="2964"/>
        <v>71.861199999999997</v>
      </c>
      <c r="I576" s="6">
        <f t="shared" si="2965"/>
        <v>21.601049999999994</v>
      </c>
      <c r="J576">
        <v>3.5</v>
      </c>
      <c r="K576" s="5">
        <v>6.5000000000000002E-2</v>
      </c>
      <c r="L576" s="17">
        <v>2062</v>
      </c>
      <c r="M576" s="5">
        <v>0.55700000000000005</v>
      </c>
      <c r="N576" s="6">
        <f t="shared" si="2966"/>
        <v>12.088799999999999</v>
      </c>
      <c r="O576" s="21">
        <f t="shared" si="2967"/>
        <v>46.760150000000003</v>
      </c>
      <c r="P576" s="8">
        <f t="shared" si="2706"/>
        <v>46.180592857142862</v>
      </c>
      <c r="Q576" s="8">
        <f t="shared" si="2968"/>
        <v>62.348950000000009</v>
      </c>
      <c r="R576" s="6">
        <f t="shared" si="2969"/>
        <v>21.601049999999994</v>
      </c>
      <c r="S576" s="6">
        <f t="shared" si="2970"/>
        <v>5.4567500000000004</v>
      </c>
      <c r="T576" s="6">
        <f t="shared" si="2971"/>
        <v>0.6208999999999989</v>
      </c>
      <c r="U576" s="6">
        <f t="shared" si="2972"/>
        <v>-0.36014999999999908</v>
      </c>
      <c r="V576" s="6">
        <f t="shared" si="2973"/>
        <v>0.40000000000000568</v>
      </c>
      <c r="W576" s="9">
        <f>Tabla1[[#This Row],[Protein]]/Tabla1[[#This Row],[Peso (Kg)]]</f>
        <v>0.25730851697438945</v>
      </c>
      <c r="X576" s="9">
        <f t="shared" si="2738"/>
        <v>0.26437190591032927</v>
      </c>
      <c r="Y576" s="6">
        <f t="shared" si="2974"/>
        <v>37.189849999999993</v>
      </c>
      <c r="Z576" s="6">
        <f t="shared" si="2978"/>
        <v>83.05714285714285</v>
      </c>
      <c r="AA576" s="6">
        <f t="shared" si="2980"/>
        <v>11.393028571428573</v>
      </c>
      <c r="AB576" s="6">
        <f t="shared" si="2979"/>
        <v>21.95494999999999</v>
      </c>
      <c r="AC576" s="6">
        <f t="shared" si="2962"/>
        <v>-0.880618871132266</v>
      </c>
      <c r="AD576" s="42">
        <f>Tabla1[[#This Row],[Avg Agua)]]/Tabla1[[#This Row],[Avg Musculo]]</f>
        <v>2.1034250980823406</v>
      </c>
    </row>
    <row r="577" spans="1:31" x14ac:dyDescent="0.3">
      <c r="A577" t="s">
        <v>157</v>
      </c>
      <c r="B577">
        <v>28</v>
      </c>
      <c r="C577" t="s">
        <v>20</v>
      </c>
      <c r="D577" s="4">
        <v>45849</v>
      </c>
      <c r="E577" s="6">
        <v>83.35</v>
      </c>
      <c r="F577" s="7">
        <f t="shared" si="2963"/>
        <v>23.582503395201449</v>
      </c>
      <c r="G577" s="9">
        <v>0.14499999999999999</v>
      </c>
      <c r="H577" s="6">
        <f t="shared" si="2964"/>
        <v>71.26424999999999</v>
      </c>
      <c r="I577" s="6">
        <f t="shared" si="2965"/>
        <v>21.421649999999985</v>
      </c>
      <c r="J577">
        <v>3.5</v>
      </c>
      <c r="K577" s="5">
        <v>6.5000000000000002E-2</v>
      </c>
      <c r="L577" s="17">
        <v>2044</v>
      </c>
      <c r="M577" s="5">
        <v>0.55600000000000005</v>
      </c>
      <c r="N577" s="6">
        <f t="shared" si="2966"/>
        <v>12.085749999999999</v>
      </c>
      <c r="O577" s="21">
        <f t="shared" si="2967"/>
        <v>46.342600000000004</v>
      </c>
      <c r="P577" s="8">
        <f t="shared" si="2706"/>
        <v>46.251864285714291</v>
      </c>
      <c r="Q577" s="8">
        <f t="shared" si="2968"/>
        <v>61.928350000000009</v>
      </c>
      <c r="R577" s="6">
        <f t="shared" si="2969"/>
        <v>21.421649999999985</v>
      </c>
      <c r="S577" s="6">
        <f t="shared" si="2970"/>
        <v>5.4177499999999998</v>
      </c>
      <c r="T577" s="6">
        <f t="shared" si="2971"/>
        <v>-0.17940000000000822</v>
      </c>
      <c r="U577" s="6">
        <f t="shared" si="2972"/>
        <v>-3.0499999999999972E-3</v>
      </c>
      <c r="V577" s="6">
        <f t="shared" si="2973"/>
        <v>-0.60000000000000853</v>
      </c>
      <c r="W577" s="9">
        <f>Tabla1[[#This Row],[Protein]]/Tabla1[[#This Row],[Peso (Kg)]]</f>
        <v>0.25700839832033578</v>
      </c>
      <c r="X577" s="9">
        <f t="shared" si="2738"/>
        <v>0.26186250770380826</v>
      </c>
      <c r="Y577" s="6">
        <f t="shared" si="2974"/>
        <v>37.007399999999983</v>
      </c>
      <c r="Z577" s="6">
        <f t="shared" ref="Z577" si="2981">AVERAGE(E571:E577)</f>
        <v>83.121428571428581</v>
      </c>
      <c r="AA577" s="6">
        <f t="shared" ref="AA577" si="2982">AVERAGE(N571:N577)</f>
        <v>11.591835714285713</v>
      </c>
      <c r="AB577" s="6">
        <f t="shared" ref="AB577" si="2983">AVERAGE(R571:R577)</f>
        <v>21.763442857142845</v>
      </c>
      <c r="AC577" s="6">
        <f t="shared" ref="AC577:AC582" si="2984">100*(AB577/AB576-1)</f>
        <v>-0.87227319058865715</v>
      </c>
      <c r="AD577" s="42">
        <f>Tabla1[[#This Row],[Avg Agua)]]/Tabla1[[#This Row],[Avg Musculo]]</f>
        <v>2.1252089841352584</v>
      </c>
    </row>
    <row r="578" spans="1:31" x14ac:dyDescent="0.3">
      <c r="A578" t="s">
        <v>157</v>
      </c>
      <c r="B578">
        <v>28</v>
      </c>
      <c r="C578" t="s">
        <v>121</v>
      </c>
      <c r="D578" s="4">
        <v>45850</v>
      </c>
      <c r="E578" s="6">
        <v>83.2</v>
      </c>
      <c r="F578" s="7">
        <f t="shared" si="2963"/>
        <v>23.540063377093709</v>
      </c>
      <c r="G578" s="9">
        <v>0.13600000000000001</v>
      </c>
      <c r="H578" s="6">
        <f t="shared" si="2964"/>
        <v>71.884799999999998</v>
      </c>
      <c r="I578" s="6">
        <f t="shared" si="2965"/>
        <v>22.042399999999994</v>
      </c>
      <c r="J578">
        <v>3.5</v>
      </c>
      <c r="K578" s="5">
        <v>6.5000000000000002E-2</v>
      </c>
      <c r="L578" s="17">
        <v>2061</v>
      </c>
      <c r="M578" s="5">
        <v>0.55700000000000005</v>
      </c>
      <c r="N578" s="6">
        <f t="shared" si="2966"/>
        <v>11.315200000000001</v>
      </c>
      <c r="O578" s="21">
        <f t="shared" si="2967"/>
        <v>46.342400000000005</v>
      </c>
      <c r="P578" s="8">
        <f t="shared" si="2706"/>
        <v>46.271864285714287</v>
      </c>
      <c r="Q578" s="8">
        <f t="shared" si="2968"/>
        <v>61.157600000000009</v>
      </c>
      <c r="R578" s="6">
        <f t="shared" si="2969"/>
        <v>22.042399999999994</v>
      </c>
      <c r="S578" s="6">
        <f t="shared" si="2970"/>
        <v>5.4080000000000004</v>
      </c>
      <c r="T578" s="6">
        <f t="shared" si="2971"/>
        <v>0.62075000000000813</v>
      </c>
      <c r="U578" s="6">
        <f t="shared" si="2972"/>
        <v>-0.77054999999999829</v>
      </c>
      <c r="V578" s="6">
        <f t="shared" si="2973"/>
        <v>-0.14999999999999147</v>
      </c>
      <c r="W578" s="9">
        <f>Tabla1[[#This Row],[Protein]]/Tabla1[[#This Row],[Peso (Kg)]]</f>
        <v>0.26493269230769223</v>
      </c>
      <c r="X578" s="9">
        <f t="shared" si="2738"/>
        <v>0.26146296823361664</v>
      </c>
      <c r="Y578" s="6">
        <f t="shared" si="2974"/>
        <v>36.857599999999991</v>
      </c>
      <c r="Z578" s="6">
        <f t="shared" ref="Z578" si="2985">AVERAGE(E572:E578)</f>
        <v>83.178571428571431</v>
      </c>
      <c r="AA578" s="6">
        <f t="shared" ref="AA578" si="2986">AVERAGE(N572:N578)</f>
        <v>11.64692142857143</v>
      </c>
      <c r="AB578" s="6">
        <f t="shared" ref="AB578" si="2987">AVERAGE(R572:R578)</f>
        <v>21.745499999999993</v>
      </c>
      <c r="AC578" s="6">
        <f t="shared" si="2984"/>
        <v>-8.244493879314696E-2</v>
      </c>
      <c r="AD578" s="42">
        <f>Tabla1[[#This Row],[Avg Agua)]]/Tabla1[[#This Row],[Avg Musculo]]</f>
        <v>2.1278822876325814</v>
      </c>
    </row>
    <row r="579" spans="1:31" x14ac:dyDescent="0.3">
      <c r="A579" t="s">
        <v>157</v>
      </c>
      <c r="B579">
        <v>28</v>
      </c>
      <c r="C579" t="s">
        <v>26</v>
      </c>
      <c r="D579" s="4">
        <v>45851</v>
      </c>
      <c r="E579" s="6">
        <v>83.8</v>
      </c>
      <c r="F579" s="7">
        <f t="shared" ref="F579:F585" si="2988">E579/(1.88^2)</f>
        <v>23.709823449524674</v>
      </c>
      <c r="G579" s="9">
        <v>0.14199999999999999</v>
      </c>
      <c r="H579" s="6">
        <f t="shared" ref="H579:H585" si="2989">E579-N579</f>
        <v>71.900400000000005</v>
      </c>
      <c r="I579" s="6">
        <f t="shared" ref="I579:I585" si="2990">E579-N579-O579-J579</f>
        <v>21.372399999999999</v>
      </c>
      <c r="J579">
        <v>3.6</v>
      </c>
      <c r="K579" s="5">
        <v>6.5000000000000002E-2</v>
      </c>
      <c r="L579" s="17">
        <v>2063</v>
      </c>
      <c r="M579" s="5">
        <v>0.56000000000000005</v>
      </c>
      <c r="N579" s="6">
        <f t="shared" ref="N579:N585" si="2991">E579*G579</f>
        <v>11.899599999999998</v>
      </c>
      <c r="O579" s="21">
        <f t="shared" ref="O579:O585" si="2992">M579*E579</f>
        <v>46.928000000000004</v>
      </c>
      <c r="P579" s="8">
        <f t="shared" si="2706"/>
        <v>46.319864285714289</v>
      </c>
      <c r="Q579" s="8">
        <f t="shared" ref="Q579:Q585" si="2993">E579-R579</f>
        <v>62.427599999999998</v>
      </c>
      <c r="R579" s="6">
        <f t="shared" ref="R579:R585" si="2994">I579</f>
        <v>21.372399999999999</v>
      </c>
      <c r="S579" s="6">
        <f t="shared" ref="S579:S585" si="2995">K579*E579</f>
        <v>5.4470000000000001</v>
      </c>
      <c r="T579" s="6">
        <f t="shared" ref="T579:T585" si="2996">I579-I578</f>
        <v>-0.6699999999999946</v>
      </c>
      <c r="U579" s="6">
        <f t="shared" ref="U579:U585" si="2997">N579-N578</f>
        <v>0.58439999999999692</v>
      </c>
      <c r="V579" s="6">
        <f t="shared" ref="V579:V585" si="2998">E579-E578</f>
        <v>0.59999999999999432</v>
      </c>
      <c r="W579" s="9">
        <f>Tabla1[[#This Row],[Protein]]/Tabla1[[#This Row],[Peso (Kg)]]</f>
        <v>0.25504057279236275</v>
      </c>
      <c r="X579" s="9">
        <f t="shared" si="2738"/>
        <v>0.26050722588527286</v>
      </c>
      <c r="Y579" s="6">
        <f t="shared" ref="Y579:Y585" si="2999">R579+N579+J579</f>
        <v>36.872</v>
      </c>
      <c r="Z579" s="6">
        <f t="shared" ref="Z579" si="3000">AVERAGE(E573:E579)</f>
        <v>83.26428571428572</v>
      </c>
      <c r="AA579" s="6">
        <f t="shared" ref="AA579" si="3001">AVERAGE(N573:N579)</f>
        <v>11.742292857142855</v>
      </c>
      <c r="AB579" s="6">
        <f t="shared" ref="AB579" si="3002">AVERAGE(R573:R579)</f>
        <v>21.687842857142847</v>
      </c>
      <c r="AC579" s="6">
        <f t="shared" si="2984"/>
        <v>-0.26514516960817192</v>
      </c>
      <c r="AD579" s="42">
        <f>Tabla1[[#This Row],[Avg Agua)]]/Tabla1[[#This Row],[Avg Musculo]]</f>
        <v>2.1357524854279797</v>
      </c>
      <c r="AE579" t="s">
        <v>163</v>
      </c>
    </row>
    <row r="580" spans="1:31" x14ac:dyDescent="0.3">
      <c r="A580" t="s">
        <v>157</v>
      </c>
      <c r="B580">
        <v>29</v>
      </c>
      <c r="C580" t="s">
        <v>21</v>
      </c>
      <c r="D580" s="4">
        <v>45852</v>
      </c>
      <c r="E580" s="6">
        <v>82.95</v>
      </c>
      <c r="F580" s="7">
        <f t="shared" si="2988"/>
        <v>23.469330013580809</v>
      </c>
      <c r="G580" s="9">
        <v>0.13400000000000001</v>
      </c>
      <c r="H580" s="6">
        <f t="shared" si="2989"/>
        <v>71.834699999999998</v>
      </c>
      <c r="I580" s="6">
        <f t="shared" si="2990"/>
        <v>22.048599999999993</v>
      </c>
      <c r="J580">
        <v>3.5</v>
      </c>
      <c r="K580" s="5">
        <v>6.5000000000000002E-2</v>
      </c>
      <c r="L580" s="17">
        <v>2057</v>
      </c>
      <c r="M580" s="5">
        <v>0.55800000000000005</v>
      </c>
      <c r="N580" s="6">
        <f t="shared" si="2991"/>
        <v>11.115300000000001</v>
      </c>
      <c r="O580" s="21">
        <f t="shared" si="2992"/>
        <v>46.286100000000005</v>
      </c>
      <c r="P580" s="8">
        <f t="shared" si="2706"/>
        <v>46.410714285714285</v>
      </c>
      <c r="Q580" s="8">
        <f t="shared" si="2993"/>
        <v>60.90140000000001</v>
      </c>
      <c r="R580" s="6">
        <f t="shared" si="2994"/>
        <v>22.048599999999993</v>
      </c>
      <c r="S580" s="6">
        <f t="shared" si="2995"/>
        <v>5.39175</v>
      </c>
      <c r="T580" s="6">
        <f t="shared" si="2996"/>
        <v>0.67619999999999436</v>
      </c>
      <c r="U580" s="6">
        <f t="shared" si="2997"/>
        <v>-0.78429999999999644</v>
      </c>
      <c r="V580" s="6">
        <f t="shared" si="2998"/>
        <v>-0.84999999999999432</v>
      </c>
      <c r="W580" s="9">
        <f>Tabla1[[#This Row],[Protein]]/Tabla1[[#This Row],[Peso (Kg)]]</f>
        <v>0.26580590717299568</v>
      </c>
      <c r="X580" s="9">
        <f t="shared" si="2738"/>
        <v>0.2603935763864943</v>
      </c>
      <c r="Y580" s="6">
        <f t="shared" si="2999"/>
        <v>36.663899999999998</v>
      </c>
      <c r="Z580" s="6">
        <f t="shared" ref="Z580" si="3003">AVERAGE(E574:E580)</f>
        <v>83.321428571428569</v>
      </c>
      <c r="AA580" s="6">
        <f t="shared" ref="AA580" si="3004">AVERAGE(N574:N580)</f>
        <v>11.702778571428571</v>
      </c>
      <c r="AB580" s="6">
        <f t="shared" ref="AB580" si="3005">AVERAGE(R574:R580)</f>
        <v>21.693649999999995</v>
      </c>
      <c r="AC580" s="6">
        <f t="shared" si="2984"/>
        <v>2.677602791296696E-2</v>
      </c>
      <c r="AD580" s="42">
        <f>Tabla1[[#This Row],[Avg Agua)]]/Tabla1[[#This Row],[Avg Musculo]]</f>
        <v>2.1393686302542125</v>
      </c>
    </row>
    <row r="581" spans="1:31" x14ac:dyDescent="0.3">
      <c r="A581" t="s">
        <v>157</v>
      </c>
      <c r="B581">
        <v>29</v>
      </c>
      <c r="C581" t="s">
        <v>24</v>
      </c>
      <c r="D581" s="4">
        <v>45854</v>
      </c>
      <c r="E581" s="6">
        <v>83.3</v>
      </c>
      <c r="F581" s="7">
        <f t="shared" si="2988"/>
        <v>23.568356722498869</v>
      </c>
      <c r="G581" s="9">
        <v>0.13400000000000001</v>
      </c>
      <c r="H581" s="6">
        <f t="shared" si="2989"/>
        <v>72.137799999999999</v>
      </c>
      <c r="I581" s="6">
        <f t="shared" si="2990"/>
        <v>22.472899999999996</v>
      </c>
      <c r="J581">
        <v>3.6</v>
      </c>
      <c r="K581" s="5">
        <v>6.5000000000000002E-2</v>
      </c>
      <c r="L581" s="17">
        <v>2068</v>
      </c>
      <c r="M581" s="5">
        <v>0.55300000000000005</v>
      </c>
      <c r="N581" s="6">
        <f t="shared" si="2991"/>
        <v>11.1622</v>
      </c>
      <c r="O581" s="21">
        <f t="shared" si="2992"/>
        <v>46.064900000000002</v>
      </c>
      <c r="P581" s="8">
        <f t="shared" si="2706"/>
        <v>46.477864285714297</v>
      </c>
      <c r="Q581" s="8">
        <f t="shared" si="2993"/>
        <v>60.827100000000002</v>
      </c>
      <c r="R581" s="6">
        <f t="shared" si="2994"/>
        <v>22.472899999999996</v>
      </c>
      <c r="S581" s="6">
        <f t="shared" si="2995"/>
        <v>5.4145000000000003</v>
      </c>
      <c r="T581" s="6">
        <f t="shared" si="2996"/>
        <v>0.42430000000000234</v>
      </c>
      <c r="U581" s="6">
        <f t="shared" si="2997"/>
        <v>4.6899999999999054E-2</v>
      </c>
      <c r="V581" s="6">
        <f t="shared" si="2998"/>
        <v>0.34999999999999432</v>
      </c>
      <c r="W581" s="9">
        <f>Tabla1[[#This Row],[Protein]]/Tabla1[[#This Row],[Peso (Kg)]]</f>
        <v>0.26978271308523405</v>
      </c>
      <c r="X581" s="9">
        <f t="shared" si="2738"/>
        <v>0.26014110249561251</v>
      </c>
      <c r="Y581" s="6">
        <f t="shared" si="2999"/>
        <v>37.235099999999996</v>
      </c>
      <c r="Z581" s="6">
        <f t="shared" ref="Z581" si="3006">AVERAGE(E575:E581)</f>
        <v>83.44285714285715</v>
      </c>
      <c r="AA581" s="6">
        <f t="shared" ref="AA581" si="3007">AVERAGE(N575:N581)</f>
        <v>11.730828571428571</v>
      </c>
      <c r="AB581" s="6">
        <f t="shared" ref="AB581" si="3008">AVERAGE(R575:R581)</f>
        <v>21.705592857142847</v>
      </c>
      <c r="AC581" s="6">
        <f t="shared" si="2984"/>
        <v>5.5052317811221663E-2</v>
      </c>
      <c r="AD581" s="42">
        <f>Tabla1[[#This Row],[Avg Agua)]]/Tabla1[[#This Row],[Avg Musculo]]</f>
        <v>2.1412851789680292</v>
      </c>
      <c r="AE581" t="s">
        <v>164</v>
      </c>
    </row>
    <row r="582" spans="1:31" x14ac:dyDescent="0.3">
      <c r="A582" t="s">
        <v>157</v>
      </c>
      <c r="B582">
        <v>29</v>
      </c>
      <c r="C582" t="s">
        <v>22</v>
      </c>
      <c r="D582" s="4">
        <v>45855</v>
      </c>
      <c r="E582" s="6">
        <v>83.5</v>
      </c>
      <c r="F582" s="7">
        <f t="shared" si="2988"/>
        <v>23.62494341330919</v>
      </c>
      <c r="G582" s="9">
        <v>0.14399999999999999</v>
      </c>
      <c r="H582" s="6">
        <f t="shared" si="2989"/>
        <v>71.475999999999999</v>
      </c>
      <c r="I582" s="6">
        <f t="shared" si="2990"/>
        <v>21.633499999999998</v>
      </c>
      <c r="J582">
        <v>3.5</v>
      </c>
      <c r="K582" s="5">
        <v>6.5000000000000002E-2</v>
      </c>
      <c r="L582" s="17">
        <v>2051</v>
      </c>
      <c r="M582" s="5">
        <v>0.55500000000000005</v>
      </c>
      <c r="N582" s="6">
        <f t="shared" si="2991"/>
        <v>12.023999999999999</v>
      </c>
      <c r="O582" s="21">
        <f t="shared" si="2992"/>
        <v>46.342500000000001</v>
      </c>
      <c r="P582" s="8">
        <f t="shared" si="2706"/>
        <v>46.438092857142856</v>
      </c>
      <c r="Q582" s="8">
        <f t="shared" si="2993"/>
        <v>61.866500000000002</v>
      </c>
      <c r="R582" s="6">
        <f t="shared" si="2994"/>
        <v>21.633499999999998</v>
      </c>
      <c r="S582" s="6">
        <f t="shared" si="2995"/>
        <v>5.4275000000000002</v>
      </c>
      <c r="T582" s="6">
        <f t="shared" si="2996"/>
        <v>-0.8393999999999977</v>
      </c>
      <c r="U582" s="6">
        <f t="shared" si="2997"/>
        <v>0.86179999999999879</v>
      </c>
      <c r="V582" s="6">
        <f t="shared" si="2998"/>
        <v>0.20000000000000284</v>
      </c>
      <c r="W582" s="9">
        <f>Tabla1[[#This Row],[Protein]]/Tabla1[[#This Row],[Peso (Kg)]]</f>
        <v>0.25908383233532933</v>
      </c>
      <c r="X582" s="9">
        <f t="shared" si="2738"/>
        <v>0.26128037614119132</v>
      </c>
      <c r="Y582" s="6">
        <f t="shared" si="2999"/>
        <v>37.157499999999999</v>
      </c>
      <c r="Z582" s="6">
        <f t="shared" ref="Z582" si="3009">AVERAGE(E576:E582)</f>
        <v>83.435714285714283</v>
      </c>
      <c r="AA582" s="6">
        <f t="shared" ref="AA582" si="3010">AVERAGE(N576:N582)</f>
        <v>11.670121428571429</v>
      </c>
      <c r="AB582" s="6">
        <f t="shared" ref="AB582" si="3011">AVERAGE(R576:R582)</f>
        <v>21.798928571428565</v>
      </c>
      <c r="AC582" s="6">
        <f t="shared" si="2984"/>
        <v>0.43000767083403169</v>
      </c>
      <c r="AD582" s="42">
        <f>Tabla1[[#This Row],[Avg Agua)]]/Tabla1[[#This Row],[Avg Musculo]]</f>
        <v>2.130292445565805</v>
      </c>
    </row>
    <row r="583" spans="1:31" x14ac:dyDescent="0.3">
      <c r="A583" t="s">
        <v>157</v>
      </c>
      <c r="B583">
        <v>29</v>
      </c>
      <c r="C583" t="s">
        <v>20</v>
      </c>
      <c r="D583" s="4">
        <v>45856</v>
      </c>
      <c r="E583" s="6">
        <v>84.15</v>
      </c>
      <c r="F583" s="7">
        <f t="shared" si="2988"/>
        <v>23.808850158442738</v>
      </c>
      <c r="G583" s="9">
        <v>0.13900000000000001</v>
      </c>
      <c r="H583" s="6">
        <f t="shared" si="2989"/>
        <v>72.453150000000008</v>
      </c>
      <c r="I583" s="6">
        <f t="shared" si="2990"/>
        <v>22.065750000000001</v>
      </c>
      <c r="J583">
        <v>3.6</v>
      </c>
      <c r="K583" s="5">
        <v>6.5000000000000002E-2</v>
      </c>
      <c r="L583" s="17">
        <v>2079</v>
      </c>
      <c r="M583" s="5">
        <v>0.55600000000000005</v>
      </c>
      <c r="N583" s="6">
        <f t="shared" si="2991"/>
        <v>11.696850000000001</v>
      </c>
      <c r="O583" s="21">
        <f t="shared" si="2992"/>
        <v>46.787400000000005</v>
      </c>
      <c r="P583" s="8">
        <f t="shared" si="2706"/>
        <v>46.441985714285714</v>
      </c>
      <c r="Q583" s="8">
        <f t="shared" si="2993"/>
        <v>62.084250000000004</v>
      </c>
      <c r="R583" s="6">
        <f t="shared" si="2994"/>
        <v>22.065750000000001</v>
      </c>
      <c r="S583" s="6">
        <f t="shared" si="2995"/>
        <v>5.4697500000000003</v>
      </c>
      <c r="T583" s="6">
        <f t="shared" si="2996"/>
        <v>0.43225000000000335</v>
      </c>
      <c r="U583" s="6">
        <f t="shared" si="2997"/>
        <v>-0.32714999999999783</v>
      </c>
      <c r="V583" s="6">
        <f t="shared" si="2998"/>
        <v>0.65000000000000568</v>
      </c>
      <c r="W583" s="9">
        <f>Tabla1[[#This Row],[Protein]]/Tabla1[[#This Row],[Peso (Kg)]]</f>
        <v>0.26221925133689838</v>
      </c>
      <c r="X583" s="9">
        <f t="shared" si="2738"/>
        <v>0.26198190962154977</v>
      </c>
      <c r="Y583" s="6">
        <f t="shared" si="2999"/>
        <v>37.362600000000008</v>
      </c>
      <c r="Z583" s="6">
        <f t="shared" ref="Z583" si="3012">AVERAGE(E577:E583)</f>
        <v>83.464285714285708</v>
      </c>
      <c r="AA583" s="6">
        <f t="shared" ref="AA583" si="3013">AVERAGE(N577:N583)</f>
        <v>11.614128571428571</v>
      </c>
      <c r="AB583" s="6">
        <f t="shared" ref="AB583" si="3014">AVERAGE(R577:R583)</f>
        <v>21.865314285714284</v>
      </c>
      <c r="AC583" s="6">
        <f t="shared" ref="AC583:AC588" si="3015">100*(AB583/AB582-1)</f>
        <v>0.30453659255862409</v>
      </c>
      <c r="AD583" s="42">
        <f>Tabla1[[#This Row],[Avg Agua)]]/Tabla1[[#This Row],[Avg Musculo]]</f>
        <v>2.1240026604432853</v>
      </c>
    </row>
    <row r="584" spans="1:31" x14ac:dyDescent="0.3">
      <c r="A584" t="s">
        <v>157</v>
      </c>
      <c r="B584">
        <v>29</v>
      </c>
      <c r="C584" t="s">
        <v>121</v>
      </c>
      <c r="D584" s="4">
        <v>45857</v>
      </c>
      <c r="E584" s="6">
        <v>83.3</v>
      </c>
      <c r="F584" s="7">
        <f t="shared" si="2988"/>
        <v>23.568356722498869</v>
      </c>
      <c r="G584" s="9">
        <v>0.13500000000000001</v>
      </c>
      <c r="H584" s="6">
        <f t="shared" si="2989"/>
        <v>72.05449999999999</v>
      </c>
      <c r="I584" s="6">
        <f t="shared" si="2990"/>
        <v>22.056399999999989</v>
      </c>
      <c r="J584">
        <v>3.6</v>
      </c>
      <c r="K584" s="5">
        <v>6.5000000000000002E-2</v>
      </c>
      <c r="L584" s="17">
        <v>2066</v>
      </c>
      <c r="M584" s="5">
        <v>0.55700000000000005</v>
      </c>
      <c r="N584" s="6">
        <f t="shared" si="2991"/>
        <v>11.2455</v>
      </c>
      <c r="O584" s="21">
        <f t="shared" si="2992"/>
        <v>46.398099999999999</v>
      </c>
      <c r="P584" s="8">
        <f t="shared" si="2706"/>
        <v>46.449914285714286</v>
      </c>
      <c r="Q584" s="8">
        <f t="shared" si="2993"/>
        <v>61.243600000000008</v>
      </c>
      <c r="R584" s="6">
        <f t="shared" si="2994"/>
        <v>22.056399999999989</v>
      </c>
      <c r="S584" s="6">
        <f t="shared" si="2995"/>
        <v>5.4145000000000003</v>
      </c>
      <c r="T584" s="6">
        <f t="shared" si="2996"/>
        <v>-9.3500000000119599E-3</v>
      </c>
      <c r="U584" s="6">
        <f t="shared" si="2997"/>
        <v>-0.45135000000000147</v>
      </c>
      <c r="V584" s="6">
        <f t="shared" si="2998"/>
        <v>-0.85000000000000853</v>
      </c>
      <c r="W584" s="9">
        <f>Tabla1[[#This Row],[Protein]]/Tabla1[[#This Row],[Peso (Kg)]]</f>
        <v>0.26478271308523399</v>
      </c>
      <c r="X584" s="9">
        <f t="shared" si="2738"/>
        <v>0.26309252601653521</v>
      </c>
      <c r="Y584" s="6">
        <f t="shared" si="2999"/>
        <v>36.901899999999991</v>
      </c>
      <c r="Z584" s="6">
        <f t="shared" ref="Z584" si="3016">AVERAGE(E578:E584)</f>
        <v>83.457142857142841</v>
      </c>
      <c r="AA584" s="6">
        <f t="shared" ref="AA584" si="3017">AVERAGE(N578:N584)</f>
        <v>11.494092857142858</v>
      </c>
      <c r="AB584" s="6">
        <f t="shared" ref="AB584" si="3018">AVERAGE(R578:R584)</f>
        <v>21.955992857142853</v>
      </c>
      <c r="AC584" s="6">
        <f t="shared" si="3015"/>
        <v>0.41471423755301551</v>
      </c>
      <c r="AD584" s="42">
        <f>Tabla1[[#This Row],[Avg Agua)]]/Tabla1[[#This Row],[Avg Musculo]]</f>
        <v>2.1155916103608554</v>
      </c>
    </row>
    <row r="585" spans="1:31" x14ac:dyDescent="0.3">
      <c r="A585" t="s">
        <v>157</v>
      </c>
      <c r="B585">
        <v>29</v>
      </c>
      <c r="C585" t="s">
        <v>26</v>
      </c>
      <c r="D585" s="4">
        <v>45858</v>
      </c>
      <c r="E585" s="6">
        <v>83.7</v>
      </c>
      <c r="F585" s="7">
        <f t="shared" si="2988"/>
        <v>23.681530104119513</v>
      </c>
      <c r="G585" s="9">
        <v>0.13600000000000001</v>
      </c>
      <c r="H585" s="6">
        <f t="shared" si="2989"/>
        <v>72.316800000000001</v>
      </c>
      <c r="I585" s="6">
        <f t="shared" si="2990"/>
        <v>22.430699999999995</v>
      </c>
      <c r="J585">
        <v>3.6</v>
      </c>
      <c r="K585" s="5">
        <v>6.5000000000000002E-2</v>
      </c>
      <c r="L585" s="17">
        <v>2073</v>
      </c>
      <c r="M585" s="5">
        <v>0.55300000000000005</v>
      </c>
      <c r="N585" s="6">
        <f t="shared" si="2991"/>
        <v>11.3832</v>
      </c>
      <c r="O585" s="21">
        <f t="shared" si="2992"/>
        <v>46.286100000000005</v>
      </c>
      <c r="P585" s="8">
        <f t="shared" ref="P585:P658" si="3019">AVERAGE(O579:O585)</f>
        <v>46.441871428571439</v>
      </c>
      <c r="Q585" s="8">
        <f t="shared" si="2993"/>
        <v>61.269300000000008</v>
      </c>
      <c r="R585" s="6">
        <f t="shared" si="2994"/>
        <v>22.430699999999995</v>
      </c>
      <c r="S585" s="6">
        <f t="shared" si="2995"/>
        <v>5.4405000000000001</v>
      </c>
      <c r="T585" s="6">
        <f t="shared" si="2996"/>
        <v>0.37430000000000518</v>
      </c>
      <c r="U585" s="6">
        <f t="shared" si="2997"/>
        <v>0.1377000000000006</v>
      </c>
      <c r="V585" s="6">
        <f t="shared" si="2998"/>
        <v>0.40000000000000568</v>
      </c>
      <c r="W585" s="9">
        <f>Tabla1[[#This Row],[Protein]]/Tabla1[[#This Row],[Peso (Kg)]]</f>
        <v>0.26798924731182788</v>
      </c>
      <c r="X585" s="9">
        <f t="shared" si="2738"/>
        <v>0.26352917673141174</v>
      </c>
      <c r="Y585" s="6">
        <f t="shared" si="2999"/>
        <v>37.413899999999998</v>
      </c>
      <c r="Z585" s="6">
        <f t="shared" ref="Z585" si="3020">AVERAGE(E579:E585)</f>
        <v>83.528571428571439</v>
      </c>
      <c r="AA585" s="6">
        <f t="shared" ref="AA585" si="3021">AVERAGE(N579:N585)</f>
        <v>11.503807142857143</v>
      </c>
      <c r="AB585" s="6">
        <f t="shared" ref="AB585" si="3022">AVERAGE(R579:R585)</f>
        <v>22.011464285714283</v>
      </c>
      <c r="AC585" s="6">
        <f t="shared" si="3015"/>
        <v>0.25264823564279393</v>
      </c>
      <c r="AD585" s="42">
        <f>Tabla1[[#This Row],[Avg Agua)]]/Tabla1[[#This Row],[Avg Musculo]]</f>
        <v>2.1098946815052555</v>
      </c>
    </row>
    <row r="586" spans="1:31" x14ac:dyDescent="0.3">
      <c r="A586" t="s">
        <v>157</v>
      </c>
      <c r="B586">
        <v>30</v>
      </c>
      <c r="C586" t="s">
        <v>22</v>
      </c>
      <c r="D586" s="4">
        <v>45862</v>
      </c>
      <c r="E586" s="6">
        <v>84.5</v>
      </c>
      <c r="F586" s="7">
        <f t="shared" ref="F586:F591" si="3023">E586/(1.88^2)</f>
        <v>23.907876867360798</v>
      </c>
      <c r="G586" s="9">
        <v>0.14899999999999999</v>
      </c>
      <c r="H586" s="6">
        <f t="shared" ref="H586:H591" si="3024">E586-N586</f>
        <v>71.909500000000008</v>
      </c>
      <c r="I586" s="6">
        <f t="shared" ref="I586:I591" si="3025">E586-N586-O586-J586</f>
        <v>21.005000000000003</v>
      </c>
      <c r="J586">
        <v>3.5</v>
      </c>
      <c r="K586" s="5">
        <v>7.0000000000000007E-2</v>
      </c>
      <c r="L586" s="17">
        <v>2065</v>
      </c>
      <c r="M586" s="5">
        <v>0.56100000000000005</v>
      </c>
      <c r="N586" s="6">
        <f t="shared" ref="N586:N591" si="3026">E586*G586</f>
        <v>12.590499999999999</v>
      </c>
      <c r="O586" s="21">
        <f t="shared" ref="O586:O591" si="3027">M586*E586</f>
        <v>47.404500000000006</v>
      </c>
      <c r="P586" s="8">
        <f t="shared" si="3019"/>
        <v>46.50994285714286</v>
      </c>
      <c r="Q586" s="8">
        <f t="shared" ref="Q586:Q591" si="3028">E586-R586</f>
        <v>63.494999999999997</v>
      </c>
      <c r="R586" s="6">
        <f t="shared" ref="R586:R591" si="3029">I586</f>
        <v>21.005000000000003</v>
      </c>
      <c r="S586" s="6">
        <f t="shared" ref="S586:S591" si="3030">K586*E586</f>
        <v>5.9150000000000009</v>
      </c>
      <c r="T586" s="6">
        <f t="shared" ref="T586:T591" si="3031">I586-I585</f>
        <v>-1.425699999999992</v>
      </c>
      <c r="U586" s="6">
        <f t="shared" ref="U586:U591" si="3032">N586-N585</f>
        <v>1.2072999999999983</v>
      </c>
      <c r="V586" s="6">
        <f t="shared" ref="V586:V591" si="3033">E586-E585</f>
        <v>0.79999999999999716</v>
      </c>
      <c r="W586" s="9">
        <f>Tabla1[[#This Row],[Protein]]/Tabla1[[#This Row],[Peso (Kg)]]</f>
        <v>0.24857988165680475</v>
      </c>
      <c r="X586" s="9">
        <f t="shared" si="2738"/>
        <v>0.26260622085490348</v>
      </c>
      <c r="Y586" s="6">
        <f t="shared" ref="Y586:Y591" si="3034">R586+N586+J586</f>
        <v>37.095500000000001</v>
      </c>
      <c r="Z586" s="6">
        <f t="shared" ref="Z586" si="3035">AVERAGE(E580:E586)</f>
        <v>83.628571428571419</v>
      </c>
      <c r="AA586" s="6">
        <f t="shared" ref="AA586" si="3036">AVERAGE(N580:N586)</f>
        <v>11.60250714285714</v>
      </c>
      <c r="AB586" s="6">
        <f t="shared" ref="AB586" si="3037">AVERAGE(R580:R586)</f>
        <v>21.958978571428567</v>
      </c>
      <c r="AC586" s="6">
        <f t="shared" si="3015"/>
        <v>-0.23844717282066608</v>
      </c>
      <c r="AD586" s="42">
        <f>Tabla1[[#This Row],[Avg Agua)]]/Tabla1[[#This Row],[Avg Musculo]]</f>
        <v>2.1180376266525545</v>
      </c>
      <c r="AE586" t="s">
        <v>165</v>
      </c>
    </row>
    <row r="587" spans="1:31" x14ac:dyDescent="0.3">
      <c r="A587" t="s">
        <v>157</v>
      </c>
      <c r="B587">
        <v>30</v>
      </c>
      <c r="C587" t="s">
        <v>20</v>
      </c>
      <c r="D587" s="4">
        <v>45863</v>
      </c>
      <c r="E587" s="6">
        <v>84.1</v>
      </c>
      <c r="F587" s="7">
        <f t="shared" si="3023"/>
        <v>23.794703485740154</v>
      </c>
      <c r="G587" s="9">
        <v>0.14399999999999999</v>
      </c>
      <c r="H587" s="6">
        <f t="shared" si="3024"/>
        <v>71.989599999999996</v>
      </c>
      <c r="I587" s="6">
        <f t="shared" si="3025"/>
        <v>22.302799999999991</v>
      </c>
      <c r="J587">
        <v>3.6</v>
      </c>
      <c r="K587" s="5">
        <v>6.5000000000000002E-2</v>
      </c>
      <c r="L587" s="17">
        <v>2067</v>
      </c>
      <c r="M587" s="5">
        <v>0.54800000000000004</v>
      </c>
      <c r="N587" s="6">
        <f t="shared" si="3026"/>
        <v>12.110399999999998</v>
      </c>
      <c r="O587" s="21">
        <f t="shared" si="3027"/>
        <v>46.086800000000004</v>
      </c>
      <c r="P587" s="8">
        <f t="shared" si="3019"/>
        <v>46.481471428571425</v>
      </c>
      <c r="Q587" s="8">
        <f t="shared" si="3028"/>
        <v>61.797200000000004</v>
      </c>
      <c r="R587" s="6">
        <f t="shared" si="3029"/>
        <v>22.302799999999991</v>
      </c>
      <c r="S587" s="6">
        <f t="shared" si="3030"/>
        <v>5.4664999999999999</v>
      </c>
      <c r="T587" s="6">
        <f t="shared" si="3031"/>
        <v>1.2977999999999881</v>
      </c>
      <c r="U587" s="6">
        <f t="shared" si="3032"/>
        <v>-0.48010000000000019</v>
      </c>
      <c r="V587" s="6">
        <f t="shared" si="3033"/>
        <v>-0.40000000000000568</v>
      </c>
      <c r="W587" s="9">
        <f>Tabla1[[#This Row],[Protein]]/Tabla1[[#This Row],[Peso (Kg)]]</f>
        <v>0.26519381688466104</v>
      </c>
      <c r="X587" s="9">
        <f t="shared" si="2738"/>
        <v>0.2625187793851414</v>
      </c>
      <c r="Y587" s="6">
        <f t="shared" si="3034"/>
        <v>38.013199999999991</v>
      </c>
      <c r="Z587" s="6">
        <f t="shared" ref="Z587" si="3038">AVERAGE(E581:E587)</f>
        <v>83.79285714285713</v>
      </c>
      <c r="AA587" s="6">
        <f t="shared" ref="AA587" si="3039">AVERAGE(N581:N587)</f>
        <v>11.744664285714284</v>
      </c>
      <c r="AB587" s="6">
        <f t="shared" ref="AB587" si="3040">AVERAGE(R581:R587)</f>
        <v>21.995292857142854</v>
      </c>
      <c r="AC587" s="6">
        <f t="shared" si="3015"/>
        <v>0.1653732918230455</v>
      </c>
      <c r="AD587" s="42">
        <f>Tabla1[[#This Row],[Avg Agua)]]/Tabla1[[#This Row],[Avg Musculo]]</f>
        <v>2.1132463082198432</v>
      </c>
    </row>
    <row r="588" spans="1:31" x14ac:dyDescent="0.3">
      <c r="A588" t="s">
        <v>157</v>
      </c>
      <c r="B588">
        <v>30</v>
      </c>
      <c r="C588" t="s">
        <v>121</v>
      </c>
      <c r="D588" s="4">
        <v>45864</v>
      </c>
      <c r="E588" s="6">
        <v>84.15</v>
      </c>
      <c r="F588" s="7">
        <f t="shared" si="3023"/>
        <v>23.808850158442738</v>
      </c>
      <c r="G588" s="9">
        <v>0.14499999999999999</v>
      </c>
      <c r="H588" s="6">
        <f t="shared" si="3024"/>
        <v>71.948250000000002</v>
      </c>
      <c r="I588" s="6">
        <f t="shared" si="3025"/>
        <v>22.149899999999995</v>
      </c>
      <c r="J588">
        <v>3.6</v>
      </c>
      <c r="K588" s="5">
        <v>6.5000000000000002E-2</v>
      </c>
      <c r="L588" s="17">
        <v>2066</v>
      </c>
      <c r="M588" s="5">
        <v>0.54900000000000004</v>
      </c>
      <c r="N588" s="6">
        <f t="shared" si="3026"/>
        <v>12.201750000000001</v>
      </c>
      <c r="O588" s="21">
        <f t="shared" si="3027"/>
        <v>46.198350000000005</v>
      </c>
      <c r="P588" s="8">
        <f t="shared" si="3019"/>
        <v>46.500535714285718</v>
      </c>
      <c r="Q588" s="8">
        <f t="shared" si="3028"/>
        <v>62.00010000000001</v>
      </c>
      <c r="R588" s="6">
        <f t="shared" si="3029"/>
        <v>22.149899999999995</v>
      </c>
      <c r="S588" s="6">
        <f t="shared" si="3030"/>
        <v>5.4697500000000003</v>
      </c>
      <c r="T588" s="6">
        <f t="shared" si="3031"/>
        <v>-0.15289999999999537</v>
      </c>
      <c r="U588" s="6">
        <f t="shared" si="3032"/>
        <v>9.1350000000002041E-2</v>
      </c>
      <c r="V588" s="6">
        <f t="shared" si="3033"/>
        <v>5.0000000000011369E-2</v>
      </c>
      <c r="W588" s="9">
        <f>Tabla1[[#This Row],[Protein]]/Tabla1[[#This Row],[Peso (Kg)]]</f>
        <v>0.26321925133689833</v>
      </c>
      <c r="X588" s="9">
        <f t="shared" si="2738"/>
        <v>0.26158114199252197</v>
      </c>
      <c r="Y588" s="6">
        <f t="shared" si="3034"/>
        <v>37.951649999999994</v>
      </c>
      <c r="Z588" s="6">
        <f t="shared" ref="Z588" si="3041">AVERAGE(E582:E588)</f>
        <v>83.914285714285711</v>
      </c>
      <c r="AA588" s="6">
        <f t="shared" ref="AA588" si="3042">AVERAGE(N582:N588)</f>
        <v>11.89317142857143</v>
      </c>
      <c r="AB588" s="6">
        <f t="shared" ref="AB588" si="3043">AVERAGE(R582:R588)</f>
        <v>21.949149999999996</v>
      </c>
      <c r="AC588" s="6">
        <f t="shared" si="3015"/>
        <v>-0.20978514558797068</v>
      </c>
      <c r="AD588" s="42">
        <f>Tabla1[[#This Row],[Avg Agua)]]/Tabla1[[#This Row],[Avg Musculo]]</f>
        <v>2.1185574709856976</v>
      </c>
      <c r="AE588" t="s">
        <v>166</v>
      </c>
    </row>
    <row r="589" spans="1:31" x14ac:dyDescent="0.3">
      <c r="A589" t="s">
        <v>157</v>
      </c>
      <c r="B589">
        <v>31</v>
      </c>
      <c r="C589" t="s">
        <v>121</v>
      </c>
      <c r="D589" s="4">
        <v>45871</v>
      </c>
      <c r="E589" s="6">
        <v>84.4</v>
      </c>
      <c r="F589" s="7">
        <f t="shared" si="3023"/>
        <v>23.879583521955638</v>
      </c>
      <c r="G589" s="9">
        <v>0.14799999999999999</v>
      </c>
      <c r="H589" s="6">
        <f t="shared" si="3024"/>
        <v>71.908799999999999</v>
      </c>
      <c r="I589" s="6">
        <f t="shared" si="3025"/>
        <v>21.466799999999992</v>
      </c>
      <c r="J589">
        <v>3.6</v>
      </c>
      <c r="K589" s="5">
        <v>7.0000000000000007E-2</v>
      </c>
      <c r="L589" s="17">
        <v>2066</v>
      </c>
      <c r="M589" s="5">
        <v>0.55500000000000005</v>
      </c>
      <c r="N589" s="6">
        <f t="shared" si="3026"/>
        <v>12.491200000000001</v>
      </c>
      <c r="O589" s="21">
        <f t="shared" si="3027"/>
        <v>46.842000000000006</v>
      </c>
      <c r="P589" s="8">
        <f t="shared" si="3019"/>
        <v>46.571892857142863</v>
      </c>
      <c r="Q589" s="8">
        <f t="shared" si="3028"/>
        <v>62.933200000000014</v>
      </c>
      <c r="R589" s="6">
        <f t="shared" si="3029"/>
        <v>21.466799999999992</v>
      </c>
      <c r="S589" s="6">
        <f t="shared" si="3030"/>
        <v>5.9080000000000013</v>
      </c>
      <c r="T589" s="6">
        <f t="shared" si="3031"/>
        <v>-0.68310000000000315</v>
      </c>
      <c r="U589" s="6">
        <f t="shared" si="3032"/>
        <v>0.28945000000000043</v>
      </c>
      <c r="V589" s="6">
        <f t="shared" si="3033"/>
        <v>0.25</v>
      </c>
      <c r="W589" s="9">
        <f>Tabla1[[#This Row],[Protein]]/Tabla1[[#This Row],[Peso (Kg)]]</f>
        <v>0.25434597156398092</v>
      </c>
      <c r="X589" s="9">
        <f t="shared" si="2738"/>
        <v>0.26090430473947218</v>
      </c>
      <c r="Y589" s="6">
        <f t="shared" si="3034"/>
        <v>37.557999999999993</v>
      </c>
      <c r="Z589" s="6">
        <f t="shared" ref="Z589" si="3044">AVERAGE(E583:E589)</f>
        <v>84.04285714285713</v>
      </c>
      <c r="AA589" s="6">
        <f t="shared" ref="AA589" si="3045">AVERAGE(N583:N589)</f>
        <v>11.959914285714287</v>
      </c>
      <c r="AB589" s="6">
        <f t="shared" ref="AB589" si="3046">AVERAGE(R583:R589)</f>
        <v>21.925335714285705</v>
      </c>
      <c r="AC589" s="6">
        <f t="shared" ref="AC589:AC594" si="3047">100*(AB589/AB588-1)</f>
        <v>-0.10849753049340105</v>
      </c>
      <c r="AD589" s="42">
        <f>Tabla1[[#This Row],[Avg Agua)]]/Tabla1[[#This Row],[Avg Musculo]]</f>
        <v>2.1241131020310173</v>
      </c>
      <c r="AE589" t="s">
        <v>57</v>
      </c>
    </row>
    <row r="590" spans="1:31" x14ac:dyDescent="0.3">
      <c r="A590" t="s">
        <v>157</v>
      </c>
      <c r="B590">
        <v>31</v>
      </c>
      <c r="C590" t="s">
        <v>26</v>
      </c>
      <c r="D590" s="4">
        <v>45872</v>
      </c>
      <c r="E590" s="6">
        <v>83.7</v>
      </c>
      <c r="F590" s="7">
        <f t="shared" si="3023"/>
        <v>23.681530104119513</v>
      </c>
      <c r="G590" s="9">
        <v>0.14099999999999999</v>
      </c>
      <c r="H590" s="6">
        <f t="shared" si="3024"/>
        <v>71.898300000000006</v>
      </c>
      <c r="I590" s="6">
        <f t="shared" si="3025"/>
        <v>22.363300000000002</v>
      </c>
      <c r="J590">
        <v>3.5</v>
      </c>
      <c r="K590" s="5">
        <v>6.5000000000000002E-2</v>
      </c>
      <c r="L590" s="17">
        <v>2062</v>
      </c>
      <c r="M590" s="5">
        <v>0.55000000000000004</v>
      </c>
      <c r="N590" s="6">
        <f t="shared" si="3026"/>
        <v>11.801699999999999</v>
      </c>
      <c r="O590" s="21">
        <f t="shared" si="3027"/>
        <v>46.035000000000004</v>
      </c>
      <c r="P590" s="8">
        <f t="shared" si="3019"/>
        <v>46.464407142857155</v>
      </c>
      <c r="Q590" s="8">
        <f t="shared" si="3028"/>
        <v>61.3367</v>
      </c>
      <c r="R590" s="6">
        <f t="shared" si="3029"/>
        <v>22.363300000000002</v>
      </c>
      <c r="S590" s="6">
        <f t="shared" si="3030"/>
        <v>5.4405000000000001</v>
      </c>
      <c r="T590" s="6">
        <f t="shared" si="3031"/>
        <v>0.89650000000001029</v>
      </c>
      <c r="U590" s="6">
        <f t="shared" si="3032"/>
        <v>-0.68950000000000244</v>
      </c>
      <c r="V590" s="6">
        <f t="shared" si="3033"/>
        <v>-0.70000000000000284</v>
      </c>
      <c r="W590" s="9">
        <f>Tabla1[[#This Row],[Protein]]/Tabla1[[#This Row],[Peso (Kg)]]</f>
        <v>0.26718399044205499</v>
      </c>
      <c r="X590" s="9">
        <f t="shared" si="2738"/>
        <v>0.26161355318306601</v>
      </c>
      <c r="Y590" s="6">
        <f t="shared" si="3034"/>
        <v>37.664999999999999</v>
      </c>
      <c r="Z590" s="6">
        <f t="shared" ref="Z590" si="3048">AVERAGE(E584:E590)</f>
        <v>83.978571428571428</v>
      </c>
      <c r="AA590" s="6">
        <f t="shared" ref="AA590" si="3049">AVERAGE(N584:N590)</f>
        <v>11.974892857142859</v>
      </c>
      <c r="AB590" s="6">
        <f t="shared" ref="AB590" si="3050">AVERAGE(R584:R590)</f>
        <v>21.967842857142852</v>
      </c>
      <c r="AC590" s="6">
        <f t="shared" si="3047"/>
        <v>0.1938722554175154</v>
      </c>
      <c r="AD590" s="42">
        <f>Tabla1[[#This Row],[Avg Agua)]]/Tabla1[[#This Row],[Avg Musculo]]</f>
        <v>2.1151101382605364</v>
      </c>
    </row>
    <row r="591" spans="1:31" x14ac:dyDescent="0.3">
      <c r="A591" t="s">
        <v>157</v>
      </c>
      <c r="B591">
        <v>32</v>
      </c>
      <c r="C591" t="s">
        <v>21</v>
      </c>
      <c r="D591" s="4">
        <v>45873</v>
      </c>
      <c r="E591" s="6">
        <v>83.3</v>
      </c>
      <c r="F591" s="7">
        <f t="shared" si="3023"/>
        <v>23.568356722498869</v>
      </c>
      <c r="G591" s="9">
        <v>0.128</v>
      </c>
      <c r="H591" s="6">
        <f t="shared" si="3024"/>
        <v>72.637599999999992</v>
      </c>
      <c r="I591" s="6">
        <f t="shared" si="3025"/>
        <v>23.222599999999986</v>
      </c>
      <c r="J591">
        <v>3.6</v>
      </c>
      <c r="K591" s="5">
        <v>0.06</v>
      </c>
      <c r="L591" s="17">
        <v>2080</v>
      </c>
      <c r="M591" s="5">
        <v>0.55000000000000004</v>
      </c>
      <c r="N591" s="6">
        <f t="shared" si="3026"/>
        <v>10.6624</v>
      </c>
      <c r="O591" s="21">
        <f t="shared" si="3027"/>
        <v>45.815000000000005</v>
      </c>
      <c r="P591" s="8">
        <f t="shared" si="3019"/>
        <v>46.381107142857154</v>
      </c>
      <c r="Q591" s="8">
        <f t="shared" si="3028"/>
        <v>60.077400000000011</v>
      </c>
      <c r="R591" s="6">
        <f t="shared" si="3029"/>
        <v>23.222599999999986</v>
      </c>
      <c r="S591" s="6">
        <f t="shared" si="3030"/>
        <v>4.9979999999999993</v>
      </c>
      <c r="T591" s="6">
        <f t="shared" si="3031"/>
        <v>0.8592999999999833</v>
      </c>
      <c r="U591" s="6">
        <f t="shared" si="3032"/>
        <v>-1.1392999999999986</v>
      </c>
      <c r="V591" s="6">
        <f t="shared" si="3033"/>
        <v>-0.40000000000000568</v>
      </c>
      <c r="W591" s="9">
        <f>Tabla1[[#This Row],[Protein]]/Tabla1[[#This Row],[Peso (Kg)]]</f>
        <v>0.27878271308523395</v>
      </c>
      <c r="X591" s="9">
        <f t="shared" si="2738"/>
        <v>0.26361355318306595</v>
      </c>
      <c r="Y591" s="6">
        <f t="shared" si="3034"/>
        <v>37.484999999999985</v>
      </c>
      <c r="Z591" s="6">
        <f t="shared" ref="Z591" si="3051">AVERAGE(E585:E591)</f>
        <v>83.978571428571428</v>
      </c>
      <c r="AA591" s="6">
        <f t="shared" ref="AA591" si="3052">AVERAGE(N585:N591)</f>
        <v>11.891592857142857</v>
      </c>
      <c r="AB591" s="6">
        <f t="shared" ref="AB591" si="3053">AVERAGE(R585:R591)</f>
        <v>22.134442857142851</v>
      </c>
      <c r="AC591" s="6">
        <f t="shared" si="3047"/>
        <v>0.75838124427327624</v>
      </c>
      <c r="AD591" s="42">
        <f>Tabla1[[#This Row],[Avg Agua)]]/Tabla1[[#This Row],[Avg Musculo]]</f>
        <v>2.095426907386098</v>
      </c>
    </row>
    <row r="592" spans="1:31" x14ac:dyDescent="0.3">
      <c r="A592" t="s">
        <v>157</v>
      </c>
      <c r="B592">
        <v>33</v>
      </c>
      <c r="C592" t="s">
        <v>21</v>
      </c>
      <c r="D592" s="4">
        <v>45880</v>
      </c>
      <c r="E592" s="6">
        <v>84.4</v>
      </c>
      <c r="F592" s="7">
        <f t="shared" ref="F592:F597" si="3054">E592/(1.88^2)</f>
        <v>23.879583521955638</v>
      </c>
      <c r="G592" s="9">
        <v>0.152</v>
      </c>
      <c r="H592" s="6">
        <f t="shared" ref="H592:H597" si="3055">E592-N592</f>
        <v>71.571200000000005</v>
      </c>
      <c r="I592" s="6">
        <f t="shared" ref="I592:I597" si="3056">E592-N592-O592-J592</f>
        <v>21.144799999999996</v>
      </c>
      <c r="J592">
        <v>3.5</v>
      </c>
      <c r="K592" s="5">
        <v>7.0000000000000007E-2</v>
      </c>
      <c r="L592" s="17">
        <v>2057</v>
      </c>
      <c r="M592" s="5">
        <v>0.55600000000000005</v>
      </c>
      <c r="N592" s="6">
        <f t="shared" ref="N592:N597" si="3057">E592*G592</f>
        <v>12.828800000000001</v>
      </c>
      <c r="O592" s="21">
        <f t="shared" ref="O592:O597" si="3058">M592*E592</f>
        <v>46.926400000000008</v>
      </c>
      <c r="P592" s="8">
        <f t="shared" si="3019"/>
        <v>46.472578571428578</v>
      </c>
      <c r="Q592" s="8">
        <f t="shared" ref="Q592:Q597" si="3059">E592-R592</f>
        <v>63.255200000000009</v>
      </c>
      <c r="R592" s="6">
        <f t="shared" ref="R592:R597" si="3060">I592</f>
        <v>21.144799999999996</v>
      </c>
      <c r="S592" s="6">
        <f t="shared" ref="S592:S597" si="3061">K592*E592</f>
        <v>5.9080000000000013</v>
      </c>
      <c r="T592" s="6">
        <f t="shared" ref="T592:T597" si="3062">I592-I591</f>
        <v>-2.0777999999999892</v>
      </c>
      <c r="U592" s="6">
        <f t="shared" ref="U592:U597" si="3063">N592-N591</f>
        <v>2.1664000000000012</v>
      </c>
      <c r="V592" s="6">
        <f t="shared" ref="V592:V597" si="3064">E592-E591</f>
        <v>1.1000000000000085</v>
      </c>
      <c r="W592" s="9">
        <f>Tabla1[[#This Row],[Protein]]/Tabla1[[#This Row],[Peso (Kg)]]</f>
        <v>0.25053080568720371</v>
      </c>
      <c r="X592" s="9">
        <f t="shared" si="2738"/>
        <v>0.26111949009383395</v>
      </c>
      <c r="Y592" s="6">
        <f t="shared" ref="Y592:Y597" si="3065">R592+N592+J592</f>
        <v>37.473599999999998</v>
      </c>
      <c r="Z592" s="6">
        <f t="shared" ref="Z592" si="3066">AVERAGE(E586:E592)</f>
        <v>84.078571428571422</v>
      </c>
      <c r="AA592" s="6">
        <f t="shared" ref="AA592" si="3067">AVERAGE(N586:N592)</f>
        <v>12.098107142857142</v>
      </c>
      <c r="AB592" s="6">
        <f t="shared" ref="AB592" si="3068">AVERAGE(R586:R592)</f>
        <v>21.950742857142849</v>
      </c>
      <c r="AC592" s="6">
        <f t="shared" si="3047"/>
        <v>-0.82992827597068164</v>
      </c>
      <c r="AD592" s="42">
        <f>Tabla1[[#This Row],[Avg Agua)]]/Tabla1[[#This Row],[Avg Musculo]]</f>
        <v>2.1171301068886712</v>
      </c>
      <c r="AE592" t="s">
        <v>167</v>
      </c>
    </row>
    <row r="593" spans="1:31" x14ac:dyDescent="0.3">
      <c r="A593" t="s">
        <v>157</v>
      </c>
      <c r="B593">
        <v>33</v>
      </c>
      <c r="C593" t="s">
        <v>23</v>
      </c>
      <c r="D593" s="4">
        <v>45881</v>
      </c>
      <c r="E593" s="6">
        <v>84.45</v>
      </c>
      <c r="F593" s="7">
        <f t="shared" si="3054"/>
        <v>23.893730194658218</v>
      </c>
      <c r="G593" s="9">
        <v>0.14199999999999999</v>
      </c>
      <c r="H593" s="6">
        <f t="shared" si="3055"/>
        <v>72.458100000000002</v>
      </c>
      <c r="I593" s="6">
        <f t="shared" si="3056"/>
        <v>22.495049999999992</v>
      </c>
      <c r="J593">
        <v>3.6</v>
      </c>
      <c r="K593" s="5">
        <v>6.5000000000000002E-2</v>
      </c>
      <c r="L593" s="17">
        <v>2081</v>
      </c>
      <c r="M593" s="5">
        <v>0.54900000000000004</v>
      </c>
      <c r="N593" s="6">
        <f t="shared" si="3057"/>
        <v>11.991899999999999</v>
      </c>
      <c r="O593" s="21">
        <f t="shared" si="3058"/>
        <v>46.363050000000008</v>
      </c>
      <c r="P593" s="8">
        <f t="shared" si="3019"/>
        <v>46.323800000000006</v>
      </c>
      <c r="Q593" s="8">
        <f t="shared" si="3059"/>
        <v>61.954950000000011</v>
      </c>
      <c r="R593" s="6">
        <f t="shared" si="3060"/>
        <v>22.495049999999992</v>
      </c>
      <c r="S593" s="6">
        <f t="shared" si="3061"/>
        <v>5.4892500000000002</v>
      </c>
      <c r="T593" s="6">
        <f t="shared" si="3062"/>
        <v>1.3502499999999955</v>
      </c>
      <c r="U593" s="6">
        <f t="shared" si="3063"/>
        <v>-0.83690000000000175</v>
      </c>
      <c r="V593" s="6">
        <f t="shared" si="3064"/>
        <v>4.9999999999997158E-2</v>
      </c>
      <c r="W593" s="9">
        <f>Tabla1[[#This Row],[Protein]]/Tabla1[[#This Row],[Peso (Kg)]]</f>
        <v>0.26637122557726456</v>
      </c>
      <c r="X593" s="9">
        <f t="shared" si="2738"/>
        <v>0.26366111065389963</v>
      </c>
      <c r="Y593" s="6">
        <f t="shared" si="3065"/>
        <v>38.086949999999995</v>
      </c>
      <c r="Z593" s="6">
        <f t="shared" ref="Z593" si="3069">AVERAGE(E587:E593)</f>
        <v>84.071428571428584</v>
      </c>
      <c r="AA593" s="6">
        <f t="shared" ref="AA593" si="3070">AVERAGE(N587:N593)</f>
        <v>12.012592857142858</v>
      </c>
      <c r="AB593" s="6">
        <f t="shared" ref="AB593" si="3071">AVERAGE(R587:R593)</f>
        <v>22.163607142857135</v>
      </c>
      <c r="AC593" s="6">
        <f t="shared" si="3047"/>
        <v>0.96973613649260493</v>
      </c>
      <c r="AD593" s="42">
        <f>Tabla1[[#This Row],[Avg Agua)]]/Tabla1[[#This Row],[Avg Musculo]]</f>
        <v>2.0900839696993634</v>
      </c>
      <c r="AE593" t="s">
        <v>168</v>
      </c>
    </row>
    <row r="594" spans="1:31" x14ac:dyDescent="0.3">
      <c r="A594" t="s">
        <v>157</v>
      </c>
      <c r="B594">
        <v>33</v>
      </c>
      <c r="C594" t="s">
        <v>24</v>
      </c>
      <c r="D594" s="4">
        <v>45882</v>
      </c>
      <c r="E594" s="6">
        <v>84.35</v>
      </c>
      <c r="F594" s="7">
        <f t="shared" si="3054"/>
        <v>23.865436849253054</v>
      </c>
      <c r="G594" s="9">
        <v>0.14099999999999999</v>
      </c>
      <c r="H594" s="6">
        <f t="shared" si="3055"/>
        <v>72.456649999999996</v>
      </c>
      <c r="I594" s="6">
        <f t="shared" si="3056"/>
        <v>23.138949999999994</v>
      </c>
      <c r="J594">
        <v>3.6</v>
      </c>
      <c r="K594" s="5">
        <v>6.5000000000000002E-2</v>
      </c>
      <c r="L594" s="17">
        <v>2080</v>
      </c>
      <c r="M594" s="5">
        <v>0.54200000000000004</v>
      </c>
      <c r="N594" s="6">
        <f t="shared" si="3057"/>
        <v>11.893349999999998</v>
      </c>
      <c r="O594" s="21">
        <f t="shared" si="3058"/>
        <v>45.717700000000001</v>
      </c>
      <c r="P594" s="8">
        <f t="shared" si="3019"/>
        <v>46.271071428571425</v>
      </c>
      <c r="Q594" s="8">
        <f t="shared" si="3059"/>
        <v>61.21105</v>
      </c>
      <c r="R594" s="6">
        <f t="shared" si="3060"/>
        <v>23.138949999999994</v>
      </c>
      <c r="S594" s="6">
        <f t="shared" si="3061"/>
        <v>5.4827500000000002</v>
      </c>
      <c r="T594" s="6">
        <f t="shared" si="3062"/>
        <v>0.64390000000000214</v>
      </c>
      <c r="U594" s="6">
        <f t="shared" si="3063"/>
        <v>-9.8550000000001248E-2</v>
      </c>
      <c r="V594" s="6">
        <f t="shared" si="3064"/>
        <v>-0.10000000000000853</v>
      </c>
      <c r="W594" s="9">
        <f>Tabla1[[#This Row],[Protein]]/Tabla1[[#This Row],[Peso (Kg)]]</f>
        <v>0.27432068761114398</v>
      </c>
      <c r="X594" s="9">
        <f t="shared" si="2738"/>
        <v>0.26496494932911147</v>
      </c>
      <c r="Y594" s="6">
        <f t="shared" si="3065"/>
        <v>38.632299999999994</v>
      </c>
      <c r="Z594" s="6">
        <f t="shared" ref="Z594:Z596" si="3072">AVERAGE(E588:E594)</f>
        <v>84.107142857142861</v>
      </c>
      <c r="AA594" s="6">
        <f t="shared" ref="AA594" si="3073">AVERAGE(N588:N594)</f>
        <v>11.981585714285714</v>
      </c>
      <c r="AB594" s="6">
        <f t="shared" ref="AB594" si="3074">AVERAGE(R588:R594)</f>
        <v>22.283057142857135</v>
      </c>
      <c r="AC594" s="6">
        <f t="shared" si="3047"/>
        <v>0.53894656781305894</v>
      </c>
      <c r="AD594" s="42">
        <f>Tabla1[[#This Row],[Avg Agua)]]/Tabla1[[#This Row],[Avg Musculo]]</f>
        <v>2.0765136099560593</v>
      </c>
      <c r="AE594" t="s">
        <v>169</v>
      </c>
    </row>
    <row r="595" spans="1:31" x14ac:dyDescent="0.3">
      <c r="A595" t="s">
        <v>157</v>
      </c>
      <c r="B595">
        <v>33</v>
      </c>
      <c r="C595" t="s">
        <v>26</v>
      </c>
      <c r="D595" s="4">
        <v>45886</v>
      </c>
      <c r="E595" s="6">
        <v>84.8</v>
      </c>
      <c r="F595" s="7">
        <f t="shared" si="3054"/>
        <v>23.992756903576279</v>
      </c>
      <c r="G595" s="9">
        <v>0.14599999999999999</v>
      </c>
      <c r="H595" s="6">
        <f t="shared" si="3055"/>
        <v>72.419200000000004</v>
      </c>
      <c r="I595" s="6">
        <f t="shared" si="3056"/>
        <v>22.348799999999997</v>
      </c>
      <c r="J595">
        <v>3.6</v>
      </c>
      <c r="K595" s="5">
        <v>7.0000000000000007E-2</v>
      </c>
      <c r="L595" s="17">
        <v>2081</v>
      </c>
      <c r="M595" s="5">
        <v>0.54800000000000004</v>
      </c>
      <c r="N595" s="6">
        <f t="shared" si="3057"/>
        <v>12.380799999999999</v>
      </c>
      <c r="O595" s="21">
        <f t="shared" si="3058"/>
        <v>46.470400000000005</v>
      </c>
      <c r="P595" s="8">
        <f t="shared" si="3019"/>
        <v>46.309935714285714</v>
      </c>
      <c r="Q595" s="8">
        <f t="shared" si="3059"/>
        <v>62.4512</v>
      </c>
      <c r="R595" s="6">
        <f t="shared" si="3060"/>
        <v>22.348799999999997</v>
      </c>
      <c r="S595" s="6">
        <f t="shared" si="3061"/>
        <v>5.9359999999999999</v>
      </c>
      <c r="T595" s="6">
        <f t="shared" si="3062"/>
        <v>-0.79014999999999702</v>
      </c>
      <c r="U595" s="6">
        <f t="shared" si="3063"/>
        <v>0.48745000000000083</v>
      </c>
      <c r="V595" s="6">
        <f t="shared" si="3064"/>
        <v>0.45000000000000284</v>
      </c>
      <c r="W595" s="9">
        <f>Tabla1[[#This Row],[Protein]]/Tabla1[[#This Row],[Peso (Kg)]]</f>
        <v>0.2635471698113207</v>
      </c>
      <c r="X595" s="9">
        <f t="shared" si="2738"/>
        <v>0.2650117948254575</v>
      </c>
      <c r="Y595" s="6">
        <f t="shared" si="3065"/>
        <v>38.329599999999999</v>
      </c>
      <c r="Z595" s="6">
        <f t="shared" si="3072"/>
        <v>84.2</v>
      </c>
      <c r="AA595" s="6">
        <f t="shared" ref="AA595:AA596" si="3075">AVERAGE(N589:N595)</f>
        <v>12.007164285714286</v>
      </c>
      <c r="AB595" s="6">
        <f t="shared" ref="AB595:AB596" si="3076">AVERAGE(R589:R595)</f>
        <v>22.311471428571426</v>
      </c>
      <c r="AC595" s="6">
        <f t="shared" ref="AC595:AC600" si="3077">100*(AB595/AB594-1)</f>
        <v>0.12751520373586178</v>
      </c>
      <c r="AD595" s="42">
        <f>Tabla1[[#This Row],[Avg Agua)]]/Tabla1[[#This Row],[Avg Musculo]]</f>
        <v>2.0756110085586981</v>
      </c>
      <c r="AE595" t="s">
        <v>170</v>
      </c>
    </row>
    <row r="596" spans="1:31" x14ac:dyDescent="0.3">
      <c r="A596" t="s">
        <v>157</v>
      </c>
      <c r="B596">
        <v>34</v>
      </c>
      <c r="C596" t="s">
        <v>21</v>
      </c>
      <c r="D596" s="4">
        <v>45887</v>
      </c>
      <c r="E596" s="6">
        <v>84.1</v>
      </c>
      <c r="F596" s="7">
        <f t="shared" si="3054"/>
        <v>23.794703485740154</v>
      </c>
      <c r="G596" s="9">
        <v>0.14099999999999999</v>
      </c>
      <c r="H596" s="6">
        <f t="shared" si="3055"/>
        <v>72.241900000000001</v>
      </c>
      <c r="I596" s="6">
        <f t="shared" si="3056"/>
        <v>23.396099999999997</v>
      </c>
      <c r="J596">
        <v>3.6</v>
      </c>
      <c r="K596" s="5">
        <v>6.5000000000000002E-2</v>
      </c>
      <c r="L596" s="17">
        <v>2074</v>
      </c>
      <c r="M596" s="5">
        <v>0.53800000000000003</v>
      </c>
      <c r="N596" s="6">
        <f t="shared" si="3057"/>
        <v>11.858099999999999</v>
      </c>
      <c r="O596" s="21">
        <f t="shared" si="3058"/>
        <v>45.245800000000003</v>
      </c>
      <c r="P596" s="8">
        <f t="shared" si="3019"/>
        <v>46.081907142857141</v>
      </c>
      <c r="Q596" s="8">
        <f t="shared" si="3059"/>
        <v>60.703899999999997</v>
      </c>
      <c r="R596" s="6">
        <f t="shared" si="3060"/>
        <v>23.396099999999997</v>
      </c>
      <c r="S596" s="6">
        <f t="shared" si="3061"/>
        <v>5.4664999999999999</v>
      </c>
      <c r="T596" s="6">
        <f t="shared" si="3062"/>
        <v>1.0472999999999999</v>
      </c>
      <c r="U596" s="6">
        <f t="shared" si="3063"/>
        <v>-0.52270000000000039</v>
      </c>
      <c r="V596" s="6">
        <f t="shared" si="3064"/>
        <v>-0.70000000000000284</v>
      </c>
      <c r="W596" s="9">
        <f>Tabla1[[#This Row],[Protein]]/Tabla1[[#This Row],[Peso (Kg)]]</f>
        <v>0.2781938168846611</v>
      </c>
      <c r="X596" s="9">
        <f t="shared" ref="X596:X666" si="3078">AVERAGE(W590:W596)</f>
        <v>0.26841862987126902</v>
      </c>
      <c r="Y596" s="6">
        <f t="shared" si="3065"/>
        <v>38.854199999999999</v>
      </c>
      <c r="Z596" s="6">
        <f t="shared" si="3072"/>
        <v>84.157142857142858</v>
      </c>
      <c r="AA596" s="6">
        <f t="shared" si="3075"/>
        <v>11.916721428571426</v>
      </c>
      <c r="AB596" s="6">
        <f t="shared" si="3076"/>
        <v>22.587085714285706</v>
      </c>
      <c r="AC596" s="6">
        <f t="shared" si="3077"/>
        <v>1.235303043981828</v>
      </c>
      <c r="AD596" s="42">
        <f>Tabla1[[#This Row],[Avg Agua)]]/Tabla1[[#This Row],[Avg Musculo]]</f>
        <v>2.0401882618133249</v>
      </c>
    </row>
    <row r="597" spans="1:31" x14ac:dyDescent="0.3">
      <c r="A597" t="s">
        <v>157</v>
      </c>
      <c r="B597">
        <v>34</v>
      </c>
      <c r="C597" t="s">
        <v>23</v>
      </c>
      <c r="D597" s="4">
        <v>45888</v>
      </c>
      <c r="E597" s="6">
        <v>83.9</v>
      </c>
      <c r="F597" s="7">
        <f t="shared" si="3054"/>
        <v>23.738116794929837</v>
      </c>
      <c r="G597" s="9">
        <v>0.14299999999999999</v>
      </c>
      <c r="H597" s="6">
        <f t="shared" si="3055"/>
        <v>71.902300000000011</v>
      </c>
      <c r="I597" s="6">
        <f t="shared" si="3056"/>
        <v>23.415800000000004</v>
      </c>
      <c r="J597">
        <v>3.6</v>
      </c>
      <c r="K597" s="5">
        <v>6.5000000000000002E-2</v>
      </c>
      <c r="L597" s="17">
        <v>2065</v>
      </c>
      <c r="M597" s="5">
        <v>0.53500000000000003</v>
      </c>
      <c r="N597" s="6">
        <f t="shared" si="3057"/>
        <v>11.9977</v>
      </c>
      <c r="O597" s="21">
        <f t="shared" si="3058"/>
        <v>44.886500000000005</v>
      </c>
      <c r="P597" s="8">
        <f t="shared" si="3019"/>
        <v>45.917835714285722</v>
      </c>
      <c r="Q597" s="8">
        <f t="shared" si="3059"/>
        <v>60.484200000000001</v>
      </c>
      <c r="R597" s="6">
        <f t="shared" si="3060"/>
        <v>23.415800000000004</v>
      </c>
      <c r="S597" s="6">
        <f t="shared" si="3061"/>
        <v>5.4535000000000009</v>
      </c>
      <c r="T597" s="6">
        <f t="shared" si="3062"/>
        <v>1.9700000000007378E-2</v>
      </c>
      <c r="U597" s="6">
        <f t="shared" si="3063"/>
        <v>0.1396000000000015</v>
      </c>
      <c r="V597" s="6">
        <f t="shared" si="3064"/>
        <v>-0.19999999999998863</v>
      </c>
      <c r="W597" s="9">
        <f>Tabla1[[#This Row],[Protein]]/Tabla1[[#This Row],[Peso (Kg)]]</f>
        <v>0.27909177592371875</v>
      </c>
      <c r="X597" s="9">
        <f t="shared" si="3078"/>
        <v>0.27011974208293527</v>
      </c>
      <c r="Y597" s="6">
        <f t="shared" si="3065"/>
        <v>39.013500000000008</v>
      </c>
      <c r="Z597" s="6">
        <f t="shared" ref="Z597" si="3079">AVERAGE(E591:E597)</f>
        <v>84.185714285714283</v>
      </c>
      <c r="AA597" s="6">
        <f t="shared" ref="AA597" si="3080">AVERAGE(N591:N597)</f>
        <v>11.944721428571427</v>
      </c>
      <c r="AB597" s="6">
        <f t="shared" ref="AB597" si="3081">AVERAGE(R591:R597)</f>
        <v>22.737442857142849</v>
      </c>
      <c r="AC597" s="6">
        <f t="shared" si="3077"/>
        <v>0.66567747941934652</v>
      </c>
      <c r="AD597" s="42">
        <f>Tabla1[[#This Row],[Avg Agua)]]/Tabla1[[#This Row],[Avg Musculo]]</f>
        <v>2.0194810824938862</v>
      </c>
    </row>
    <row r="598" spans="1:31" x14ac:dyDescent="0.3">
      <c r="A598" t="s">
        <v>157</v>
      </c>
      <c r="B598">
        <v>34</v>
      </c>
      <c r="C598" t="s">
        <v>24</v>
      </c>
      <c r="D598" s="4">
        <v>45889</v>
      </c>
      <c r="E598" s="6">
        <v>84.05</v>
      </c>
      <c r="F598" s="7">
        <f t="shared" ref="F598:F603" si="3082">E598/(1.88^2)</f>
        <v>23.780556813037574</v>
      </c>
      <c r="G598" s="9">
        <v>0.14499999999999999</v>
      </c>
      <c r="H598" s="6">
        <f t="shared" ref="H598:H603" si="3083">E598-N598</f>
        <v>71.862750000000005</v>
      </c>
      <c r="I598" s="6">
        <f t="shared" ref="I598:I603" si="3084">E598-N598-O598-J598</f>
        <v>22.723600000000005</v>
      </c>
      <c r="J598">
        <v>3.5</v>
      </c>
      <c r="K598" s="5">
        <v>6.5000000000000002E-2</v>
      </c>
      <c r="L598" s="17">
        <v>2063</v>
      </c>
      <c r="M598" s="5">
        <v>0.54300000000000004</v>
      </c>
      <c r="N598" s="6">
        <f t="shared" ref="N598:N603" si="3085">E598*G598</f>
        <v>12.187249999999999</v>
      </c>
      <c r="O598" s="21">
        <f t="shared" ref="O598:O603" si="3086">M598*E598</f>
        <v>45.639150000000001</v>
      </c>
      <c r="P598" s="8">
        <f t="shared" si="3019"/>
        <v>45.892714285714291</v>
      </c>
      <c r="Q598" s="8">
        <f t="shared" ref="Q598:Q603" si="3087">E598-R598</f>
        <v>61.326399999999992</v>
      </c>
      <c r="R598" s="6">
        <f t="shared" ref="R598:R603" si="3088">I598</f>
        <v>22.723600000000005</v>
      </c>
      <c r="S598" s="6">
        <f t="shared" ref="S598:S603" si="3089">K598*E598</f>
        <v>5.4632500000000004</v>
      </c>
      <c r="T598" s="6">
        <f t="shared" ref="T598:T603" si="3090">I598-I597</f>
        <v>-0.6921999999999997</v>
      </c>
      <c r="U598" s="6">
        <f t="shared" ref="U598:U603" si="3091">N598-N597</f>
        <v>0.18954999999999878</v>
      </c>
      <c r="V598" s="6">
        <f t="shared" ref="V598:V603" si="3092">E598-E597</f>
        <v>0.14999999999999147</v>
      </c>
      <c r="W598" s="9">
        <f>Tabla1[[#This Row],[Protein]]/Tabla1[[#This Row],[Peso (Kg)]]</f>
        <v>0.27035812016656757</v>
      </c>
      <c r="X598" s="9">
        <f t="shared" si="3078"/>
        <v>0.26891622880884009</v>
      </c>
      <c r="Y598" s="6">
        <f t="shared" ref="Y598:Y603" si="3093">R598+N598+J598</f>
        <v>38.410850000000003</v>
      </c>
      <c r="Z598" s="6">
        <f t="shared" ref="Z598" si="3094">AVERAGE(E592:E598)</f>
        <v>84.29285714285713</v>
      </c>
      <c r="AA598" s="6">
        <f t="shared" ref="AA598" si="3095">AVERAGE(N592:N598)</f>
        <v>12.162557142857143</v>
      </c>
      <c r="AB598" s="6">
        <f t="shared" ref="AB598" si="3096">AVERAGE(R592:R598)</f>
        <v>22.666157142857145</v>
      </c>
      <c r="AC598" s="6">
        <f t="shared" si="3077"/>
        <v>-0.31351684854618034</v>
      </c>
      <c r="AD598" s="42">
        <f>Tabla1[[#This Row],[Avg Agua)]]/Tabla1[[#This Row],[Avg Musculo]]</f>
        <v>2.0247240851842681</v>
      </c>
      <c r="AE598" t="s">
        <v>171</v>
      </c>
    </row>
    <row r="599" spans="1:31" x14ac:dyDescent="0.3">
      <c r="A599" t="s">
        <v>157</v>
      </c>
      <c r="B599">
        <v>34</v>
      </c>
      <c r="C599" t="s">
        <v>22</v>
      </c>
      <c r="D599" s="4">
        <v>45890</v>
      </c>
      <c r="E599" s="6">
        <v>84.6</v>
      </c>
      <c r="F599" s="7">
        <f t="shared" si="3082"/>
        <v>23.936170212765958</v>
      </c>
      <c r="G599" s="9">
        <v>0.152</v>
      </c>
      <c r="H599" s="6">
        <f t="shared" si="3083"/>
        <v>71.740799999999993</v>
      </c>
      <c r="I599" s="6">
        <f t="shared" si="3084"/>
        <v>21.795399999999994</v>
      </c>
      <c r="J599">
        <v>3.5</v>
      </c>
      <c r="K599" s="5">
        <v>7.0000000000000007E-2</v>
      </c>
      <c r="L599" s="17">
        <v>2062</v>
      </c>
      <c r="M599" s="5">
        <v>0.54900000000000004</v>
      </c>
      <c r="N599" s="6">
        <f t="shared" si="3085"/>
        <v>12.8592</v>
      </c>
      <c r="O599" s="21">
        <f t="shared" si="3086"/>
        <v>46.445399999999999</v>
      </c>
      <c r="P599" s="8">
        <f t="shared" si="3019"/>
        <v>45.824000000000005</v>
      </c>
      <c r="Q599" s="8">
        <f t="shared" si="3087"/>
        <v>62.804600000000001</v>
      </c>
      <c r="R599" s="6">
        <f t="shared" si="3088"/>
        <v>21.795399999999994</v>
      </c>
      <c r="S599" s="6">
        <f t="shared" si="3089"/>
        <v>5.9220000000000006</v>
      </c>
      <c r="T599" s="6">
        <f t="shared" si="3090"/>
        <v>-0.92820000000001102</v>
      </c>
      <c r="U599" s="6">
        <f t="shared" si="3091"/>
        <v>0.67195000000000071</v>
      </c>
      <c r="V599" s="6">
        <f t="shared" si="3092"/>
        <v>0.54999999999999716</v>
      </c>
      <c r="W599" s="9">
        <f>Tabla1[[#This Row],[Protein]]/Tabla1[[#This Row],[Peso (Kg)]]</f>
        <v>0.25762884160756494</v>
      </c>
      <c r="X599" s="9">
        <f t="shared" si="3078"/>
        <v>0.26993023394032029</v>
      </c>
      <c r="Y599" s="6">
        <f t="shared" si="3093"/>
        <v>38.154599999999995</v>
      </c>
      <c r="Z599" s="6">
        <f t="shared" ref="Z599" si="3097">AVERAGE(E593:E599)</f>
        <v>84.321428571428569</v>
      </c>
      <c r="AA599" s="6">
        <f t="shared" ref="AA599" si="3098">AVERAGE(N593:N599)</f>
        <v>12.1669</v>
      </c>
      <c r="AB599" s="6">
        <f t="shared" ref="AB599" si="3099">AVERAGE(R593:R599)</f>
        <v>22.7591</v>
      </c>
      <c r="AC599" s="6">
        <f t="shared" si="3077"/>
        <v>0.41005123434496582</v>
      </c>
      <c r="AD599" s="42">
        <f>Tabla1[[#This Row],[Avg Agua)]]/Tabla1[[#This Row],[Avg Musculo]]</f>
        <v>2.0134363836882829</v>
      </c>
      <c r="AE599" t="s">
        <v>168</v>
      </c>
    </row>
    <row r="600" spans="1:31" x14ac:dyDescent="0.3">
      <c r="A600" t="s">
        <v>157</v>
      </c>
      <c r="B600">
        <v>34</v>
      </c>
      <c r="C600" t="s">
        <v>20</v>
      </c>
      <c r="D600" s="4">
        <v>45891</v>
      </c>
      <c r="E600" s="6">
        <v>84.25</v>
      </c>
      <c r="F600" s="7">
        <f t="shared" si="3082"/>
        <v>23.837143503847898</v>
      </c>
      <c r="G600" s="9">
        <v>0.14799999999999999</v>
      </c>
      <c r="H600" s="6">
        <f t="shared" si="3083"/>
        <v>71.781000000000006</v>
      </c>
      <c r="I600" s="6">
        <f t="shared" si="3084"/>
        <v>22.364750000000001</v>
      </c>
      <c r="J600">
        <v>3.5</v>
      </c>
      <c r="K600" s="5">
        <v>7.0000000000000007E-2</v>
      </c>
      <c r="L600" s="17">
        <v>2062</v>
      </c>
      <c r="M600" s="5">
        <v>0.54500000000000004</v>
      </c>
      <c r="N600" s="6">
        <f t="shared" si="3085"/>
        <v>12.468999999999999</v>
      </c>
      <c r="O600" s="21">
        <f t="shared" si="3086"/>
        <v>45.916250000000005</v>
      </c>
      <c r="P600" s="8">
        <f t="shared" si="3019"/>
        <v>45.760171428571425</v>
      </c>
      <c r="Q600" s="8">
        <f t="shared" si="3087"/>
        <v>61.885249999999999</v>
      </c>
      <c r="R600" s="6">
        <f t="shared" si="3088"/>
        <v>22.364750000000001</v>
      </c>
      <c r="S600" s="6">
        <f t="shared" si="3089"/>
        <v>5.8975000000000009</v>
      </c>
      <c r="T600" s="6">
        <f t="shared" si="3090"/>
        <v>0.56935000000000713</v>
      </c>
      <c r="U600" s="6">
        <f t="shared" si="3091"/>
        <v>-0.3902000000000001</v>
      </c>
      <c r="V600" s="6">
        <f t="shared" si="3092"/>
        <v>-0.34999999999999432</v>
      </c>
      <c r="W600" s="9">
        <f>Tabla1[[#This Row],[Protein]]/Tabla1[[#This Row],[Peso (Kg)]]</f>
        <v>0.26545697329376855</v>
      </c>
      <c r="X600" s="9">
        <f t="shared" si="3078"/>
        <v>0.26979962647124939</v>
      </c>
      <c r="Y600" s="6">
        <f t="shared" si="3093"/>
        <v>38.333750000000002</v>
      </c>
      <c r="Z600" s="6">
        <f t="shared" ref="Z600" si="3100">AVERAGE(E594:E600)</f>
        <v>84.29285714285713</v>
      </c>
      <c r="AA600" s="6">
        <f t="shared" ref="AA600" si="3101">AVERAGE(N594:N600)</f>
        <v>12.235057142857142</v>
      </c>
      <c r="AB600" s="6">
        <f t="shared" ref="AB600" si="3102">AVERAGE(R594:R600)</f>
        <v>22.740485714285715</v>
      </c>
      <c r="AC600" s="6">
        <f t="shared" si="3077"/>
        <v>-8.1788320778442003E-2</v>
      </c>
      <c r="AD600" s="42">
        <f>Tabla1[[#This Row],[Avg Agua)]]/Tabla1[[#This Row],[Avg Musculo]]</f>
        <v>2.0122776621180347</v>
      </c>
    </row>
    <row r="601" spans="1:31" x14ac:dyDescent="0.3">
      <c r="A601" t="s">
        <v>174</v>
      </c>
      <c r="B601">
        <v>35</v>
      </c>
      <c r="C601" t="s">
        <v>21</v>
      </c>
      <c r="D601" s="4">
        <v>45894</v>
      </c>
      <c r="E601" s="6">
        <v>85.2</v>
      </c>
      <c r="F601" s="7">
        <f t="shared" si="3082"/>
        <v>24.105930285196923</v>
      </c>
      <c r="G601" s="9">
        <v>0.153</v>
      </c>
      <c r="H601" s="6">
        <f t="shared" si="3083"/>
        <v>72.164400000000001</v>
      </c>
      <c r="I601" s="6">
        <f t="shared" si="3084"/>
        <v>21.363599999999991</v>
      </c>
      <c r="J601">
        <v>3.6</v>
      </c>
      <c r="K601" s="5">
        <v>7.0000000000000007E-2</v>
      </c>
      <c r="L601" s="17">
        <v>2076</v>
      </c>
      <c r="M601" s="5">
        <v>0.55400000000000005</v>
      </c>
      <c r="N601" s="6">
        <f t="shared" si="3085"/>
        <v>13.035600000000001</v>
      </c>
      <c r="O601" s="21">
        <f t="shared" si="3086"/>
        <v>47.200800000000008</v>
      </c>
      <c r="P601" s="8">
        <f t="shared" si="3019"/>
        <v>45.972042857142867</v>
      </c>
      <c r="Q601" s="8">
        <f t="shared" si="3087"/>
        <v>63.836400000000012</v>
      </c>
      <c r="R601" s="6">
        <f t="shared" si="3088"/>
        <v>21.363599999999991</v>
      </c>
      <c r="S601" s="6">
        <f t="shared" si="3089"/>
        <v>5.9640000000000004</v>
      </c>
      <c r="T601" s="6">
        <f t="shared" si="3090"/>
        <v>-1.0011500000000098</v>
      </c>
      <c r="U601" s="6">
        <f t="shared" si="3091"/>
        <v>0.5666000000000011</v>
      </c>
      <c r="V601" s="6">
        <f t="shared" si="3092"/>
        <v>0.95000000000000284</v>
      </c>
      <c r="W601" s="9">
        <f>Tabla1[[#This Row],[Protein]]/Tabla1[[#This Row],[Peso (Kg)]]</f>
        <v>0.25074647887323931</v>
      </c>
      <c r="X601" s="9">
        <f t="shared" si="3078"/>
        <v>0.26643188236583443</v>
      </c>
      <c r="Y601" s="6">
        <f t="shared" si="3093"/>
        <v>37.999199999999995</v>
      </c>
      <c r="Z601" s="6">
        <f t="shared" ref="Z601" si="3103">AVERAGE(E595:E601)</f>
        <v>84.414285714285711</v>
      </c>
      <c r="AA601" s="6">
        <f t="shared" ref="AA601" si="3104">AVERAGE(N595:N601)</f>
        <v>12.398235714285715</v>
      </c>
      <c r="AB601" s="6">
        <f t="shared" ref="AB601" si="3105">AVERAGE(R595:R601)</f>
        <v>22.486864285714283</v>
      </c>
      <c r="AC601" s="6">
        <f t="shared" ref="AC601:AC607" si="3106">100*(AB601/AB600-1)</f>
        <v>-1.1152858903629492</v>
      </c>
      <c r="AD601" s="42">
        <f>Tabla1[[#This Row],[Avg Agua)]]/Tabla1[[#This Row],[Avg Musculo]]</f>
        <v>2.044395442291548</v>
      </c>
      <c r="AE601" t="s">
        <v>175</v>
      </c>
    </row>
    <row r="602" spans="1:31" x14ac:dyDescent="0.3">
      <c r="A602" t="s">
        <v>174</v>
      </c>
      <c r="B602">
        <v>35</v>
      </c>
      <c r="C602" t="s">
        <v>23</v>
      </c>
      <c r="D602" s="4">
        <v>45895</v>
      </c>
      <c r="E602" s="6">
        <v>83.6</v>
      </c>
      <c r="F602" s="7">
        <f t="shared" si="3082"/>
        <v>23.65323675871435</v>
      </c>
      <c r="G602" s="9">
        <v>0.13500000000000001</v>
      </c>
      <c r="H602" s="6">
        <f t="shared" si="3083"/>
        <v>72.313999999999993</v>
      </c>
      <c r="I602" s="6">
        <f t="shared" si="3084"/>
        <v>23.235599999999991</v>
      </c>
      <c r="J602">
        <v>3.6</v>
      </c>
      <c r="K602" s="5">
        <v>6.5000000000000002E-2</v>
      </c>
      <c r="L602" s="17">
        <v>2074</v>
      </c>
      <c r="M602" s="5">
        <v>0.54400000000000004</v>
      </c>
      <c r="N602" s="6">
        <f t="shared" si="3085"/>
        <v>11.286</v>
      </c>
      <c r="O602" s="21">
        <f t="shared" si="3086"/>
        <v>45.478400000000001</v>
      </c>
      <c r="P602" s="8">
        <f t="shared" si="3019"/>
        <v>45.830328571428581</v>
      </c>
      <c r="Q602" s="8">
        <f t="shared" si="3087"/>
        <v>60.364400000000003</v>
      </c>
      <c r="R602" s="6">
        <f t="shared" si="3088"/>
        <v>23.235599999999991</v>
      </c>
      <c r="S602" s="6">
        <f t="shared" si="3089"/>
        <v>5.4340000000000002</v>
      </c>
      <c r="T602" s="6">
        <f t="shared" si="3090"/>
        <v>1.8719999999999999</v>
      </c>
      <c r="U602" s="6">
        <f t="shared" si="3091"/>
        <v>-1.7496000000000009</v>
      </c>
      <c r="V602" s="6">
        <f t="shared" si="3092"/>
        <v>-1.6000000000000085</v>
      </c>
      <c r="W602" s="9">
        <f>Tabla1[[#This Row],[Protein]]/Tabla1[[#This Row],[Peso (Kg)]]</f>
        <v>0.27793779904306209</v>
      </c>
      <c r="X602" s="9">
        <f t="shared" si="3078"/>
        <v>0.2684876865417975</v>
      </c>
      <c r="Y602" s="6">
        <f t="shared" si="3093"/>
        <v>38.121599999999994</v>
      </c>
      <c r="Z602" s="6">
        <f t="shared" ref="Z602" si="3107">AVERAGE(E596:E602)</f>
        <v>84.242857142857133</v>
      </c>
      <c r="AA602" s="6">
        <f t="shared" ref="AA602" si="3108">AVERAGE(N596:N602)</f>
        <v>12.241835714285713</v>
      </c>
      <c r="AB602" s="6">
        <f t="shared" ref="AB602" si="3109">AVERAGE(R596:R602)</f>
        <v>22.61355</v>
      </c>
      <c r="AC602" s="6">
        <f t="shared" si="3106"/>
        <v>0.56337652362761226</v>
      </c>
      <c r="AD602" s="42">
        <f>Tabla1[[#This Row],[Avg Agua)]]/Tabla1[[#This Row],[Avg Musculo]]</f>
        <v>2.0266755361908495</v>
      </c>
    </row>
    <row r="603" spans="1:31" x14ac:dyDescent="0.3">
      <c r="A603" t="s">
        <v>174</v>
      </c>
      <c r="B603">
        <v>35</v>
      </c>
      <c r="C603" t="s">
        <v>24</v>
      </c>
      <c r="D603" s="4">
        <v>45896</v>
      </c>
      <c r="E603" s="6">
        <v>83.35</v>
      </c>
      <c r="F603" s="7">
        <f t="shared" si="3082"/>
        <v>23.582503395201449</v>
      </c>
      <c r="G603" s="9">
        <v>0.13800000000000001</v>
      </c>
      <c r="H603" s="6">
        <f t="shared" si="3083"/>
        <v>71.847699999999989</v>
      </c>
      <c r="I603" s="6">
        <f t="shared" si="3084"/>
        <v>23.17199999999999</v>
      </c>
      <c r="J603">
        <v>3.5</v>
      </c>
      <c r="K603" s="5">
        <v>6.5000000000000002E-2</v>
      </c>
      <c r="L603" s="17">
        <v>2061</v>
      </c>
      <c r="M603" s="5">
        <v>0.54200000000000004</v>
      </c>
      <c r="N603" s="6">
        <f t="shared" si="3085"/>
        <v>11.5023</v>
      </c>
      <c r="O603" s="21">
        <f t="shared" si="3086"/>
        <v>45.175699999999999</v>
      </c>
      <c r="P603" s="8">
        <f t="shared" si="3019"/>
        <v>45.820314285714296</v>
      </c>
      <c r="Q603" s="8">
        <f t="shared" si="3087"/>
        <v>60.178000000000004</v>
      </c>
      <c r="R603" s="6">
        <f t="shared" si="3088"/>
        <v>23.17199999999999</v>
      </c>
      <c r="S603" s="6">
        <f t="shared" si="3089"/>
        <v>5.4177499999999998</v>
      </c>
      <c r="T603" s="6">
        <f t="shared" si="3090"/>
        <v>-6.3600000000000989E-2</v>
      </c>
      <c r="U603" s="6">
        <f t="shared" si="3091"/>
        <v>0.21630000000000038</v>
      </c>
      <c r="V603" s="6">
        <f t="shared" si="3092"/>
        <v>-0.25</v>
      </c>
      <c r="W603" s="9">
        <f>Tabla1[[#This Row],[Protein]]/Tabla1[[#This Row],[Peso (Kg)]]</f>
        <v>0.2780083983203358</v>
      </c>
      <c r="X603" s="9">
        <f t="shared" si="3078"/>
        <v>0.26846119817546532</v>
      </c>
      <c r="Y603" s="6">
        <f t="shared" si="3093"/>
        <v>38.174299999999988</v>
      </c>
      <c r="Z603" s="6">
        <f t="shared" ref="Z603" si="3110">AVERAGE(E597:E603)</f>
        <v>84.135714285714272</v>
      </c>
      <c r="AA603" s="6">
        <f t="shared" ref="AA603" si="3111">AVERAGE(N597:N603)</f>
        <v>12.191007142857144</v>
      </c>
      <c r="AB603" s="6">
        <f t="shared" ref="AB603" si="3112">AVERAGE(R597:R603)</f>
        <v>22.58153571428571</v>
      </c>
      <c r="AC603" s="6">
        <f t="shared" si="3106"/>
        <v>-0.14157125137048698</v>
      </c>
      <c r="AD603" s="42">
        <f>Tabla1[[#This Row],[Avg Agua)]]/Tabla1[[#This Row],[Avg Musculo]]</f>
        <v>2.0291053215095149</v>
      </c>
    </row>
    <row r="604" spans="1:31" x14ac:dyDescent="0.3">
      <c r="A604" t="s">
        <v>174</v>
      </c>
      <c r="B604">
        <v>35</v>
      </c>
      <c r="C604" t="s">
        <v>22</v>
      </c>
      <c r="D604" s="4">
        <v>45897</v>
      </c>
      <c r="E604" s="6">
        <v>83.85</v>
      </c>
      <c r="F604" s="7">
        <f t="shared" ref="F604:F609" si="3113">E604/(1.88^2)</f>
        <v>23.723970122227254</v>
      </c>
      <c r="G604" s="9">
        <v>0.14199999999999999</v>
      </c>
      <c r="H604" s="6">
        <f t="shared" ref="H604:H609" si="3114">E604-N604</f>
        <v>71.943299999999994</v>
      </c>
      <c r="I604" s="6">
        <f t="shared" ref="I604:I609" si="3115">E604-N604-O604-J604</f>
        <v>22.645049999999991</v>
      </c>
      <c r="J604">
        <v>3.6</v>
      </c>
      <c r="K604" s="5">
        <v>6.5000000000000002E-2</v>
      </c>
      <c r="L604" s="17">
        <v>2065</v>
      </c>
      <c r="M604" s="5">
        <v>0.54500000000000004</v>
      </c>
      <c r="N604" s="6">
        <f t="shared" ref="N604:N609" si="3116">E604*G604</f>
        <v>11.906699999999999</v>
      </c>
      <c r="O604" s="21">
        <f t="shared" ref="O604:O609" si="3117">M604*E604</f>
        <v>45.698250000000002</v>
      </c>
      <c r="P604" s="8">
        <f t="shared" si="3019"/>
        <v>45.936278571428566</v>
      </c>
      <c r="Q604" s="8">
        <f t="shared" ref="Q604:Q609" si="3118">E604-R604</f>
        <v>61.204950000000004</v>
      </c>
      <c r="R604" s="6">
        <f t="shared" ref="R604:R609" si="3119">I604</f>
        <v>22.645049999999991</v>
      </c>
      <c r="S604" s="6">
        <f t="shared" ref="S604:S609" si="3120">K604*E604</f>
        <v>5.4502499999999996</v>
      </c>
      <c r="T604" s="6">
        <f t="shared" ref="T604:T609" si="3121">I604-I603</f>
        <v>-0.52694999999999936</v>
      </c>
      <c r="U604" s="6">
        <f t="shared" ref="U604:U609" si="3122">N604-N603</f>
        <v>0.40439999999999898</v>
      </c>
      <c r="V604" s="6">
        <f t="shared" ref="V604:V609" si="3123">E604-E603</f>
        <v>0.5</v>
      </c>
      <c r="W604" s="9">
        <f>Tabla1[[#This Row],[Protein]]/Tabla1[[#This Row],[Peso (Kg)]]</f>
        <v>0.27006618962432904</v>
      </c>
      <c r="X604" s="9">
        <f t="shared" si="3078"/>
        <v>0.26717182870412393</v>
      </c>
      <c r="Y604" s="6">
        <f t="shared" ref="Y604:Y609" si="3124">R604+N604+J604</f>
        <v>38.151749999999993</v>
      </c>
      <c r="Z604" s="6">
        <f t="shared" ref="Z604" si="3125">AVERAGE(E598:E604)</f>
        <v>84.128571428571419</v>
      </c>
      <c r="AA604" s="6">
        <f t="shared" ref="AA604" si="3126">AVERAGE(N598:N604)</f>
        <v>12.178007142857144</v>
      </c>
      <c r="AB604" s="6">
        <f t="shared" ref="AB604" si="3127">AVERAGE(R598:R604)</f>
        <v>22.471428571428564</v>
      </c>
      <c r="AC604" s="6">
        <f t="shared" si="3106"/>
        <v>-0.48759811666612141</v>
      </c>
      <c r="AD604" s="42">
        <f>Tabla1[[#This Row],[Avg Agua)]]/Tabla1[[#This Row],[Avg Musculo]]</f>
        <v>2.0442082008900195</v>
      </c>
    </row>
    <row r="605" spans="1:31" x14ac:dyDescent="0.3">
      <c r="A605" t="s">
        <v>174</v>
      </c>
      <c r="B605">
        <v>35</v>
      </c>
      <c r="C605" t="s">
        <v>20</v>
      </c>
      <c r="D605" s="4">
        <v>45898</v>
      </c>
      <c r="E605" s="6">
        <v>83.8</v>
      </c>
      <c r="F605" s="7">
        <f t="shared" si="3113"/>
        <v>23.709823449524674</v>
      </c>
      <c r="G605" s="9">
        <v>0.14199999999999999</v>
      </c>
      <c r="H605" s="6">
        <f t="shared" si="3114"/>
        <v>71.900400000000005</v>
      </c>
      <c r="I605" s="6">
        <f t="shared" si="3115"/>
        <v>22.378</v>
      </c>
      <c r="J605">
        <v>3.6</v>
      </c>
      <c r="K605" s="5">
        <v>6.5000000000000002E-2</v>
      </c>
      <c r="L605" s="17">
        <v>2064</v>
      </c>
      <c r="M605" s="5">
        <v>0.54800000000000004</v>
      </c>
      <c r="N605" s="6">
        <f t="shared" si="3116"/>
        <v>11.899599999999998</v>
      </c>
      <c r="O605" s="21">
        <f t="shared" si="3117"/>
        <v>45.922400000000003</v>
      </c>
      <c r="P605" s="8">
        <f t="shared" si="3019"/>
        <v>45.97674285714286</v>
      </c>
      <c r="Q605" s="8">
        <f t="shared" si="3118"/>
        <v>61.421999999999997</v>
      </c>
      <c r="R605" s="6">
        <f t="shared" si="3119"/>
        <v>22.378</v>
      </c>
      <c r="S605" s="6">
        <f t="shared" si="3120"/>
        <v>5.4470000000000001</v>
      </c>
      <c r="T605" s="6">
        <f t="shared" si="3121"/>
        <v>-0.26704999999999046</v>
      </c>
      <c r="U605" s="6">
        <f t="shared" si="3122"/>
        <v>-7.1000000000012164E-3</v>
      </c>
      <c r="V605" s="6">
        <f t="shared" si="3123"/>
        <v>-4.9999999999997158E-2</v>
      </c>
      <c r="W605" s="9">
        <f>Tabla1[[#This Row],[Protein]]/Tabla1[[#This Row],[Peso (Kg)]]</f>
        <v>0.26704057279236276</v>
      </c>
      <c r="X605" s="9">
        <f t="shared" si="3078"/>
        <v>0.26669789336495181</v>
      </c>
      <c r="Y605" s="6">
        <f t="shared" si="3124"/>
        <v>37.877600000000001</v>
      </c>
      <c r="Z605" s="6">
        <f t="shared" ref="Z605" si="3128">AVERAGE(E599:E605)</f>
        <v>84.092857142857142</v>
      </c>
      <c r="AA605" s="6">
        <f t="shared" ref="AA605" si="3129">AVERAGE(N599:N605)</f>
        <v>12.136914285714283</v>
      </c>
      <c r="AB605" s="6">
        <f t="shared" ref="AB605" si="3130">AVERAGE(R599:R605)</f>
        <v>22.422057142857138</v>
      </c>
      <c r="AC605" s="6">
        <f t="shared" si="3106"/>
        <v>-0.21970756516209722</v>
      </c>
      <c r="AD605" s="42">
        <f>Tabla1[[#This Row],[Avg Agua)]]/Tabla1[[#This Row],[Avg Musculo]]</f>
        <v>2.050514034649555</v>
      </c>
    </row>
    <row r="606" spans="1:31" x14ac:dyDescent="0.3">
      <c r="A606" t="s">
        <v>174</v>
      </c>
      <c r="B606">
        <v>35</v>
      </c>
      <c r="C606" t="s">
        <v>121</v>
      </c>
      <c r="D606" s="4">
        <v>45899</v>
      </c>
      <c r="E606" s="6">
        <v>84</v>
      </c>
      <c r="F606" s="7">
        <f t="shared" si="3113"/>
        <v>23.766410140334994</v>
      </c>
      <c r="G606" s="9">
        <v>0.15</v>
      </c>
      <c r="H606" s="6">
        <f t="shared" si="3114"/>
        <v>71.400000000000006</v>
      </c>
      <c r="I606" s="6">
        <f t="shared" si="3115"/>
        <v>22.036000000000001</v>
      </c>
      <c r="J606">
        <v>3.5</v>
      </c>
      <c r="K606" s="5">
        <v>7.0000000000000007E-2</v>
      </c>
      <c r="L606" s="17">
        <v>2050</v>
      </c>
      <c r="M606" s="5">
        <v>0.54600000000000004</v>
      </c>
      <c r="N606" s="6">
        <f t="shared" si="3116"/>
        <v>12.6</v>
      </c>
      <c r="O606" s="21">
        <f t="shared" si="3117"/>
        <v>45.864000000000004</v>
      </c>
      <c r="P606" s="8">
        <f t="shared" si="3019"/>
        <v>45.893685714285716</v>
      </c>
      <c r="Q606" s="8">
        <f t="shared" si="3118"/>
        <v>61.963999999999999</v>
      </c>
      <c r="R606" s="6">
        <f t="shared" si="3119"/>
        <v>22.036000000000001</v>
      </c>
      <c r="S606" s="6">
        <f t="shared" si="3120"/>
        <v>5.8800000000000008</v>
      </c>
      <c r="T606" s="6">
        <f t="shared" si="3121"/>
        <v>-0.34199999999999875</v>
      </c>
      <c r="U606" s="6">
        <f t="shared" si="3122"/>
        <v>0.70040000000000191</v>
      </c>
      <c r="V606" s="6">
        <f t="shared" si="3123"/>
        <v>0.20000000000000284</v>
      </c>
      <c r="W606" s="9">
        <f>Tabla1[[#This Row],[Protein]]/Tabla1[[#This Row],[Peso (Kg)]]</f>
        <v>0.26233333333333336</v>
      </c>
      <c r="X606" s="9">
        <f t="shared" si="3078"/>
        <v>0.26736996361149012</v>
      </c>
      <c r="Y606" s="6">
        <f t="shared" si="3124"/>
        <v>38.136000000000003</v>
      </c>
      <c r="Z606" s="6">
        <f t="shared" ref="Z606" si="3131">AVERAGE(E600:E606)</f>
        <v>84.007142857142853</v>
      </c>
      <c r="AA606" s="6">
        <f t="shared" ref="AA606" si="3132">AVERAGE(N600:N606)</f>
        <v>12.099885714285714</v>
      </c>
      <c r="AB606" s="6">
        <f t="shared" ref="AB606" si="3133">AVERAGE(R600:R606)</f>
        <v>22.456428571428571</v>
      </c>
      <c r="AC606" s="6">
        <f t="shared" si="3106"/>
        <v>0.15329293094046292</v>
      </c>
      <c r="AD606" s="42">
        <f>Tabla1[[#This Row],[Avg Agua)]]/Tabla1[[#This Row],[Avg Musculo]]</f>
        <v>2.0436769617354242</v>
      </c>
      <c r="AE606" t="s">
        <v>176</v>
      </c>
    </row>
    <row r="607" spans="1:31" x14ac:dyDescent="0.3">
      <c r="A607" t="s">
        <v>174</v>
      </c>
      <c r="B607">
        <v>35</v>
      </c>
      <c r="C607" t="s">
        <v>26</v>
      </c>
      <c r="D607" s="4">
        <v>45900</v>
      </c>
      <c r="E607" s="6">
        <v>84.2</v>
      </c>
      <c r="F607" s="7">
        <f t="shared" si="3113"/>
        <v>23.822996831145318</v>
      </c>
      <c r="G607" s="9">
        <v>0.151</v>
      </c>
      <c r="H607" s="6">
        <f t="shared" si="3114"/>
        <v>71.485799999999998</v>
      </c>
      <c r="I607" s="6">
        <f t="shared" si="3115"/>
        <v>22.096799999999995</v>
      </c>
      <c r="J607">
        <v>3.5</v>
      </c>
      <c r="K607" s="5">
        <v>7.0000000000000007E-2</v>
      </c>
      <c r="L607" s="17">
        <v>2054</v>
      </c>
      <c r="M607" s="5">
        <v>0.54500000000000004</v>
      </c>
      <c r="N607" s="6">
        <f t="shared" si="3116"/>
        <v>12.7142</v>
      </c>
      <c r="O607" s="21">
        <f t="shared" si="3117"/>
        <v>45.889000000000003</v>
      </c>
      <c r="P607" s="8">
        <f t="shared" si="3019"/>
        <v>45.889792857142865</v>
      </c>
      <c r="Q607" s="8">
        <f t="shared" si="3118"/>
        <v>62.103200000000008</v>
      </c>
      <c r="R607" s="6">
        <f t="shared" si="3119"/>
        <v>22.096799999999995</v>
      </c>
      <c r="S607" s="6">
        <f t="shared" si="3120"/>
        <v>5.894000000000001</v>
      </c>
      <c r="T607" s="6">
        <f t="shared" si="3121"/>
        <v>6.0799999999993304E-2</v>
      </c>
      <c r="U607" s="6">
        <f t="shared" si="3122"/>
        <v>0.1142000000000003</v>
      </c>
      <c r="V607" s="6">
        <f t="shared" si="3123"/>
        <v>0.20000000000000284</v>
      </c>
      <c r="W607" s="9">
        <f>Tabla1[[#This Row],[Protein]]/Tabla1[[#This Row],[Peso (Kg)]]</f>
        <v>0.26243230403800466</v>
      </c>
      <c r="X607" s="9">
        <f t="shared" si="3078"/>
        <v>0.26693786800352387</v>
      </c>
      <c r="Y607" s="6">
        <f t="shared" si="3124"/>
        <v>38.310999999999993</v>
      </c>
      <c r="Z607" s="6">
        <f t="shared" ref="Z607" si="3134">AVERAGE(E601:E607)</f>
        <v>84</v>
      </c>
      <c r="AA607" s="6">
        <f t="shared" ref="AA607" si="3135">AVERAGE(N601:N607)</f>
        <v>12.134914285714286</v>
      </c>
      <c r="AB607" s="6">
        <f t="shared" ref="AB607" si="3136">AVERAGE(R601:R607)</f>
        <v>22.418149999999997</v>
      </c>
      <c r="AC607" s="6">
        <f t="shared" si="3106"/>
        <v>-0.17045707560674472</v>
      </c>
      <c r="AD607" s="42">
        <f>Tabla1[[#This Row],[Avg Agua)]]/Tabla1[[#This Row],[Avg Musculo]]</f>
        <v>2.0469928543230762</v>
      </c>
    </row>
    <row r="608" spans="1:31" x14ac:dyDescent="0.3">
      <c r="A608" t="s">
        <v>174</v>
      </c>
      <c r="B608">
        <v>36</v>
      </c>
      <c r="C608" t="s">
        <v>21</v>
      </c>
      <c r="D608" s="4">
        <v>45901</v>
      </c>
      <c r="E608" s="6">
        <v>84.5</v>
      </c>
      <c r="F608" s="7">
        <f t="shared" si="3113"/>
        <v>23.907876867360798</v>
      </c>
      <c r="G608" s="9">
        <v>0.15</v>
      </c>
      <c r="H608" s="6">
        <f t="shared" si="3114"/>
        <v>71.825000000000003</v>
      </c>
      <c r="I608" s="6">
        <f t="shared" si="3115"/>
        <v>21.765499999999996</v>
      </c>
      <c r="J608">
        <v>3.5</v>
      </c>
      <c r="K608" s="5">
        <v>7.0000000000000007E-2</v>
      </c>
      <c r="L608" s="17">
        <v>2064</v>
      </c>
      <c r="M608" s="5">
        <v>0.55100000000000005</v>
      </c>
      <c r="N608" s="6">
        <f t="shared" si="3116"/>
        <v>12.674999999999999</v>
      </c>
      <c r="O608" s="21">
        <f t="shared" si="3117"/>
        <v>46.559500000000007</v>
      </c>
      <c r="P608" s="8">
        <f t="shared" si="3019"/>
        <v>45.798178571428579</v>
      </c>
      <c r="Q608" s="8">
        <f t="shared" si="3118"/>
        <v>62.734500000000004</v>
      </c>
      <c r="R608" s="6">
        <f t="shared" si="3119"/>
        <v>21.765499999999996</v>
      </c>
      <c r="S608" s="6">
        <f t="shared" si="3120"/>
        <v>5.9150000000000009</v>
      </c>
      <c r="T608" s="6">
        <f t="shared" si="3121"/>
        <v>-0.33129999999999882</v>
      </c>
      <c r="U608" s="6">
        <f t="shared" si="3122"/>
        <v>-3.9200000000001012E-2</v>
      </c>
      <c r="V608" s="6">
        <f t="shared" si="3123"/>
        <v>0.29999999999999716</v>
      </c>
      <c r="W608" s="9">
        <f>Tabla1[[#This Row],[Protein]]/Tabla1[[#This Row],[Peso (Kg)]]</f>
        <v>0.25757988165680468</v>
      </c>
      <c r="X608" s="9">
        <f t="shared" si="3078"/>
        <v>0.26791406840117604</v>
      </c>
      <c r="Y608" s="6">
        <f t="shared" si="3124"/>
        <v>37.940499999999993</v>
      </c>
      <c r="Z608" s="6">
        <f t="shared" ref="Z608" si="3137">AVERAGE(E602:E608)</f>
        <v>83.899999999999991</v>
      </c>
      <c r="AA608" s="6">
        <f t="shared" ref="AA608" si="3138">AVERAGE(N602:N608)</f>
        <v>12.083399999999999</v>
      </c>
      <c r="AB608" s="6">
        <f t="shared" ref="AB608" si="3139">AVERAGE(R602:R608)</f>
        <v>22.475564285714281</v>
      </c>
      <c r="AC608" s="6">
        <f t="shared" ref="AC608:AC614" si="3140">100*(AB608/AB607-1)</f>
        <v>0.25610626083902854</v>
      </c>
      <c r="AD608" s="42">
        <f>Tabla1[[#This Row],[Avg Agua)]]/Tabla1[[#This Row],[Avg Musculo]]</f>
        <v>2.037687596592999</v>
      </c>
    </row>
    <row r="609" spans="1:31" x14ac:dyDescent="0.3">
      <c r="A609" t="s">
        <v>174</v>
      </c>
      <c r="B609">
        <v>36</v>
      </c>
      <c r="C609" t="s">
        <v>23</v>
      </c>
      <c r="D609" s="4">
        <v>45902</v>
      </c>
      <c r="E609" s="6">
        <v>83.3</v>
      </c>
      <c r="F609" s="7">
        <f t="shared" si="3113"/>
        <v>23.568356722498869</v>
      </c>
      <c r="G609" s="9">
        <v>0.13400000000000001</v>
      </c>
      <c r="H609" s="6">
        <f t="shared" si="3114"/>
        <v>72.137799999999999</v>
      </c>
      <c r="I609" s="6">
        <f t="shared" si="3115"/>
        <v>22.639499999999998</v>
      </c>
      <c r="J609">
        <v>3.6</v>
      </c>
      <c r="K609" s="5">
        <v>6.5000000000000002E-2</v>
      </c>
      <c r="L609" s="17">
        <v>2067</v>
      </c>
      <c r="M609" s="5">
        <v>0.55100000000000005</v>
      </c>
      <c r="N609" s="6">
        <f t="shared" si="3116"/>
        <v>11.1622</v>
      </c>
      <c r="O609" s="21">
        <f t="shared" si="3117"/>
        <v>45.898299999999999</v>
      </c>
      <c r="P609" s="8">
        <f t="shared" si="3019"/>
        <v>45.858164285714288</v>
      </c>
      <c r="Q609" s="8">
        <f t="shared" si="3118"/>
        <v>60.660499999999999</v>
      </c>
      <c r="R609" s="6">
        <f t="shared" si="3119"/>
        <v>22.639499999999998</v>
      </c>
      <c r="S609" s="6">
        <f t="shared" si="3120"/>
        <v>5.4145000000000003</v>
      </c>
      <c r="T609" s="6">
        <f t="shared" si="3121"/>
        <v>0.87400000000000233</v>
      </c>
      <c r="U609" s="6">
        <f t="shared" si="3122"/>
        <v>-1.5127999999999986</v>
      </c>
      <c r="V609" s="6">
        <f t="shared" si="3123"/>
        <v>-1.2000000000000028</v>
      </c>
      <c r="W609" s="9">
        <f>Tabla1[[#This Row],[Protein]]/Tabla1[[#This Row],[Peso (Kg)]]</f>
        <v>0.27178271308523411</v>
      </c>
      <c r="X609" s="9">
        <f t="shared" si="3078"/>
        <v>0.26703477040720064</v>
      </c>
      <c r="Y609" s="6">
        <f t="shared" si="3124"/>
        <v>37.401699999999998</v>
      </c>
      <c r="Z609" s="6">
        <f t="shared" ref="Z609" si="3141">AVERAGE(E603:E609)</f>
        <v>83.857142857142861</v>
      </c>
      <c r="AA609" s="6">
        <f t="shared" ref="AA609" si="3142">AVERAGE(N603:N609)</f>
        <v>12.065714285714284</v>
      </c>
      <c r="AB609" s="6">
        <f t="shared" ref="AB609" si="3143">AVERAGE(R603:R609)</f>
        <v>22.390407142857139</v>
      </c>
      <c r="AC609" s="6">
        <f t="shared" si="3140"/>
        <v>-0.37888767451889072</v>
      </c>
      <c r="AD609" s="42">
        <f>Tabla1[[#This Row],[Avg Agua)]]/Tabla1[[#This Row],[Avg Musculo]]</f>
        <v>2.0481165881944983</v>
      </c>
    </row>
    <row r="610" spans="1:31" x14ac:dyDescent="0.3">
      <c r="A610" t="s">
        <v>174</v>
      </c>
      <c r="B610">
        <v>36</v>
      </c>
      <c r="C610" t="s">
        <v>24</v>
      </c>
      <c r="D610" s="4">
        <v>45903</v>
      </c>
      <c r="E610" s="6">
        <v>83</v>
      </c>
      <c r="F610" s="7">
        <f t="shared" ref="F610:F615" si="3144">E610/(1.88^2)</f>
        <v>23.483476686283389</v>
      </c>
      <c r="G610" s="9">
        <v>0.13400000000000001</v>
      </c>
      <c r="H610" s="6">
        <f t="shared" ref="H610:H615" si="3145">E610-N610</f>
        <v>71.878</v>
      </c>
      <c r="I610" s="6">
        <f t="shared" ref="I610:I615" si="3146">E610-N610-O610-J610</f>
        <v>22.811</v>
      </c>
      <c r="J610">
        <v>3.5</v>
      </c>
      <c r="K610" s="5">
        <v>6.5000000000000002E-2</v>
      </c>
      <c r="L610" s="17">
        <v>2060</v>
      </c>
      <c r="M610" s="5">
        <v>0.54900000000000004</v>
      </c>
      <c r="N610" s="6">
        <f t="shared" ref="N610:N615" si="3147">E610*G610</f>
        <v>11.122</v>
      </c>
      <c r="O610" s="21">
        <f t="shared" ref="O610:O615" si="3148">M610*E610</f>
        <v>45.567</v>
      </c>
      <c r="P610" s="8">
        <f t="shared" si="3019"/>
        <v>45.914064285714289</v>
      </c>
      <c r="Q610" s="8">
        <f t="shared" ref="Q610:Q615" si="3149">E610-R610</f>
        <v>60.189</v>
      </c>
      <c r="R610" s="6">
        <f t="shared" ref="R610:R615" si="3150">I610</f>
        <v>22.811</v>
      </c>
      <c r="S610" s="6">
        <f t="shared" ref="S610:S615" si="3151">K610*E610</f>
        <v>5.3950000000000005</v>
      </c>
      <c r="T610" s="6">
        <f t="shared" ref="T610:T615" si="3152">I610-I609</f>
        <v>0.17150000000000176</v>
      </c>
      <c r="U610" s="6">
        <f t="shared" ref="U610:U615" si="3153">N610-N609</f>
        <v>-4.0200000000000458E-2</v>
      </c>
      <c r="V610" s="6">
        <f t="shared" ref="V610:V615" si="3154">E610-E609</f>
        <v>-0.29999999999999716</v>
      </c>
      <c r="W610" s="9">
        <f>Tabla1[[#This Row],[Protein]]/Tabla1[[#This Row],[Peso (Kg)]]</f>
        <v>0.2748313253012048</v>
      </c>
      <c r="X610" s="9">
        <f t="shared" si="3078"/>
        <v>0.26658090283303909</v>
      </c>
      <c r="Y610" s="6">
        <f t="shared" ref="Y610:Y615" si="3155">R610+N610+J610</f>
        <v>37.433</v>
      </c>
      <c r="Z610" s="6">
        <f t="shared" ref="Z610" si="3156">AVERAGE(E604:E610)</f>
        <v>83.80714285714285</v>
      </c>
      <c r="AA610" s="6">
        <f t="shared" ref="AA610" si="3157">AVERAGE(N604:N610)</f>
        <v>12.011385714285712</v>
      </c>
      <c r="AB610" s="6">
        <f t="shared" ref="AB610" si="3158">AVERAGE(R604:R610)</f>
        <v>22.338835714285715</v>
      </c>
      <c r="AC610" s="6">
        <f t="shared" si="3140"/>
        <v>-0.23032823048899642</v>
      </c>
      <c r="AD610" s="42">
        <f>Tabla1[[#This Row],[Avg Agua)]]/Tabla1[[#This Row],[Avg Musculo]]</f>
        <v>2.0553472380099107</v>
      </c>
    </row>
    <row r="611" spans="1:31" x14ac:dyDescent="0.3">
      <c r="A611" t="s">
        <v>174</v>
      </c>
      <c r="B611">
        <v>36</v>
      </c>
      <c r="C611" t="s">
        <v>22</v>
      </c>
      <c r="D611" s="4">
        <v>45904</v>
      </c>
      <c r="E611" s="6">
        <v>83.35</v>
      </c>
      <c r="F611" s="7">
        <f t="shared" si="3144"/>
        <v>23.582503395201449</v>
      </c>
      <c r="G611" s="9">
        <v>0.14000000000000001</v>
      </c>
      <c r="H611" s="6">
        <f t="shared" si="3145"/>
        <v>71.680999999999997</v>
      </c>
      <c r="I611" s="6">
        <f t="shared" si="3146"/>
        <v>22.338499999999996</v>
      </c>
      <c r="J611">
        <v>3.5</v>
      </c>
      <c r="K611" s="5">
        <v>6.5000000000000002E-2</v>
      </c>
      <c r="L611" s="17">
        <v>2055</v>
      </c>
      <c r="M611" s="5">
        <v>0.55000000000000004</v>
      </c>
      <c r="N611" s="6">
        <f t="shared" si="3147"/>
        <v>11.669</v>
      </c>
      <c r="O611" s="21">
        <f t="shared" si="3148"/>
        <v>45.842500000000001</v>
      </c>
      <c r="P611" s="8">
        <f t="shared" si="3019"/>
        <v>45.934671428571441</v>
      </c>
      <c r="Q611" s="8">
        <f t="shared" si="3149"/>
        <v>61.011499999999998</v>
      </c>
      <c r="R611" s="6">
        <f t="shared" si="3150"/>
        <v>22.338499999999996</v>
      </c>
      <c r="S611" s="6">
        <f t="shared" si="3151"/>
        <v>5.4177499999999998</v>
      </c>
      <c r="T611" s="6">
        <f t="shared" si="3152"/>
        <v>-0.47250000000000369</v>
      </c>
      <c r="U611" s="6">
        <f t="shared" si="3153"/>
        <v>0.5470000000000006</v>
      </c>
      <c r="V611" s="6">
        <f t="shared" si="3154"/>
        <v>0.34999999999999432</v>
      </c>
      <c r="W611" s="9">
        <f>Tabla1[[#This Row],[Protein]]/Tabla1[[#This Row],[Peso (Kg)]]</f>
        <v>0.26800839832033591</v>
      </c>
      <c r="X611" s="9">
        <f t="shared" si="3078"/>
        <v>0.26628693264675435</v>
      </c>
      <c r="Y611" s="6">
        <f t="shared" si="3155"/>
        <v>37.507499999999993</v>
      </c>
      <c r="Z611" s="6">
        <f t="shared" ref="Z611" si="3159">AVERAGE(E605:E611)</f>
        <v>83.73571428571428</v>
      </c>
      <c r="AA611" s="6">
        <f t="shared" ref="AA611" si="3160">AVERAGE(N605:N611)</f>
        <v>11.977428571428572</v>
      </c>
      <c r="AB611" s="6">
        <f t="shared" ref="AB611" si="3161">AVERAGE(R605:R611)</f>
        <v>22.295042857142853</v>
      </c>
      <c r="AC611" s="6">
        <f t="shared" si="3140"/>
        <v>-0.19603912085200959</v>
      </c>
      <c r="AD611" s="42">
        <f>Tabla1[[#This Row],[Avg Agua)]]/Tabla1[[#This Row],[Avg Musculo]]</f>
        <v>2.0603087297432556</v>
      </c>
    </row>
    <row r="612" spans="1:31" x14ac:dyDescent="0.3">
      <c r="A612" t="s">
        <v>174</v>
      </c>
      <c r="B612">
        <v>36</v>
      </c>
      <c r="C612" t="s">
        <v>20</v>
      </c>
      <c r="D612" s="4">
        <v>45905</v>
      </c>
      <c r="E612" s="6">
        <v>83.2</v>
      </c>
      <c r="F612" s="7">
        <f t="shared" si="3144"/>
        <v>23.540063377093709</v>
      </c>
      <c r="G612" s="9">
        <v>0.13400000000000001</v>
      </c>
      <c r="H612" s="6">
        <f t="shared" si="3145"/>
        <v>72.051199999999994</v>
      </c>
      <c r="I612" s="6">
        <f t="shared" si="3146"/>
        <v>22.940799999999989</v>
      </c>
      <c r="J612">
        <v>3.6</v>
      </c>
      <c r="K612" s="5">
        <v>6.5000000000000002E-2</v>
      </c>
      <c r="L612" s="17">
        <v>2065</v>
      </c>
      <c r="M612" s="5">
        <v>0.54700000000000004</v>
      </c>
      <c r="N612" s="6">
        <f t="shared" si="3147"/>
        <v>11.148800000000001</v>
      </c>
      <c r="O612" s="21">
        <f t="shared" si="3148"/>
        <v>45.510400000000004</v>
      </c>
      <c r="P612" s="8">
        <f t="shared" si="3019"/>
        <v>45.875814285714291</v>
      </c>
      <c r="Q612" s="8">
        <f t="shared" si="3149"/>
        <v>60.259200000000014</v>
      </c>
      <c r="R612" s="6">
        <f t="shared" si="3150"/>
        <v>22.940799999999989</v>
      </c>
      <c r="S612" s="6">
        <f t="shared" si="3151"/>
        <v>5.4080000000000004</v>
      </c>
      <c r="T612" s="6">
        <f t="shared" si="3152"/>
        <v>0.60229999999999251</v>
      </c>
      <c r="U612" s="6">
        <f t="shared" si="3153"/>
        <v>-0.52019999999999911</v>
      </c>
      <c r="V612" s="6">
        <f t="shared" si="3154"/>
        <v>-0.14999999999999147</v>
      </c>
      <c r="W612" s="9">
        <f>Tabla1[[#This Row],[Protein]]/Tabla1[[#This Row],[Peso (Kg)]]</f>
        <v>0.27573076923076911</v>
      </c>
      <c r="X612" s="9">
        <f t="shared" si="3078"/>
        <v>0.26752838928081241</v>
      </c>
      <c r="Y612" s="6">
        <f t="shared" si="3155"/>
        <v>37.689599999999992</v>
      </c>
      <c r="Z612" s="6">
        <f t="shared" ref="Z612" si="3162">AVERAGE(E606:E612)</f>
        <v>83.65</v>
      </c>
      <c r="AA612" s="6">
        <f t="shared" ref="AA612" si="3163">AVERAGE(N606:N612)</f>
        <v>11.870171428571426</v>
      </c>
      <c r="AB612" s="6">
        <f t="shared" ref="AB612" si="3164">AVERAGE(R606:R612)</f>
        <v>22.375442857142854</v>
      </c>
      <c r="AC612" s="6">
        <f t="shared" si="3140"/>
        <v>0.3606182796560109</v>
      </c>
      <c r="AD612" s="42">
        <f>Tabla1[[#This Row],[Avg Agua)]]/Tabla1[[#This Row],[Avg Musculo]]</f>
        <v>2.0502751421998995</v>
      </c>
    </row>
    <row r="613" spans="1:31" x14ac:dyDescent="0.3">
      <c r="A613" t="s">
        <v>174</v>
      </c>
      <c r="B613">
        <v>36</v>
      </c>
      <c r="C613" t="s">
        <v>121</v>
      </c>
      <c r="D613" s="4">
        <v>45906</v>
      </c>
      <c r="E613" s="6">
        <v>83.25</v>
      </c>
      <c r="F613" s="7">
        <f t="shared" si="3144"/>
        <v>23.554210049796289</v>
      </c>
      <c r="G613" s="9">
        <v>0.13900000000000001</v>
      </c>
      <c r="H613" s="6">
        <f t="shared" si="3145"/>
        <v>71.678249999999991</v>
      </c>
      <c r="I613" s="6">
        <f t="shared" si="3146"/>
        <v>22.806999999999988</v>
      </c>
      <c r="J613">
        <v>3.5</v>
      </c>
      <c r="K613" s="5">
        <v>6.5000000000000002E-2</v>
      </c>
      <c r="L613" s="17">
        <v>2056</v>
      </c>
      <c r="M613" s="5">
        <v>0.54500000000000004</v>
      </c>
      <c r="N613" s="6">
        <f t="shared" si="3147"/>
        <v>11.571750000000002</v>
      </c>
      <c r="O613" s="21">
        <f t="shared" si="3148"/>
        <v>45.371250000000003</v>
      </c>
      <c r="P613" s="8">
        <f t="shared" si="3019"/>
        <v>45.805421428571435</v>
      </c>
      <c r="Q613" s="8">
        <f t="shared" si="3149"/>
        <v>60.443000000000012</v>
      </c>
      <c r="R613" s="6">
        <f t="shared" si="3150"/>
        <v>22.806999999999988</v>
      </c>
      <c r="S613" s="6">
        <f t="shared" si="3151"/>
        <v>5.4112499999999999</v>
      </c>
      <c r="T613" s="6">
        <f t="shared" si="3152"/>
        <v>-0.13380000000000081</v>
      </c>
      <c r="U613" s="6">
        <f t="shared" si="3153"/>
        <v>0.42295000000000016</v>
      </c>
      <c r="V613" s="6">
        <f t="shared" si="3154"/>
        <v>4.9999999999997158E-2</v>
      </c>
      <c r="W613" s="9">
        <f>Tabla1[[#This Row],[Protein]]/Tabla1[[#This Row],[Peso (Kg)]]</f>
        <v>0.2739579579579578</v>
      </c>
      <c r="X613" s="9">
        <f t="shared" si="3078"/>
        <v>0.26918904994147297</v>
      </c>
      <c r="Y613" s="6">
        <f t="shared" si="3155"/>
        <v>37.878749999999989</v>
      </c>
      <c r="Z613" s="6">
        <f t="shared" ref="Z613" si="3165">AVERAGE(E607:E613)</f>
        <v>83.54285714285713</v>
      </c>
      <c r="AA613" s="6">
        <f t="shared" ref="AA613" si="3166">AVERAGE(N607:N613)</f>
        <v>11.723278571428571</v>
      </c>
      <c r="AB613" s="6">
        <f t="shared" ref="AB613" si="3167">AVERAGE(R607:R613)</f>
        <v>22.485585714285708</v>
      </c>
      <c r="AC613" s="6">
        <f t="shared" si="3140"/>
        <v>0.49224883657528196</v>
      </c>
      <c r="AD613" s="42">
        <f>Tabla1[[#This Row],[Avg Agua)]]/Tabla1[[#This Row],[Avg Musculo]]</f>
        <v>2.0371015463239632</v>
      </c>
    </row>
    <row r="614" spans="1:31" x14ac:dyDescent="0.3">
      <c r="A614" t="s">
        <v>174</v>
      </c>
      <c r="B614">
        <v>36</v>
      </c>
      <c r="C614" t="s">
        <v>26</v>
      </c>
      <c r="D614" s="4">
        <v>45907</v>
      </c>
      <c r="E614" s="6">
        <v>83.9</v>
      </c>
      <c r="F614" s="7">
        <f t="shared" si="3144"/>
        <v>23.738116794929837</v>
      </c>
      <c r="G614" s="9">
        <v>0.14499999999999999</v>
      </c>
      <c r="H614" s="6">
        <f t="shared" si="3145"/>
        <v>71.734500000000011</v>
      </c>
      <c r="I614" s="6">
        <f t="shared" si="3146"/>
        <v>21.586100000000002</v>
      </c>
      <c r="J614">
        <v>3.5</v>
      </c>
      <c r="K614" s="5">
        <v>6.5000000000000002E-2</v>
      </c>
      <c r="L614" s="17">
        <v>2059</v>
      </c>
      <c r="M614" s="5">
        <v>0.55600000000000005</v>
      </c>
      <c r="N614" s="6">
        <f t="shared" si="3147"/>
        <v>12.1655</v>
      </c>
      <c r="O614" s="21">
        <f t="shared" si="3148"/>
        <v>46.648400000000009</v>
      </c>
      <c r="P614" s="8">
        <f t="shared" si="3019"/>
        <v>45.913907142857155</v>
      </c>
      <c r="Q614" s="8">
        <f t="shared" si="3149"/>
        <v>62.313900000000004</v>
      </c>
      <c r="R614" s="6">
        <f t="shared" si="3150"/>
        <v>21.586100000000002</v>
      </c>
      <c r="S614" s="6">
        <f t="shared" si="3151"/>
        <v>5.4535000000000009</v>
      </c>
      <c r="T614" s="6">
        <f t="shared" si="3152"/>
        <v>-1.2208999999999861</v>
      </c>
      <c r="U614" s="6">
        <f t="shared" si="3153"/>
        <v>0.59374999999999822</v>
      </c>
      <c r="V614" s="6">
        <f t="shared" si="3154"/>
        <v>0.65000000000000568</v>
      </c>
      <c r="W614" s="9">
        <f>Tabla1[[#This Row],[Protein]]/Tabla1[[#This Row],[Peso (Kg)]]</f>
        <v>0.25728367103694877</v>
      </c>
      <c r="X614" s="9">
        <f t="shared" si="3078"/>
        <v>0.26845353094132218</v>
      </c>
      <c r="Y614" s="6">
        <f t="shared" si="3155"/>
        <v>37.251600000000003</v>
      </c>
      <c r="Z614" s="6">
        <f t="shared" ref="Z614" si="3168">AVERAGE(E608:E614)</f>
        <v>83.5</v>
      </c>
      <c r="AA614" s="6">
        <f t="shared" ref="AA614" si="3169">AVERAGE(N608:N614)</f>
        <v>11.644892857142855</v>
      </c>
      <c r="AB614" s="6">
        <f t="shared" ref="AB614" si="3170">AVERAGE(R608:R614)</f>
        <v>22.41262857142857</v>
      </c>
      <c r="AC614" s="6">
        <f t="shared" si="3140"/>
        <v>-0.32446182983255634</v>
      </c>
      <c r="AD614" s="42">
        <f>Tabla1[[#This Row],[Avg Agua)]]/Tabla1[[#This Row],[Avg Musculo]]</f>
        <v>2.0485730621256901</v>
      </c>
      <c r="AE614" t="s">
        <v>177</v>
      </c>
    </row>
    <row r="615" spans="1:31" x14ac:dyDescent="0.3">
      <c r="A615" t="s">
        <v>174</v>
      </c>
      <c r="B615">
        <v>37</v>
      </c>
      <c r="C615" t="s">
        <v>21</v>
      </c>
      <c r="D615" s="4">
        <v>45908</v>
      </c>
      <c r="E615" s="6">
        <v>84.35</v>
      </c>
      <c r="F615" s="7">
        <f t="shared" si="3144"/>
        <v>23.865436849253054</v>
      </c>
      <c r="G615" s="9">
        <v>0.14099999999999999</v>
      </c>
      <c r="H615" s="6">
        <f t="shared" si="3145"/>
        <v>72.456649999999996</v>
      </c>
      <c r="I615" s="6">
        <f t="shared" si="3146"/>
        <v>21.704999999999991</v>
      </c>
      <c r="J615">
        <v>3.6</v>
      </c>
      <c r="K615" s="5">
        <v>6.5000000000000002E-2</v>
      </c>
      <c r="L615" s="17">
        <v>2079</v>
      </c>
      <c r="M615" s="5">
        <v>0.55900000000000005</v>
      </c>
      <c r="N615" s="6">
        <f t="shared" si="3147"/>
        <v>11.893349999999998</v>
      </c>
      <c r="O615" s="21">
        <f t="shared" si="3148"/>
        <v>47.151650000000004</v>
      </c>
      <c r="P615" s="8">
        <f t="shared" si="3019"/>
        <v>45.9985</v>
      </c>
      <c r="Q615" s="8">
        <f t="shared" si="3149"/>
        <v>62.645000000000003</v>
      </c>
      <c r="R615" s="6">
        <f t="shared" si="3150"/>
        <v>21.704999999999991</v>
      </c>
      <c r="S615" s="6">
        <f t="shared" si="3151"/>
        <v>5.4827500000000002</v>
      </c>
      <c r="T615" s="6">
        <f t="shared" si="3152"/>
        <v>0.11889999999998935</v>
      </c>
      <c r="U615" s="6">
        <f t="shared" si="3153"/>
        <v>-0.27215000000000167</v>
      </c>
      <c r="V615" s="6">
        <f t="shared" si="3154"/>
        <v>0.44999999999998863</v>
      </c>
      <c r="W615" s="9">
        <f>Tabla1[[#This Row],[Protein]]/Tabla1[[#This Row],[Peso (Kg)]]</f>
        <v>0.25732068761114396</v>
      </c>
      <c r="X615" s="9">
        <f t="shared" si="3078"/>
        <v>0.26841650322051352</v>
      </c>
      <c r="Y615" s="6">
        <f t="shared" si="3155"/>
        <v>37.198349999999991</v>
      </c>
      <c r="Z615" s="6">
        <f t="shared" ref="Z615" si="3171">AVERAGE(E609:E615)</f>
        <v>83.478571428571428</v>
      </c>
      <c r="AA615" s="6">
        <f t="shared" ref="AA615" si="3172">AVERAGE(N609:N615)</f>
        <v>11.53322857142857</v>
      </c>
      <c r="AB615" s="6">
        <f t="shared" ref="AB615" si="3173">AVERAGE(R609:R615)</f>
        <v>22.403985714285707</v>
      </c>
      <c r="AC615" s="6">
        <f t="shared" ref="AC615:AC620" si="3174">100*(AB615/AB614-1)</f>
        <v>-3.856244311245538E-2</v>
      </c>
      <c r="AD615" s="42">
        <f>Tabla1[[#This Row],[Avg Agua)]]/Tabla1[[#This Row],[Avg Musculo]]</f>
        <v>2.0531391416960894</v>
      </c>
      <c r="AE615" t="s">
        <v>178</v>
      </c>
    </row>
    <row r="616" spans="1:31" x14ac:dyDescent="0.3">
      <c r="A616" t="s">
        <v>174</v>
      </c>
      <c r="B616">
        <v>37</v>
      </c>
      <c r="C616" t="s">
        <v>23</v>
      </c>
      <c r="D616" s="4">
        <v>45909</v>
      </c>
      <c r="E616" s="6">
        <v>83.35</v>
      </c>
      <c r="F616" s="7">
        <f t="shared" ref="F616:F622" si="3175">E616/(1.88^2)</f>
        <v>23.582503395201449</v>
      </c>
      <c r="G616" s="9">
        <v>0.14000000000000001</v>
      </c>
      <c r="H616" s="6">
        <f t="shared" ref="H616:H622" si="3176">E616-N616</f>
        <v>71.680999999999997</v>
      </c>
      <c r="I616" s="6">
        <f t="shared" ref="I616:I622" si="3177">E616-N616-O616-J616</f>
        <v>22.155149999999992</v>
      </c>
      <c r="J616">
        <v>3.6</v>
      </c>
      <c r="K616" s="5">
        <v>6.5000000000000002E-2</v>
      </c>
      <c r="L616" s="17">
        <v>2056</v>
      </c>
      <c r="M616" s="5">
        <v>0.55100000000000005</v>
      </c>
      <c r="N616" s="6">
        <f t="shared" ref="N616:N622" si="3178">E616*G616</f>
        <v>11.669</v>
      </c>
      <c r="O616" s="21">
        <f t="shared" ref="O616:O622" si="3179">M616*E616</f>
        <v>45.925850000000004</v>
      </c>
      <c r="P616" s="8">
        <f t="shared" si="3019"/>
        <v>46.002435714285717</v>
      </c>
      <c r="Q616" s="8">
        <f t="shared" ref="Q616:Q622" si="3180">E616-R616</f>
        <v>61.194850000000002</v>
      </c>
      <c r="R616" s="6">
        <f t="shared" ref="R616:R622" si="3181">I616</f>
        <v>22.155149999999992</v>
      </c>
      <c r="S616" s="6">
        <f t="shared" ref="S616:S622" si="3182">K616*E616</f>
        <v>5.4177499999999998</v>
      </c>
      <c r="T616" s="6">
        <f t="shared" ref="T616:T622" si="3183">I616-I615</f>
        <v>0.45015000000000072</v>
      </c>
      <c r="U616" s="6">
        <f t="shared" ref="U616:U622" si="3184">N616-N615</f>
        <v>-0.22434999999999761</v>
      </c>
      <c r="V616" s="6">
        <f t="shared" ref="V616:V623" si="3185">E616-E615</f>
        <v>-1</v>
      </c>
      <c r="W616" s="9">
        <f>Tabla1[[#This Row],[Protein]]/Tabla1[[#This Row],[Peso (Kg)]]</f>
        <v>0.26580863827234547</v>
      </c>
      <c r="X616" s="9">
        <f t="shared" si="3078"/>
        <v>0.26756306396152946</v>
      </c>
      <c r="Y616" s="6">
        <f t="shared" ref="Y616:Y622" si="3186">R616+N616+J616</f>
        <v>37.42414999999999</v>
      </c>
      <c r="Z616" s="6">
        <f t="shared" ref="Z616" si="3187">AVERAGE(E610:E616)</f>
        <v>83.485714285714295</v>
      </c>
      <c r="AA616" s="6">
        <f t="shared" ref="AA616" si="3188">AVERAGE(N610:N616)</f>
        <v>11.605628571428571</v>
      </c>
      <c r="AB616" s="6">
        <f t="shared" ref="AB616" si="3189">AVERAGE(R610:R616)</f>
        <v>22.334792857142851</v>
      </c>
      <c r="AC616" s="6">
        <f t="shared" si="3174"/>
        <v>-0.30884173032986739</v>
      </c>
      <c r="AD616" s="42">
        <f>Tabla1[[#This Row],[Avg Agua)]]/Tabla1[[#This Row],[Avg Musculo]]</f>
        <v>2.0596759508147291</v>
      </c>
    </row>
    <row r="617" spans="1:31" x14ac:dyDescent="0.3">
      <c r="A617" t="s">
        <v>174</v>
      </c>
      <c r="B617">
        <v>37</v>
      </c>
      <c r="C617" t="s">
        <v>22</v>
      </c>
      <c r="D617" s="4">
        <v>45911</v>
      </c>
      <c r="E617" s="6">
        <v>84.35</v>
      </c>
      <c r="F617" s="7">
        <f t="shared" si="3175"/>
        <v>23.865436849253054</v>
      </c>
      <c r="G617" s="9">
        <v>0.14199999999999999</v>
      </c>
      <c r="H617" s="6">
        <f t="shared" si="3176"/>
        <v>72.372299999999996</v>
      </c>
      <c r="I617" s="6">
        <f t="shared" si="3177"/>
        <v>22.717199999999991</v>
      </c>
      <c r="J617">
        <v>3.6</v>
      </c>
      <c r="K617" s="5">
        <v>6.5000000000000002E-2</v>
      </c>
      <c r="L617" s="17">
        <v>2077</v>
      </c>
      <c r="M617" s="5">
        <v>0.54600000000000004</v>
      </c>
      <c r="N617" s="6">
        <f t="shared" si="3178"/>
        <v>11.977699999999999</v>
      </c>
      <c r="O617" s="21">
        <f t="shared" si="3179"/>
        <v>46.055100000000003</v>
      </c>
      <c r="P617" s="8">
        <f t="shared" si="3019"/>
        <v>46.072164285714287</v>
      </c>
      <c r="Q617" s="8">
        <f t="shared" si="3180"/>
        <v>61.632800000000003</v>
      </c>
      <c r="R617" s="6">
        <f t="shared" si="3181"/>
        <v>22.717199999999991</v>
      </c>
      <c r="S617" s="6">
        <f t="shared" si="3182"/>
        <v>5.4827500000000002</v>
      </c>
      <c r="T617" s="6">
        <f t="shared" si="3183"/>
        <v>0.56204999999999927</v>
      </c>
      <c r="U617" s="6">
        <f t="shared" si="3184"/>
        <v>0.3086999999999982</v>
      </c>
      <c r="V617" s="6">
        <f t="shared" si="3185"/>
        <v>1</v>
      </c>
      <c r="W617" s="9">
        <f>Tabla1[[#This Row],[Protein]]/Tabla1[[#This Row],[Peso (Kg)]]</f>
        <v>0.26932068761114397</v>
      </c>
      <c r="X617" s="9">
        <f t="shared" si="3078"/>
        <v>0.26677583000580646</v>
      </c>
      <c r="Y617" s="6">
        <f t="shared" si="3186"/>
        <v>38.294899999999991</v>
      </c>
      <c r="Z617" s="6">
        <f t="shared" ref="Z617" si="3190">AVERAGE(E611:E617)</f>
        <v>83.678571428571445</v>
      </c>
      <c r="AA617" s="6">
        <f t="shared" ref="AA617" si="3191">AVERAGE(N611:N617)</f>
        <v>11.727871428571429</v>
      </c>
      <c r="AB617" s="6">
        <f t="shared" ref="AB617" si="3192">AVERAGE(R611:R617)</f>
        <v>22.32139285714285</v>
      </c>
      <c r="AC617" s="6">
        <f t="shared" si="3174"/>
        <v>-5.9996079147495163E-2</v>
      </c>
      <c r="AD617" s="42">
        <f>Tabla1[[#This Row],[Avg Agua)]]/Tabla1[[#This Row],[Avg Musculo]]</f>
        <v>2.0640362624580204</v>
      </c>
      <c r="AE617" t="s">
        <v>179</v>
      </c>
    </row>
    <row r="618" spans="1:31" x14ac:dyDescent="0.3">
      <c r="A618" t="s">
        <v>174</v>
      </c>
      <c r="B618">
        <v>37</v>
      </c>
      <c r="C618" t="s">
        <v>20</v>
      </c>
      <c r="D618" s="4">
        <v>45912</v>
      </c>
      <c r="E618" s="6">
        <v>84</v>
      </c>
      <c r="F618" s="7">
        <f t="shared" si="3175"/>
        <v>23.766410140334994</v>
      </c>
      <c r="G618" s="9">
        <v>0.13600000000000001</v>
      </c>
      <c r="H618" s="6">
        <f t="shared" si="3176"/>
        <v>72.575999999999993</v>
      </c>
      <c r="I618" s="6">
        <f t="shared" si="3177"/>
        <v>23.195999999999991</v>
      </c>
      <c r="J618">
        <v>3.6</v>
      </c>
      <c r="K618" s="5">
        <v>6.5000000000000002E-2</v>
      </c>
      <c r="L618" s="17">
        <v>2081</v>
      </c>
      <c r="M618" s="5">
        <v>0.54500000000000004</v>
      </c>
      <c r="N618" s="6">
        <f t="shared" si="3178"/>
        <v>11.424000000000001</v>
      </c>
      <c r="O618" s="21">
        <f t="shared" si="3179"/>
        <v>45.78</v>
      </c>
      <c r="P618" s="8">
        <f t="shared" si="3019"/>
        <v>46.063235714285724</v>
      </c>
      <c r="Q618" s="8">
        <f t="shared" si="3180"/>
        <v>60.804000000000009</v>
      </c>
      <c r="R618" s="6">
        <f t="shared" si="3181"/>
        <v>23.195999999999991</v>
      </c>
      <c r="S618" s="6">
        <f t="shared" si="3182"/>
        <v>5.46</v>
      </c>
      <c r="T618" s="6">
        <f t="shared" si="3183"/>
        <v>0.47879999999999967</v>
      </c>
      <c r="U618" s="6">
        <f t="shared" si="3184"/>
        <v>-0.55369999999999742</v>
      </c>
      <c r="V618" s="6">
        <f t="shared" si="3185"/>
        <v>-0.34999999999999432</v>
      </c>
      <c r="W618" s="9">
        <f>Tabla1[[#This Row],[Protein]]/Tabla1[[#This Row],[Peso (Kg)]]</f>
        <v>0.27614285714285702</v>
      </c>
      <c r="X618" s="9">
        <f t="shared" si="3078"/>
        <v>0.26793789555188091</v>
      </c>
      <c r="Y618" s="6">
        <f t="shared" si="3186"/>
        <v>38.219999999999992</v>
      </c>
      <c r="Z618" s="6">
        <f t="shared" ref="Z618" si="3193">AVERAGE(E612:E618)</f>
        <v>83.771428571428572</v>
      </c>
      <c r="AA618" s="6">
        <f t="shared" ref="AA618" si="3194">AVERAGE(N612:N618)</f>
        <v>11.692871428571431</v>
      </c>
      <c r="AB618" s="6">
        <f t="shared" ref="AB618" si="3195">AVERAGE(R612:R618)</f>
        <v>22.443892857142849</v>
      </c>
      <c r="AC618" s="6">
        <f t="shared" si="3174"/>
        <v>0.54880087808140132</v>
      </c>
      <c r="AD618" s="42">
        <f>Tabla1[[#This Row],[Avg Agua)]]/Tabla1[[#This Row],[Avg Musculo]]</f>
        <v>2.052372821750748</v>
      </c>
    </row>
    <row r="619" spans="1:31" x14ac:dyDescent="0.3">
      <c r="A619" t="s">
        <v>174</v>
      </c>
      <c r="B619">
        <v>37</v>
      </c>
      <c r="C619" t="s">
        <v>121</v>
      </c>
      <c r="D619" s="4">
        <v>45913</v>
      </c>
      <c r="E619" s="6">
        <v>83.4</v>
      </c>
      <c r="F619" s="7">
        <f t="shared" si="3175"/>
        <v>23.596650067904033</v>
      </c>
      <c r="G619" s="9">
        <v>0.13800000000000001</v>
      </c>
      <c r="H619" s="6">
        <f t="shared" si="3176"/>
        <v>71.890799999999999</v>
      </c>
      <c r="I619" s="6">
        <f t="shared" si="3177"/>
        <v>23.087999999999994</v>
      </c>
      <c r="J619">
        <v>3.6</v>
      </c>
      <c r="K619" s="5">
        <v>6.5000000000000002E-2</v>
      </c>
      <c r="L619" s="17">
        <v>2062</v>
      </c>
      <c r="M619" s="5">
        <v>0.54200000000000004</v>
      </c>
      <c r="N619" s="6">
        <f t="shared" si="3178"/>
        <v>11.509200000000002</v>
      </c>
      <c r="O619" s="21">
        <f t="shared" si="3179"/>
        <v>45.202800000000003</v>
      </c>
      <c r="P619" s="8">
        <f t="shared" si="3019"/>
        <v>46.019292857142872</v>
      </c>
      <c r="Q619" s="8">
        <f t="shared" si="3180"/>
        <v>60.312000000000012</v>
      </c>
      <c r="R619" s="6">
        <f t="shared" si="3181"/>
        <v>23.087999999999994</v>
      </c>
      <c r="S619" s="6">
        <f t="shared" si="3182"/>
        <v>5.4210000000000003</v>
      </c>
      <c r="T619" s="6">
        <f t="shared" si="3183"/>
        <v>-0.10799999999999699</v>
      </c>
      <c r="U619" s="6">
        <f t="shared" si="3184"/>
        <v>8.5200000000000387E-2</v>
      </c>
      <c r="V619" s="6">
        <f t="shared" si="3185"/>
        <v>-0.59999999999999432</v>
      </c>
      <c r="W619" s="9">
        <f>Tabla1[[#This Row],[Protein]]/Tabla1[[#This Row],[Peso (Kg)]]</f>
        <v>0.27683453237410061</v>
      </c>
      <c r="X619" s="9">
        <f t="shared" si="3078"/>
        <v>0.2680955760009282</v>
      </c>
      <c r="Y619" s="6">
        <f t="shared" si="3186"/>
        <v>38.197199999999995</v>
      </c>
      <c r="Z619" s="6">
        <f t="shared" ref="Z619" si="3196">AVERAGE(E613:E619)</f>
        <v>83.8</v>
      </c>
      <c r="AA619" s="6">
        <f t="shared" ref="AA619" si="3197">AVERAGE(N613:N619)</f>
        <v>11.744357142857144</v>
      </c>
      <c r="AB619" s="6">
        <f t="shared" ref="AB619" si="3198">AVERAGE(R613:R619)</f>
        <v>22.464921428571422</v>
      </c>
      <c r="AC619" s="6">
        <f t="shared" si="3174"/>
        <v>9.369395747174103E-2</v>
      </c>
      <c r="AD619" s="42">
        <f>Tabla1[[#This Row],[Avg Agua)]]/Tabla1[[#This Row],[Avg Musculo]]</f>
        <v>2.0484956069605675</v>
      </c>
    </row>
    <row r="620" spans="1:31" x14ac:dyDescent="0.3">
      <c r="A620" t="s">
        <v>174</v>
      </c>
      <c r="B620">
        <v>37</v>
      </c>
      <c r="C620" t="s">
        <v>26</v>
      </c>
      <c r="D620" s="4">
        <v>45914</v>
      </c>
      <c r="E620" s="6">
        <v>84</v>
      </c>
      <c r="F620" s="7">
        <f t="shared" si="3175"/>
        <v>23.766410140334994</v>
      </c>
      <c r="G620" s="9">
        <v>0.14000000000000001</v>
      </c>
      <c r="H620" s="6">
        <f t="shared" si="3176"/>
        <v>72.239999999999995</v>
      </c>
      <c r="I620" s="6">
        <f t="shared" si="3177"/>
        <v>22.439999999999991</v>
      </c>
      <c r="J620">
        <v>3.6</v>
      </c>
      <c r="K620" s="5">
        <v>6.5000000000000002E-2</v>
      </c>
      <c r="L620" s="17">
        <v>2074</v>
      </c>
      <c r="M620" s="5">
        <v>0.55000000000000004</v>
      </c>
      <c r="N620" s="6">
        <f t="shared" si="3178"/>
        <v>11.760000000000002</v>
      </c>
      <c r="O620" s="21">
        <f t="shared" si="3179"/>
        <v>46.2</v>
      </c>
      <c r="P620" s="8">
        <f t="shared" si="3019"/>
        <v>46.137685714285723</v>
      </c>
      <c r="Q620" s="8">
        <f t="shared" si="3180"/>
        <v>61.560000000000009</v>
      </c>
      <c r="R620" s="6">
        <f t="shared" si="3181"/>
        <v>22.439999999999991</v>
      </c>
      <c r="S620" s="6">
        <f t="shared" si="3182"/>
        <v>5.46</v>
      </c>
      <c r="T620" s="6">
        <f t="shared" si="3183"/>
        <v>-0.64800000000000324</v>
      </c>
      <c r="U620" s="6">
        <f t="shared" si="3184"/>
        <v>0.25079999999999991</v>
      </c>
      <c r="V620" s="6">
        <f t="shared" si="3185"/>
        <v>0.59999999999999432</v>
      </c>
      <c r="W620" s="9">
        <f>Tabla1[[#This Row],[Protein]]/Tabla1[[#This Row],[Peso (Kg)]]</f>
        <v>0.26714285714285702</v>
      </c>
      <c r="X620" s="9">
        <f t="shared" si="3078"/>
        <v>0.26712199017019955</v>
      </c>
      <c r="Y620" s="6">
        <f t="shared" si="3186"/>
        <v>37.79999999999999</v>
      </c>
      <c r="Z620" s="6">
        <f t="shared" ref="Z620" si="3199">AVERAGE(E614:E620)</f>
        <v>83.907142857142858</v>
      </c>
      <c r="AA620" s="6">
        <f t="shared" ref="AA620" si="3200">AVERAGE(N614:N620)</f>
        <v>11.77125</v>
      </c>
      <c r="AB620" s="6">
        <f t="shared" ref="AB620" si="3201">AVERAGE(R614:R620)</f>
        <v>22.412492857142855</v>
      </c>
      <c r="AC620" s="6">
        <f t="shared" si="3174"/>
        <v>-0.23337972311751054</v>
      </c>
      <c r="AD620" s="42">
        <f>Tabla1[[#This Row],[Avg Agua)]]/Tabla1[[#This Row],[Avg Musculo]]</f>
        <v>2.0585700130890019</v>
      </c>
    </row>
    <row r="621" spans="1:31" x14ac:dyDescent="0.3">
      <c r="A621" t="s">
        <v>174</v>
      </c>
      <c r="B621">
        <v>38</v>
      </c>
      <c r="C621" t="s">
        <v>24</v>
      </c>
      <c r="D621" s="4">
        <v>45917</v>
      </c>
      <c r="E621" s="6">
        <v>84.55</v>
      </c>
      <c r="F621" s="7">
        <f t="shared" si="3175"/>
        <v>23.922023540063378</v>
      </c>
      <c r="G621" s="9">
        <v>0.14899999999999999</v>
      </c>
      <c r="H621" s="6">
        <f t="shared" si="3176"/>
        <v>71.95205</v>
      </c>
      <c r="I621" s="6">
        <f t="shared" si="3177"/>
        <v>21.257699999999993</v>
      </c>
      <c r="J621">
        <v>3.6</v>
      </c>
      <c r="K621" s="5">
        <v>7.0000000000000007E-2</v>
      </c>
      <c r="L621" s="17">
        <v>2067</v>
      </c>
      <c r="M621" s="5">
        <v>0.55700000000000005</v>
      </c>
      <c r="N621" s="6">
        <f t="shared" si="3178"/>
        <v>12.597949999999999</v>
      </c>
      <c r="O621" s="21">
        <f t="shared" si="3179"/>
        <v>47.094350000000006</v>
      </c>
      <c r="P621" s="8">
        <f t="shared" si="3019"/>
        <v>46.201392857142864</v>
      </c>
      <c r="Q621" s="8">
        <f t="shared" si="3180"/>
        <v>63.292300000000004</v>
      </c>
      <c r="R621" s="6">
        <f t="shared" si="3181"/>
        <v>21.257699999999993</v>
      </c>
      <c r="S621" s="6">
        <f t="shared" si="3182"/>
        <v>5.9185000000000008</v>
      </c>
      <c r="T621" s="6">
        <f t="shared" si="3183"/>
        <v>-1.1822999999999979</v>
      </c>
      <c r="U621" s="6">
        <f t="shared" si="3184"/>
        <v>0.83794999999999753</v>
      </c>
      <c r="V621" s="6">
        <f t="shared" si="3185"/>
        <v>0.54999999999999716</v>
      </c>
      <c r="W621" s="9">
        <f>Tabla1[[#This Row],[Protein]]/Tabla1[[#This Row],[Peso (Kg)]]</f>
        <v>0.25142164399763445</v>
      </c>
      <c r="X621" s="9">
        <f t="shared" si="3078"/>
        <v>0.26628455773601178</v>
      </c>
      <c r="Y621" s="6">
        <f t="shared" si="3186"/>
        <v>37.455649999999991</v>
      </c>
      <c r="Z621" s="6">
        <f t="shared" ref="Z621" si="3202">AVERAGE(E615:E621)</f>
        <v>83.999999999999986</v>
      </c>
      <c r="AA621" s="6">
        <f t="shared" ref="AA621" si="3203">AVERAGE(N615:N621)</f>
        <v>11.833028571428571</v>
      </c>
      <c r="AB621" s="6">
        <f t="shared" ref="AB621" si="3204">AVERAGE(R615:R621)</f>
        <v>22.365578571428564</v>
      </c>
      <c r="AC621" s="6">
        <f t="shared" ref="AC621:AC626" si="3205">100*(AB621/AB620-1)</f>
        <v>-0.2093220330880774</v>
      </c>
      <c r="AD621" s="42">
        <f>Tabla1[[#This Row],[Avg Agua)]]/Tabla1[[#This Row],[Avg Musculo]]</f>
        <v>2.0657365383859965</v>
      </c>
      <c r="AE621" t="s">
        <v>180</v>
      </c>
    </row>
    <row r="622" spans="1:31" x14ac:dyDescent="0.3">
      <c r="A622" t="s">
        <v>174</v>
      </c>
      <c r="B622">
        <v>38</v>
      </c>
      <c r="C622" t="s">
        <v>20</v>
      </c>
      <c r="D622" s="4">
        <v>45919</v>
      </c>
      <c r="E622" s="6">
        <v>83.7</v>
      </c>
      <c r="F622" s="7">
        <f t="shared" si="3175"/>
        <v>23.681530104119513</v>
      </c>
      <c r="G622" s="9">
        <v>0.13900000000000001</v>
      </c>
      <c r="H622" s="6">
        <f t="shared" si="3176"/>
        <v>72.065700000000007</v>
      </c>
      <c r="I622" s="6">
        <f t="shared" si="3177"/>
        <v>22.430700000000002</v>
      </c>
      <c r="J622">
        <v>3.6</v>
      </c>
      <c r="K622" s="5">
        <v>6.5000000000000002E-2</v>
      </c>
      <c r="L622" s="17">
        <v>2067</v>
      </c>
      <c r="M622" s="5">
        <v>0.55000000000000004</v>
      </c>
      <c r="N622" s="6">
        <f t="shared" si="3178"/>
        <v>11.634300000000001</v>
      </c>
      <c r="O622" s="21">
        <f t="shared" si="3179"/>
        <v>46.035000000000004</v>
      </c>
      <c r="P622" s="8">
        <f t="shared" si="3019"/>
        <v>46.041871428571433</v>
      </c>
      <c r="Q622" s="8">
        <f t="shared" si="3180"/>
        <v>61.269300000000001</v>
      </c>
      <c r="R622" s="6">
        <f t="shared" si="3181"/>
        <v>22.430700000000002</v>
      </c>
      <c r="S622" s="6">
        <f t="shared" si="3182"/>
        <v>5.4405000000000001</v>
      </c>
      <c r="T622" s="6">
        <f t="shared" si="3183"/>
        <v>1.1730000000000089</v>
      </c>
      <c r="U622" s="6">
        <f t="shared" si="3184"/>
        <v>-0.96364999999999768</v>
      </c>
      <c r="V622" s="6">
        <f t="shared" si="3185"/>
        <v>-0.84999999999999432</v>
      </c>
      <c r="W622" s="9">
        <f>Tabla1[[#This Row],[Protein]]/Tabla1[[#This Row],[Peso (Kg)]]</f>
        <v>0.26798924731182799</v>
      </c>
      <c r="X622" s="9">
        <f t="shared" si="3078"/>
        <v>0.26780863769325236</v>
      </c>
      <c r="Y622" s="6">
        <f t="shared" si="3186"/>
        <v>37.665000000000006</v>
      </c>
      <c r="Z622" s="6">
        <f t="shared" ref="Z622" si="3206">AVERAGE(E616:E622)</f>
        <v>83.907142857142858</v>
      </c>
      <c r="AA622" s="6">
        <f t="shared" ref="AA622" si="3207">AVERAGE(N616:N622)</f>
        <v>11.796021428571427</v>
      </c>
      <c r="AB622" s="6">
        <f t="shared" ref="AB622" si="3208">AVERAGE(R616:R622)</f>
        <v>22.469249999999995</v>
      </c>
      <c r="AC622" s="6">
        <f t="shared" si="3205"/>
        <v>0.4635311724234592</v>
      </c>
      <c r="AD622" s="42">
        <f>Tabla1[[#This Row],[Avg Agua)]]/Tabla1[[#This Row],[Avg Musculo]]</f>
        <v>2.0491058414754137</v>
      </c>
      <c r="AE622" t="s">
        <v>181</v>
      </c>
    </row>
    <row r="623" spans="1:31" x14ac:dyDescent="0.3">
      <c r="A623" t="s">
        <v>174</v>
      </c>
      <c r="B623">
        <v>38</v>
      </c>
      <c r="C623" t="s">
        <v>121</v>
      </c>
      <c r="D623" s="4">
        <v>45920</v>
      </c>
      <c r="E623" s="6">
        <v>83.7</v>
      </c>
      <c r="F623" s="7">
        <f t="shared" ref="F623:F629" si="3209">E623/(1.88^2)</f>
        <v>23.681530104119513</v>
      </c>
      <c r="G623" s="9">
        <v>0.14199999999999999</v>
      </c>
      <c r="H623" s="6">
        <f t="shared" ref="H623:H629" si="3210">E623-N623</f>
        <v>71.814599999999999</v>
      </c>
      <c r="I623" s="6">
        <f t="shared" ref="I623:I629" si="3211">E623-N623-O623-J623</f>
        <v>22.530699999999996</v>
      </c>
      <c r="J623">
        <v>3.5</v>
      </c>
      <c r="K623" s="5">
        <v>6.5000000000000002E-2</v>
      </c>
      <c r="L623" s="17">
        <v>2060</v>
      </c>
      <c r="M623" s="5">
        <v>0.54700000000000004</v>
      </c>
      <c r="N623" s="6">
        <f t="shared" ref="N623:N629" si="3212">E623*G623</f>
        <v>11.885399999999999</v>
      </c>
      <c r="O623" s="21">
        <f t="shared" ref="O623:O629" si="3213">M623*E623</f>
        <v>45.783900000000003</v>
      </c>
      <c r="P623" s="8">
        <f t="shared" si="3019"/>
        <v>46.021592857142871</v>
      </c>
      <c r="Q623" s="8">
        <f t="shared" ref="Q623:Q629" si="3214">E623-R623</f>
        <v>61.169300000000007</v>
      </c>
      <c r="R623" s="6">
        <f t="shared" ref="R623:R629" si="3215">I623</f>
        <v>22.530699999999996</v>
      </c>
      <c r="S623" s="6">
        <f t="shared" ref="S623:S629" si="3216">K623*E623</f>
        <v>5.4405000000000001</v>
      </c>
      <c r="T623" s="6">
        <f t="shared" ref="T623:T629" si="3217">I623-I622</f>
        <v>9.9999999999994316E-2</v>
      </c>
      <c r="U623" s="6">
        <f t="shared" ref="U623:U629" si="3218">N623-N622</f>
        <v>0.25109999999999744</v>
      </c>
      <c r="V623" s="6">
        <f t="shared" si="3185"/>
        <v>0</v>
      </c>
      <c r="W623" s="9">
        <f>Tabla1[[#This Row],[Protein]]/Tabla1[[#This Row],[Peso (Kg)]]</f>
        <v>0.26918399044205488</v>
      </c>
      <c r="X623" s="9">
        <f t="shared" si="3078"/>
        <v>0.26829083086035371</v>
      </c>
      <c r="Y623" s="6">
        <f t="shared" ref="Y623:Y629" si="3219">R623+N623+J623</f>
        <v>37.916099999999993</v>
      </c>
      <c r="Z623" s="6">
        <f t="shared" ref="Z623" si="3220">AVERAGE(E617:E623)</f>
        <v>83.95714285714287</v>
      </c>
      <c r="AA623" s="6">
        <f t="shared" ref="AA623" si="3221">AVERAGE(N617:N623)</f>
        <v>11.826935714285714</v>
      </c>
      <c r="AB623" s="6">
        <f t="shared" ref="AB623" si="3222">AVERAGE(R617:R623)</f>
        <v>22.522899999999996</v>
      </c>
      <c r="AC623" s="6">
        <f t="shared" si="3205"/>
        <v>0.23877076448926005</v>
      </c>
      <c r="AD623" s="42">
        <f>Tabla1[[#This Row],[Avg Agua)]]/Tabla1[[#This Row],[Avg Musculo]]</f>
        <v>2.0433244767389138</v>
      </c>
      <c r="AE623" t="s">
        <v>182</v>
      </c>
    </row>
    <row r="624" spans="1:31" x14ac:dyDescent="0.3">
      <c r="A624" t="s">
        <v>174</v>
      </c>
      <c r="B624">
        <v>38</v>
      </c>
      <c r="C624" t="s">
        <v>26</v>
      </c>
      <c r="D624" s="4">
        <v>45921</v>
      </c>
      <c r="E624" s="6">
        <v>84.35</v>
      </c>
      <c r="F624" s="7">
        <f t="shared" si="3209"/>
        <v>23.865436849253054</v>
      </c>
      <c r="G624" s="9">
        <v>0.14499999999999999</v>
      </c>
      <c r="H624" s="6">
        <f t="shared" si="3210"/>
        <v>72.119249999999994</v>
      </c>
      <c r="I624" s="6">
        <f t="shared" si="3211"/>
        <v>22.042399999999994</v>
      </c>
      <c r="J624">
        <v>3.6</v>
      </c>
      <c r="K624" s="5">
        <v>6.5000000000000002E-2</v>
      </c>
      <c r="L624" s="17">
        <v>2070</v>
      </c>
      <c r="M624" s="5">
        <v>0.55100000000000005</v>
      </c>
      <c r="N624" s="6">
        <f t="shared" si="3212"/>
        <v>12.230749999999999</v>
      </c>
      <c r="O624" s="21">
        <f t="shared" si="3213"/>
        <v>46.476849999999999</v>
      </c>
      <c r="P624" s="8">
        <f t="shared" si="3019"/>
        <v>46.08184285714286</v>
      </c>
      <c r="Q624" s="8">
        <f t="shared" si="3214"/>
        <v>62.307600000000001</v>
      </c>
      <c r="R624" s="6">
        <f t="shared" si="3215"/>
        <v>22.042399999999994</v>
      </c>
      <c r="S624" s="6">
        <f t="shared" si="3216"/>
        <v>5.4827500000000002</v>
      </c>
      <c r="T624" s="6">
        <f t="shared" si="3217"/>
        <v>-0.4883000000000024</v>
      </c>
      <c r="U624" s="6">
        <f t="shared" si="3218"/>
        <v>0.34534999999999982</v>
      </c>
      <c r="V624" s="6">
        <f t="shared" ref="V624:V629" si="3223">E624-E623</f>
        <v>0.64999999999999147</v>
      </c>
      <c r="W624" s="9">
        <f>Tabla1[[#This Row],[Protein]]/Tabla1[[#This Row],[Peso (Kg)]]</f>
        <v>0.26132068761114396</v>
      </c>
      <c r="X624" s="9">
        <f t="shared" si="3078"/>
        <v>0.26714797371749655</v>
      </c>
      <c r="Y624" s="6">
        <f t="shared" si="3219"/>
        <v>37.873149999999995</v>
      </c>
      <c r="Z624" s="6">
        <f t="shared" ref="Z624" si="3224">AVERAGE(E618:E624)</f>
        <v>83.957142857142841</v>
      </c>
      <c r="AA624" s="6">
        <f t="shared" ref="AA624" si="3225">AVERAGE(N618:N624)</f>
        <v>11.863085714285715</v>
      </c>
      <c r="AB624" s="6">
        <f t="shared" ref="AB624" si="3226">AVERAGE(R618:R624)</f>
        <v>22.426499999999994</v>
      </c>
      <c r="AC624" s="6">
        <f t="shared" si="3205"/>
        <v>-0.42800882657207939</v>
      </c>
      <c r="AD624" s="42">
        <f>Tabla1[[#This Row],[Avg Agua)]]/Tabla1[[#This Row],[Avg Musculo]]</f>
        <v>2.0547942325883608</v>
      </c>
      <c r="AE624" t="s">
        <v>132</v>
      </c>
    </row>
    <row r="625" spans="1:31" x14ac:dyDescent="0.3">
      <c r="A625" t="s">
        <v>174</v>
      </c>
      <c r="B625">
        <v>39</v>
      </c>
      <c r="C625" t="s">
        <v>21</v>
      </c>
      <c r="D625" s="4">
        <v>45922</v>
      </c>
      <c r="E625" s="6">
        <v>83.9</v>
      </c>
      <c r="F625" s="7">
        <f t="shared" si="3209"/>
        <v>23.738116794929837</v>
      </c>
      <c r="G625" s="9">
        <v>0.14000000000000001</v>
      </c>
      <c r="H625" s="6">
        <f t="shared" si="3210"/>
        <v>72.153999999999996</v>
      </c>
      <c r="I625" s="6">
        <f t="shared" si="3211"/>
        <v>22.408999999999985</v>
      </c>
      <c r="J625">
        <v>3.6</v>
      </c>
      <c r="K625" s="5">
        <v>6.5000000000000002E-2</v>
      </c>
      <c r="L625" s="17">
        <v>2070</v>
      </c>
      <c r="M625" s="5">
        <v>0.55000000000000004</v>
      </c>
      <c r="N625" s="6">
        <f t="shared" si="3212"/>
        <v>11.746000000000002</v>
      </c>
      <c r="O625" s="21">
        <f t="shared" si="3213"/>
        <v>46.14500000000001</v>
      </c>
      <c r="P625" s="8">
        <f t="shared" si="3019"/>
        <v>46.133985714285714</v>
      </c>
      <c r="Q625" s="8">
        <f t="shared" si="3214"/>
        <v>61.491000000000021</v>
      </c>
      <c r="R625" s="6">
        <f t="shared" si="3215"/>
        <v>22.408999999999985</v>
      </c>
      <c r="S625" s="6">
        <f t="shared" si="3216"/>
        <v>5.4535000000000009</v>
      </c>
      <c r="T625" s="6">
        <f t="shared" si="3217"/>
        <v>0.36659999999999116</v>
      </c>
      <c r="U625" s="6">
        <f t="shared" si="3218"/>
        <v>-0.48474999999999646</v>
      </c>
      <c r="V625" s="6">
        <f t="shared" si="3223"/>
        <v>-0.44999999999998863</v>
      </c>
      <c r="W625" s="9">
        <f>Tabla1[[#This Row],[Protein]]/Tabla1[[#This Row],[Peso (Kg)]]</f>
        <v>0.26709177592371852</v>
      </c>
      <c r="X625" s="9">
        <f t="shared" si="3078"/>
        <v>0.26585496211476251</v>
      </c>
      <c r="Y625" s="6">
        <f t="shared" si="3219"/>
        <v>37.754999999999988</v>
      </c>
      <c r="Z625" s="6">
        <f t="shared" ref="Z625" si="3227">AVERAGE(E619:E625)</f>
        <v>83.942857142857136</v>
      </c>
      <c r="AA625" s="6">
        <f t="shared" ref="AA625" si="3228">AVERAGE(N619:N625)</f>
        <v>11.909085714285712</v>
      </c>
      <c r="AB625" s="6">
        <f t="shared" ref="AB625" si="3229">AVERAGE(R619:R625)</f>
        <v>22.314071428571424</v>
      </c>
      <c r="AC625" s="6">
        <f t="shared" si="3205"/>
        <v>-0.50132018562223379</v>
      </c>
      <c r="AD625" s="42">
        <f>Tabla1[[#This Row],[Avg Agua)]]/Tabla1[[#This Row],[Avg Musculo]]</f>
        <v>2.0674840027272992</v>
      </c>
    </row>
    <row r="626" spans="1:31" x14ac:dyDescent="0.3">
      <c r="A626" t="s">
        <v>174</v>
      </c>
      <c r="B626">
        <v>39</v>
      </c>
      <c r="C626" t="s">
        <v>23</v>
      </c>
      <c r="D626" s="4">
        <v>45923</v>
      </c>
      <c r="E626" s="6">
        <v>83.35</v>
      </c>
      <c r="F626" s="7">
        <f t="shared" si="3209"/>
        <v>23.582503395201449</v>
      </c>
      <c r="G626" s="9">
        <v>0.13700000000000001</v>
      </c>
      <c r="H626" s="6">
        <f t="shared" si="3210"/>
        <v>71.931049999999999</v>
      </c>
      <c r="I626" s="6">
        <f t="shared" si="3211"/>
        <v>22.905299999999997</v>
      </c>
      <c r="J626">
        <v>3.6</v>
      </c>
      <c r="K626" s="5">
        <v>6.5000000000000002E-2</v>
      </c>
      <c r="L626" s="17">
        <v>2062</v>
      </c>
      <c r="M626" s="5">
        <v>0.54500000000000004</v>
      </c>
      <c r="N626" s="6">
        <f t="shared" si="3212"/>
        <v>11.418950000000001</v>
      </c>
      <c r="O626" s="21">
        <f t="shared" si="3213"/>
        <v>45.425750000000001</v>
      </c>
      <c r="P626" s="8">
        <f t="shared" si="3019"/>
        <v>46.165835714285713</v>
      </c>
      <c r="Q626" s="8">
        <f t="shared" si="3214"/>
        <v>60.444699999999997</v>
      </c>
      <c r="R626" s="6">
        <f t="shared" si="3215"/>
        <v>22.905299999999997</v>
      </c>
      <c r="S626" s="6">
        <f t="shared" si="3216"/>
        <v>5.4177499999999998</v>
      </c>
      <c r="T626" s="6">
        <f t="shared" si="3217"/>
        <v>0.49630000000001218</v>
      </c>
      <c r="U626" s="6">
        <f t="shared" si="3218"/>
        <v>-0.32705000000000162</v>
      </c>
      <c r="V626" s="6">
        <f t="shared" si="3223"/>
        <v>-0.55000000000001137</v>
      </c>
      <c r="W626" s="9">
        <f>Tabla1[[#This Row],[Protein]]/Tabla1[[#This Row],[Peso (Kg)]]</f>
        <v>0.27480863827234553</v>
      </c>
      <c r="X626" s="9">
        <f t="shared" si="3078"/>
        <v>0.26556554867165466</v>
      </c>
      <c r="Y626" s="6">
        <f t="shared" si="3219"/>
        <v>37.924250000000001</v>
      </c>
      <c r="Z626" s="6">
        <f t="shared" ref="Z626" si="3230">AVERAGE(E620:E626)</f>
        <v>83.935714285714283</v>
      </c>
      <c r="AA626" s="6">
        <f t="shared" ref="AA626" si="3231">AVERAGE(N620:N626)</f>
        <v>11.896192857142855</v>
      </c>
      <c r="AB626" s="6">
        <f t="shared" ref="AB626" si="3232">AVERAGE(R620:R626)</f>
        <v>22.287971428571421</v>
      </c>
      <c r="AC626" s="6">
        <f t="shared" si="3205"/>
        <v>-0.11696655217561247</v>
      </c>
      <c r="AD626" s="42">
        <f>Tabla1[[#This Row],[Avg Agua)]]/Tabla1[[#This Row],[Avg Musculo]]</f>
        <v>2.0713341212877165</v>
      </c>
    </row>
    <row r="627" spans="1:31" x14ac:dyDescent="0.3">
      <c r="A627" t="s">
        <v>174</v>
      </c>
      <c r="B627">
        <v>39</v>
      </c>
      <c r="C627" t="s">
        <v>24</v>
      </c>
      <c r="D627" s="4">
        <v>45924</v>
      </c>
      <c r="E627" s="6">
        <v>84.95</v>
      </c>
      <c r="F627" s="7">
        <f t="shared" si="3209"/>
        <v>24.035196921684022</v>
      </c>
      <c r="G627" s="9">
        <v>0.155</v>
      </c>
      <c r="H627" s="6">
        <f t="shared" si="3210"/>
        <v>71.782750000000007</v>
      </c>
      <c r="I627" s="6">
        <f t="shared" si="3211"/>
        <v>21.22045</v>
      </c>
      <c r="J627">
        <v>3.5</v>
      </c>
      <c r="K627" s="5">
        <v>7.0000000000000007E-2</v>
      </c>
      <c r="L627" s="17">
        <v>2065</v>
      </c>
      <c r="M627" s="5">
        <v>0.55400000000000005</v>
      </c>
      <c r="N627" s="6">
        <f t="shared" si="3212"/>
        <v>13.167250000000001</v>
      </c>
      <c r="O627" s="21">
        <f t="shared" si="3213"/>
        <v>47.062300000000008</v>
      </c>
      <c r="P627" s="8">
        <f t="shared" si="3019"/>
        <v>46.289021428571438</v>
      </c>
      <c r="Q627" s="8">
        <f t="shared" si="3214"/>
        <v>63.729550000000003</v>
      </c>
      <c r="R627" s="6">
        <f t="shared" si="3215"/>
        <v>21.22045</v>
      </c>
      <c r="S627" s="6">
        <f t="shared" si="3216"/>
        <v>5.9465000000000003</v>
      </c>
      <c r="T627" s="6">
        <f t="shared" si="3217"/>
        <v>-1.6848499999999973</v>
      </c>
      <c r="U627" s="6">
        <f t="shared" si="3218"/>
        <v>1.7483000000000004</v>
      </c>
      <c r="V627" s="6">
        <f t="shared" si="3223"/>
        <v>1.6000000000000085</v>
      </c>
      <c r="W627" s="9">
        <f>Tabla1[[#This Row],[Protein]]/Tabla1[[#This Row],[Peso (Kg)]]</f>
        <v>0.24979929370217774</v>
      </c>
      <c r="X627" s="9">
        <f t="shared" si="3078"/>
        <v>0.26308789675155758</v>
      </c>
      <c r="Y627" s="6">
        <f t="shared" si="3219"/>
        <v>37.887700000000002</v>
      </c>
      <c r="Z627" s="6">
        <f t="shared" ref="Z627" si="3233">AVERAGE(E621:E627)</f>
        <v>84.071428571428569</v>
      </c>
      <c r="AA627" s="6">
        <f t="shared" ref="AA627" si="3234">AVERAGE(N621:N627)</f>
        <v>12.097228571428571</v>
      </c>
      <c r="AB627" s="6">
        <f t="shared" ref="AB627" si="3235">AVERAGE(R621:R627)</f>
        <v>22.113749999999992</v>
      </c>
      <c r="AC627" s="6">
        <f t="shared" ref="AC627:AC632" si="3236">100*(AB627/AB626-1)</f>
        <v>-0.7816836499892954</v>
      </c>
      <c r="AD627" s="42">
        <f>Tabla1[[#This Row],[Avg Agua)]]/Tabla1[[#This Row],[Avg Musculo]]</f>
        <v>2.0932235115514759</v>
      </c>
      <c r="AE627" t="s">
        <v>183</v>
      </c>
    </row>
    <row r="628" spans="1:31" x14ac:dyDescent="0.3">
      <c r="A628" t="s">
        <v>174</v>
      </c>
      <c r="B628">
        <v>39</v>
      </c>
      <c r="C628" t="s">
        <v>22</v>
      </c>
      <c r="D628" s="4">
        <v>45925</v>
      </c>
      <c r="E628" s="6">
        <v>84.45</v>
      </c>
      <c r="F628" s="7">
        <f t="shared" si="3209"/>
        <v>23.893730194658218</v>
      </c>
      <c r="G628" s="9">
        <v>0.14199999999999999</v>
      </c>
      <c r="H628" s="6">
        <f t="shared" si="3210"/>
        <v>72.458100000000002</v>
      </c>
      <c r="I628" s="6">
        <f t="shared" si="3211"/>
        <v>22.326149999999998</v>
      </c>
      <c r="J628">
        <v>3.6</v>
      </c>
      <c r="K628" s="5">
        <v>6.5000000000000002E-2</v>
      </c>
      <c r="L628" s="17">
        <v>2080</v>
      </c>
      <c r="M628" s="5">
        <v>0.55100000000000005</v>
      </c>
      <c r="N628" s="6">
        <f t="shared" si="3212"/>
        <v>11.991899999999999</v>
      </c>
      <c r="O628" s="21">
        <f t="shared" si="3213"/>
        <v>46.531950000000002</v>
      </c>
      <c r="P628" s="8">
        <f t="shared" si="3019"/>
        <v>46.208678571428571</v>
      </c>
      <c r="Q628" s="8">
        <f t="shared" si="3214"/>
        <v>62.123850000000004</v>
      </c>
      <c r="R628" s="6">
        <f t="shared" si="3215"/>
        <v>22.326149999999998</v>
      </c>
      <c r="S628" s="6">
        <f t="shared" si="3216"/>
        <v>5.4892500000000002</v>
      </c>
      <c r="T628" s="6">
        <f t="shared" si="3217"/>
        <v>1.1056999999999988</v>
      </c>
      <c r="U628" s="6">
        <f t="shared" si="3218"/>
        <v>-1.1753500000000017</v>
      </c>
      <c r="V628" s="6">
        <f t="shared" si="3223"/>
        <v>-0.5</v>
      </c>
      <c r="W628" s="9">
        <f>Tabla1[[#This Row],[Protein]]/Tabla1[[#This Row],[Peso (Kg)]]</f>
        <v>0.26437122557726461</v>
      </c>
      <c r="X628" s="9">
        <f t="shared" si="3078"/>
        <v>0.26493783697721907</v>
      </c>
      <c r="Y628" s="6">
        <f t="shared" si="3219"/>
        <v>37.918050000000001</v>
      </c>
      <c r="Z628" s="6">
        <f t="shared" ref="Z628" si="3237">AVERAGE(E622:E628)</f>
        <v>84.05714285714285</v>
      </c>
      <c r="AA628" s="6">
        <f t="shared" ref="AA628" si="3238">AVERAGE(N622:N628)</f>
        <v>12.01065</v>
      </c>
      <c r="AB628" s="6">
        <f t="shared" ref="AB628" si="3239">AVERAGE(R622:R628)</f>
        <v>22.266385714285711</v>
      </c>
      <c r="AC628" s="6">
        <f t="shared" si="3236"/>
        <v>0.69022989898013254</v>
      </c>
      <c r="AD628" s="42">
        <f>Tabla1[[#This Row],[Avg Agua)]]/Tabla1[[#This Row],[Avg Musculo]]</f>
        <v>2.0752662405278426</v>
      </c>
    </row>
    <row r="629" spans="1:31" x14ac:dyDescent="0.3">
      <c r="A629" t="s">
        <v>174</v>
      </c>
      <c r="B629">
        <v>39</v>
      </c>
      <c r="C629" t="s">
        <v>20</v>
      </c>
      <c r="D629" s="4">
        <v>45926</v>
      </c>
      <c r="E629" s="6">
        <v>84.05</v>
      </c>
      <c r="F629" s="7">
        <f t="shared" si="3209"/>
        <v>23.780556813037574</v>
      </c>
      <c r="G629" s="9">
        <v>0.13900000000000001</v>
      </c>
      <c r="H629" s="6">
        <f t="shared" si="3210"/>
        <v>72.367049999999992</v>
      </c>
      <c r="I629" s="6">
        <f t="shared" si="3211"/>
        <v>22.791699999999992</v>
      </c>
      <c r="J629">
        <v>3.6</v>
      </c>
      <c r="K629" s="5">
        <v>6.5000000000000002E-2</v>
      </c>
      <c r="L629" s="17">
        <v>2075</v>
      </c>
      <c r="M629" s="5">
        <v>0.54700000000000004</v>
      </c>
      <c r="N629" s="6">
        <f t="shared" si="3212"/>
        <v>11.68295</v>
      </c>
      <c r="O629" s="21">
        <f t="shared" si="3213"/>
        <v>45.975349999999999</v>
      </c>
      <c r="P629" s="8">
        <f t="shared" si="3019"/>
        <v>46.200157142857144</v>
      </c>
      <c r="Q629" s="8">
        <f t="shared" si="3214"/>
        <v>61.258300000000006</v>
      </c>
      <c r="R629" s="6">
        <f t="shared" si="3215"/>
        <v>22.791699999999992</v>
      </c>
      <c r="S629" s="6">
        <f t="shared" si="3216"/>
        <v>5.4632500000000004</v>
      </c>
      <c r="T629" s="6">
        <f t="shared" si="3217"/>
        <v>0.46554999999999325</v>
      </c>
      <c r="U629" s="6">
        <f t="shared" si="3218"/>
        <v>-0.30894999999999939</v>
      </c>
      <c r="V629" s="6">
        <f t="shared" si="3223"/>
        <v>-0.40000000000000568</v>
      </c>
      <c r="W629" s="9">
        <f>Tabla1[[#This Row],[Protein]]/Tabla1[[#This Row],[Peso (Kg)]]</f>
        <v>0.27116835217132651</v>
      </c>
      <c r="X629" s="9">
        <f t="shared" si="3078"/>
        <v>0.26539199481429027</v>
      </c>
      <c r="Y629" s="6">
        <f t="shared" si="3219"/>
        <v>38.074649999999991</v>
      </c>
      <c r="Z629" s="6">
        <f t="shared" ref="Z629" si="3240">AVERAGE(E623:E629)</f>
        <v>84.107142857142861</v>
      </c>
      <c r="AA629" s="6">
        <f t="shared" ref="AA629" si="3241">AVERAGE(N623:N629)</f>
        <v>12.017600000000002</v>
      </c>
      <c r="AB629" s="6">
        <f t="shared" ref="AB629" si="3242">AVERAGE(R623:R629)</f>
        <v>22.317957142857136</v>
      </c>
      <c r="AC629" s="6">
        <f t="shared" si="3236"/>
        <v>0.23161113452883075</v>
      </c>
      <c r="AD629" s="42">
        <f>Tabla1[[#This Row],[Avg Agua)]]/Tabla1[[#This Row],[Avg Musculo]]</f>
        <v>2.0700889802382072</v>
      </c>
    </row>
    <row r="630" spans="1:31" x14ac:dyDescent="0.3">
      <c r="A630" t="s">
        <v>174</v>
      </c>
      <c r="B630">
        <v>39</v>
      </c>
      <c r="C630" t="s">
        <v>121</v>
      </c>
      <c r="D630" s="4">
        <v>45927</v>
      </c>
      <c r="E630" s="6">
        <v>83.45</v>
      </c>
      <c r="F630" s="7">
        <f t="shared" ref="F630:F635" si="3243">E630/(1.88^2)</f>
        <v>23.610796740606613</v>
      </c>
      <c r="G630" s="9">
        <v>0.13800000000000001</v>
      </c>
      <c r="H630" s="6">
        <f t="shared" ref="H630:H635" si="3244">E630-N630</f>
        <v>71.933899999999994</v>
      </c>
      <c r="I630" s="6">
        <f t="shared" ref="I630:I635" si="3245">E630-N630-O630-J630</f>
        <v>23.187449999999991</v>
      </c>
      <c r="J630">
        <v>3.6</v>
      </c>
      <c r="K630" s="5">
        <v>6.5000000000000002E-2</v>
      </c>
      <c r="L630" s="17">
        <v>2062</v>
      </c>
      <c r="M630" s="5">
        <v>0.54100000000000004</v>
      </c>
      <c r="N630" s="6">
        <f t="shared" ref="N630:N635" si="3246">E630*G630</f>
        <v>11.516100000000002</v>
      </c>
      <c r="O630" s="21">
        <f t="shared" ref="O630:O635" si="3247">M630*E630</f>
        <v>45.146450000000002</v>
      </c>
      <c r="P630" s="8">
        <f t="shared" si="3019"/>
        <v>46.109092857142862</v>
      </c>
      <c r="Q630" s="8">
        <f t="shared" ref="Q630:Q635" si="3248">E630-R630</f>
        <v>60.262550000000012</v>
      </c>
      <c r="R630" s="6">
        <f t="shared" ref="R630:R635" si="3249">I630</f>
        <v>23.187449999999991</v>
      </c>
      <c r="S630" s="6">
        <f t="shared" ref="S630:S635" si="3250">K630*E630</f>
        <v>5.4242500000000007</v>
      </c>
      <c r="T630" s="6">
        <f t="shared" ref="T630:T635" si="3251">I630-I629</f>
        <v>0.3957499999999996</v>
      </c>
      <c r="U630" s="6">
        <f t="shared" ref="U630:U635" si="3252">N630-N629</f>
        <v>-0.16684999999999839</v>
      </c>
      <c r="V630" s="6">
        <f t="shared" ref="V630:V635" si="3253">E630-E629</f>
        <v>-0.59999999999999432</v>
      </c>
      <c r="W630" s="9">
        <f>Tabla1[[#This Row],[Protein]]/Tabla1[[#This Row],[Peso (Kg)]]</f>
        <v>0.27786039544637497</v>
      </c>
      <c r="X630" s="9">
        <f t="shared" si="3078"/>
        <v>0.26663148124347885</v>
      </c>
      <c r="Y630" s="6">
        <f t="shared" ref="Y630:Y635" si="3254">R630+N630+J630</f>
        <v>38.303549999999994</v>
      </c>
      <c r="Z630" s="6">
        <f t="shared" ref="Z630" si="3255">AVERAGE(E624:E630)</f>
        <v>84.071428571428569</v>
      </c>
      <c r="AA630" s="6">
        <f t="shared" ref="AA630" si="3256">AVERAGE(N624:N630)</f>
        <v>11.964842857142859</v>
      </c>
      <c r="AB630" s="6">
        <f t="shared" ref="AB630" si="3257">AVERAGE(R624:R630)</f>
        <v>22.411778571428563</v>
      </c>
      <c r="AC630" s="6">
        <f t="shared" si="3236"/>
        <v>0.42038537833404277</v>
      </c>
      <c r="AD630" s="42">
        <f>Tabla1[[#This Row],[Avg Agua)]]/Tabla1[[#This Row],[Avg Musculo]]</f>
        <v>2.0573598257803862</v>
      </c>
    </row>
    <row r="631" spans="1:31" x14ac:dyDescent="0.3">
      <c r="A631" t="s">
        <v>174</v>
      </c>
      <c r="B631">
        <v>39</v>
      </c>
      <c r="C631" t="s">
        <v>26</v>
      </c>
      <c r="D631" s="4">
        <v>45928</v>
      </c>
      <c r="E631" s="6">
        <v>83.75</v>
      </c>
      <c r="F631" s="7">
        <f t="shared" si="3243"/>
        <v>23.695676776822094</v>
      </c>
      <c r="G631" s="9">
        <v>0.13200000000000001</v>
      </c>
      <c r="H631" s="6">
        <f t="shared" si="3244"/>
        <v>72.694999999999993</v>
      </c>
      <c r="I631" s="6">
        <f t="shared" si="3245"/>
        <v>22.697499999999991</v>
      </c>
      <c r="J631">
        <v>3.6</v>
      </c>
      <c r="K631" s="5">
        <v>6.5000000000000002E-2</v>
      </c>
      <c r="L631" s="17">
        <v>2084</v>
      </c>
      <c r="M631" s="5">
        <v>0.55400000000000005</v>
      </c>
      <c r="N631" s="6">
        <f t="shared" si="3246"/>
        <v>11.055</v>
      </c>
      <c r="O631" s="21">
        <f t="shared" si="3247"/>
        <v>46.397500000000001</v>
      </c>
      <c r="P631" s="8">
        <f t="shared" si="3019"/>
        <v>46.097757142857141</v>
      </c>
      <c r="Q631" s="8">
        <f t="shared" si="3248"/>
        <v>61.052500000000009</v>
      </c>
      <c r="R631" s="6">
        <f t="shared" si="3249"/>
        <v>22.697499999999991</v>
      </c>
      <c r="S631" s="6">
        <f t="shared" si="3250"/>
        <v>5.4437500000000005</v>
      </c>
      <c r="T631" s="6">
        <f t="shared" si="3251"/>
        <v>-0.48995000000000033</v>
      </c>
      <c r="U631" s="6">
        <f t="shared" si="3252"/>
        <v>-0.46110000000000184</v>
      </c>
      <c r="V631" s="6">
        <f t="shared" si="3253"/>
        <v>0.29999999999999716</v>
      </c>
      <c r="W631" s="9">
        <f>Tabla1[[#This Row],[Protein]]/Tabla1[[#This Row],[Peso (Kg)]]</f>
        <v>0.27101492537313421</v>
      </c>
      <c r="X631" s="9">
        <f t="shared" si="3078"/>
        <v>0.26801637235233461</v>
      </c>
      <c r="Y631" s="6">
        <f t="shared" si="3254"/>
        <v>37.352499999999992</v>
      </c>
      <c r="Z631" s="6">
        <f t="shared" ref="Z631" si="3258">AVERAGE(E625:E631)</f>
        <v>83.98571428571428</v>
      </c>
      <c r="AA631" s="6">
        <f t="shared" ref="AA631" si="3259">AVERAGE(N625:N631)</f>
        <v>11.796878571428575</v>
      </c>
      <c r="AB631" s="6">
        <f t="shared" ref="AB631" si="3260">AVERAGE(R625:R631)</f>
        <v>22.505364285714279</v>
      </c>
      <c r="AC631" s="6">
        <f t="shared" si="3236"/>
        <v>0.41757379490185986</v>
      </c>
      <c r="AD631" s="42">
        <f>Tabla1[[#This Row],[Avg Agua)]]/Tabla1[[#This Row],[Avg Musculo]]</f>
        <v>2.0483008654127226</v>
      </c>
    </row>
    <row r="632" spans="1:31" x14ac:dyDescent="0.3">
      <c r="A632" t="s">
        <v>174</v>
      </c>
      <c r="B632">
        <v>40</v>
      </c>
      <c r="C632" t="s">
        <v>21</v>
      </c>
      <c r="D632" s="4">
        <v>45929</v>
      </c>
      <c r="E632" s="6">
        <v>83.55</v>
      </c>
      <c r="F632" s="7">
        <f t="shared" si="3243"/>
        <v>23.63909008601177</v>
      </c>
      <c r="G632" s="9">
        <v>0.13500000000000001</v>
      </c>
      <c r="H632" s="6">
        <f t="shared" si="3244"/>
        <v>72.270749999999992</v>
      </c>
      <c r="I632" s="6">
        <f t="shared" si="3245"/>
        <v>22.300499999999985</v>
      </c>
      <c r="J632">
        <v>3.6</v>
      </c>
      <c r="K632" s="5">
        <v>6.5000000000000002E-2</v>
      </c>
      <c r="L632" s="17">
        <v>2072</v>
      </c>
      <c r="M632" s="5">
        <v>0.55500000000000005</v>
      </c>
      <c r="N632" s="6">
        <f t="shared" si="3246"/>
        <v>11.279250000000001</v>
      </c>
      <c r="O632" s="21">
        <f t="shared" si="3247"/>
        <v>46.370250000000006</v>
      </c>
      <c r="P632" s="8">
        <f t="shared" si="3019"/>
        <v>46.129935714285708</v>
      </c>
      <c r="Q632" s="8">
        <f t="shared" si="3248"/>
        <v>61.249500000000012</v>
      </c>
      <c r="R632" s="6">
        <f t="shared" si="3249"/>
        <v>22.300499999999985</v>
      </c>
      <c r="S632" s="6">
        <f t="shared" si="3250"/>
        <v>5.4307499999999997</v>
      </c>
      <c r="T632" s="6">
        <f t="shared" si="3251"/>
        <v>-0.39700000000000557</v>
      </c>
      <c r="U632" s="6">
        <f t="shared" si="3252"/>
        <v>0.22425000000000139</v>
      </c>
      <c r="V632" s="6">
        <f t="shared" si="3253"/>
        <v>-0.20000000000000284</v>
      </c>
      <c r="W632" s="9">
        <f>Tabla1[[#This Row],[Protein]]/Tabla1[[#This Row],[Peso (Kg)]]</f>
        <v>0.266912028725314</v>
      </c>
      <c r="X632" s="9">
        <f t="shared" si="3078"/>
        <v>0.26799069418113397</v>
      </c>
      <c r="Y632" s="6">
        <f t="shared" si="3254"/>
        <v>37.179749999999991</v>
      </c>
      <c r="Z632" s="6">
        <f t="shared" ref="Z632" si="3261">AVERAGE(E626:E632)</f>
        <v>83.935714285714283</v>
      </c>
      <c r="AA632" s="6">
        <f t="shared" ref="AA632" si="3262">AVERAGE(N626:N632)</f>
        <v>11.7302</v>
      </c>
      <c r="AB632" s="6">
        <f t="shared" ref="AB632" si="3263">AVERAGE(R626:R632)</f>
        <v>22.48986428571428</v>
      </c>
      <c r="AC632" s="6">
        <f t="shared" si="3236"/>
        <v>-6.8872468817748889E-2</v>
      </c>
      <c r="AD632" s="42">
        <f>Tabla1[[#This Row],[Avg Agua)]]/Tabla1[[#This Row],[Avg Musculo]]</f>
        <v>2.0511433563246428</v>
      </c>
    </row>
    <row r="633" spans="1:31" x14ac:dyDescent="0.3">
      <c r="A633" t="s">
        <v>174</v>
      </c>
      <c r="B633">
        <v>40</v>
      </c>
      <c r="C633" t="s">
        <v>23</v>
      </c>
      <c r="D633" s="4">
        <v>45930</v>
      </c>
      <c r="E633" s="6">
        <v>83.45</v>
      </c>
      <c r="F633" s="7">
        <f t="shared" si="3243"/>
        <v>23.610796740606613</v>
      </c>
      <c r="G633" s="9">
        <v>0.13200000000000001</v>
      </c>
      <c r="H633" s="6">
        <f t="shared" si="3244"/>
        <v>72.434600000000003</v>
      </c>
      <c r="I633" s="6">
        <f t="shared" si="3245"/>
        <v>22.770199999999996</v>
      </c>
      <c r="J633">
        <v>3.6</v>
      </c>
      <c r="K633" s="5">
        <v>6.5000000000000002E-2</v>
      </c>
      <c r="L633" s="17">
        <v>2076</v>
      </c>
      <c r="M633" s="5">
        <v>0.55200000000000005</v>
      </c>
      <c r="N633" s="6">
        <f t="shared" si="3246"/>
        <v>11.015400000000001</v>
      </c>
      <c r="O633" s="21">
        <f t="shared" si="3247"/>
        <v>46.064400000000006</v>
      </c>
      <c r="P633" s="8">
        <f t="shared" si="3019"/>
        <v>46.221171428571438</v>
      </c>
      <c r="Q633" s="8">
        <f t="shared" si="3248"/>
        <v>60.679800000000007</v>
      </c>
      <c r="R633" s="6">
        <f t="shared" si="3249"/>
        <v>22.770199999999996</v>
      </c>
      <c r="S633" s="6">
        <f t="shared" si="3250"/>
        <v>5.4242500000000007</v>
      </c>
      <c r="T633" s="6">
        <f t="shared" si="3251"/>
        <v>0.46970000000001022</v>
      </c>
      <c r="U633" s="6">
        <f t="shared" si="3252"/>
        <v>-0.2638499999999997</v>
      </c>
      <c r="V633" s="6">
        <f t="shared" si="3253"/>
        <v>-9.9999999999994316E-2</v>
      </c>
      <c r="W633" s="9">
        <f>Tabla1[[#This Row],[Protein]]/Tabla1[[#This Row],[Peso (Kg)]]</f>
        <v>0.27286039544637503</v>
      </c>
      <c r="X633" s="9">
        <f t="shared" si="3078"/>
        <v>0.26771237377742391</v>
      </c>
      <c r="Y633" s="6">
        <f t="shared" si="3254"/>
        <v>37.385599999999997</v>
      </c>
      <c r="Z633" s="6">
        <f t="shared" ref="Z633" si="3264">AVERAGE(E627:E633)</f>
        <v>83.95</v>
      </c>
      <c r="AA633" s="6">
        <f t="shared" ref="AA633" si="3265">AVERAGE(N627:N633)</f>
        <v>11.672550000000001</v>
      </c>
      <c r="AB633" s="6">
        <f t="shared" ref="AB633" si="3266">AVERAGE(R627:R633)</f>
        <v>22.470564285714278</v>
      </c>
      <c r="AC633" s="6">
        <f t="shared" ref="AC633:AC638" si="3267">100*(AB633/AB632-1)</f>
        <v>-8.5816436038965715E-2</v>
      </c>
      <c r="AD633" s="42">
        <f>Tabla1[[#This Row],[Avg Agua)]]/Tabla1[[#This Row],[Avg Musculo]]</f>
        <v>2.0569653187551089</v>
      </c>
    </row>
    <row r="634" spans="1:31" x14ac:dyDescent="0.3">
      <c r="A634" t="s">
        <v>174</v>
      </c>
      <c r="B634">
        <v>40</v>
      </c>
      <c r="C634" t="s">
        <v>24</v>
      </c>
      <c r="D634" s="4">
        <v>45931</v>
      </c>
      <c r="E634" s="6">
        <v>83.25</v>
      </c>
      <c r="F634" s="7">
        <f t="shared" si="3243"/>
        <v>23.554210049796289</v>
      </c>
      <c r="G634" s="9">
        <v>0.13400000000000001</v>
      </c>
      <c r="H634" s="6">
        <f t="shared" si="3244"/>
        <v>72.094499999999996</v>
      </c>
      <c r="I634" s="6">
        <f t="shared" si="3245"/>
        <v>22.873499999999993</v>
      </c>
      <c r="J634">
        <v>3.6</v>
      </c>
      <c r="K634" s="5">
        <v>6.5000000000000002E-2</v>
      </c>
      <c r="L634" s="17">
        <v>2067</v>
      </c>
      <c r="M634" s="5">
        <v>0.54800000000000004</v>
      </c>
      <c r="N634" s="6">
        <f t="shared" si="3246"/>
        <v>11.1555</v>
      </c>
      <c r="O634" s="21">
        <f t="shared" si="3247"/>
        <v>45.621000000000002</v>
      </c>
      <c r="P634" s="8">
        <f t="shared" si="3019"/>
        <v>46.015271428571431</v>
      </c>
      <c r="Q634" s="8">
        <f t="shared" si="3248"/>
        <v>60.376500000000007</v>
      </c>
      <c r="R634" s="6">
        <f t="shared" si="3249"/>
        <v>22.873499999999993</v>
      </c>
      <c r="S634" s="6">
        <f t="shared" si="3250"/>
        <v>5.4112499999999999</v>
      </c>
      <c r="T634" s="6">
        <f t="shared" si="3251"/>
        <v>0.10329999999999728</v>
      </c>
      <c r="U634" s="6">
        <f t="shared" si="3252"/>
        <v>0.14009999999999856</v>
      </c>
      <c r="V634" s="6">
        <f t="shared" si="3253"/>
        <v>-0.20000000000000284</v>
      </c>
      <c r="W634" s="9">
        <f>Tabla1[[#This Row],[Protein]]/Tabla1[[#This Row],[Peso (Kg)]]</f>
        <v>0.27475675675675665</v>
      </c>
      <c r="X634" s="9">
        <f t="shared" si="3078"/>
        <v>0.27127772564236369</v>
      </c>
      <c r="Y634" s="6">
        <f t="shared" si="3254"/>
        <v>37.628999999999998</v>
      </c>
      <c r="Z634" s="6">
        <f t="shared" ref="Z634" si="3268">AVERAGE(E628:E634)</f>
        <v>83.70714285714287</v>
      </c>
      <c r="AA634" s="6">
        <f t="shared" ref="AA634" si="3269">AVERAGE(N628:N634)</f>
        <v>11.385157142857143</v>
      </c>
      <c r="AB634" s="6">
        <f t="shared" ref="AB634" si="3270">AVERAGE(R628:R634)</f>
        <v>22.706714285714277</v>
      </c>
      <c r="AC634" s="6">
        <f t="shared" si="3267"/>
        <v>1.0509304394733521</v>
      </c>
      <c r="AD634" s="42">
        <f>Tabla1[[#This Row],[Avg Agua)]]/Tabla1[[#This Row],[Avg Musculo]]</f>
        <v>2.0265050614355737</v>
      </c>
    </row>
    <row r="635" spans="1:31" x14ac:dyDescent="0.3">
      <c r="A635" t="s">
        <v>174</v>
      </c>
      <c r="B635">
        <v>40</v>
      </c>
      <c r="C635" t="s">
        <v>22</v>
      </c>
      <c r="D635" s="4">
        <v>45932</v>
      </c>
      <c r="E635" s="6">
        <v>83.35</v>
      </c>
      <c r="F635" s="7">
        <f t="shared" si="3243"/>
        <v>23.582503395201449</v>
      </c>
      <c r="G635" s="9">
        <v>0.13600000000000001</v>
      </c>
      <c r="H635" s="6">
        <f t="shared" si="3244"/>
        <v>72.014399999999995</v>
      </c>
      <c r="I635" s="6">
        <f t="shared" si="3245"/>
        <v>22.738599999999991</v>
      </c>
      <c r="J635">
        <v>3.6</v>
      </c>
      <c r="K635" s="5">
        <v>6.5000000000000002E-2</v>
      </c>
      <c r="L635" s="17">
        <v>2065</v>
      </c>
      <c r="M635" s="5">
        <v>0.54800000000000004</v>
      </c>
      <c r="N635" s="6">
        <f t="shared" si="3246"/>
        <v>11.335599999999999</v>
      </c>
      <c r="O635" s="21">
        <f t="shared" si="3247"/>
        <v>45.675800000000002</v>
      </c>
      <c r="P635" s="8">
        <f t="shared" si="3019"/>
        <v>45.892964285714285</v>
      </c>
      <c r="Q635" s="8">
        <f t="shared" si="3248"/>
        <v>60.611400000000003</v>
      </c>
      <c r="R635" s="6">
        <f t="shared" si="3249"/>
        <v>22.738599999999991</v>
      </c>
      <c r="S635" s="6">
        <f t="shared" si="3250"/>
        <v>5.4177499999999998</v>
      </c>
      <c r="T635" s="6">
        <f t="shared" si="3251"/>
        <v>-0.1349000000000018</v>
      </c>
      <c r="U635" s="6">
        <f t="shared" si="3252"/>
        <v>0.18009999999999948</v>
      </c>
      <c r="V635" s="6">
        <f t="shared" si="3253"/>
        <v>9.9999999999994316E-2</v>
      </c>
      <c r="W635" s="9">
        <f>Tabla1[[#This Row],[Protein]]/Tabla1[[#This Row],[Peso (Kg)]]</f>
        <v>0.27280863827234542</v>
      </c>
      <c r="X635" s="9">
        <f t="shared" si="3078"/>
        <v>0.27248307031308955</v>
      </c>
      <c r="Y635" s="6">
        <f t="shared" si="3254"/>
        <v>37.674199999999992</v>
      </c>
      <c r="Z635" s="6">
        <f t="shared" ref="Z635" si="3271">AVERAGE(E629:E635)</f>
        <v>83.55</v>
      </c>
      <c r="AA635" s="6">
        <f t="shared" ref="AA635" si="3272">AVERAGE(N629:N635)</f>
        <v>11.291399999999999</v>
      </c>
      <c r="AB635" s="6">
        <f t="shared" ref="AB635" si="3273">AVERAGE(R629:R635)</f>
        <v>22.765635714285708</v>
      </c>
      <c r="AC635" s="6">
        <f t="shared" si="3267"/>
        <v>0.25948901206063191</v>
      </c>
      <c r="AD635" s="42">
        <f>Tabla1[[#This Row],[Avg Agua)]]/Tabla1[[#This Row],[Avg Musculo]]</f>
        <v>2.0158876677849986</v>
      </c>
    </row>
    <row r="636" spans="1:31" x14ac:dyDescent="0.3">
      <c r="A636" t="s">
        <v>174</v>
      </c>
      <c r="B636">
        <v>40</v>
      </c>
      <c r="C636" t="s">
        <v>20</v>
      </c>
      <c r="D636" s="4">
        <v>45933</v>
      </c>
      <c r="E636" s="6">
        <v>82.95</v>
      </c>
      <c r="F636" s="7">
        <f t="shared" ref="F636:F642" si="3274">E636/(1.88^2)</f>
        <v>23.469330013580809</v>
      </c>
      <c r="G636" s="9">
        <v>0.129</v>
      </c>
      <c r="H636" s="6">
        <f t="shared" ref="H636:H641" si="3275">E636-N636</f>
        <v>72.249449999999996</v>
      </c>
      <c r="I636" s="6">
        <f t="shared" ref="I636:I641" si="3276">E636-N636-O636-J636</f>
        <v>22.52924999999999</v>
      </c>
      <c r="J636">
        <v>3.6</v>
      </c>
      <c r="K636" s="5">
        <v>0.06</v>
      </c>
      <c r="L636" s="17">
        <v>2068</v>
      </c>
      <c r="M636" s="5">
        <v>0.55600000000000005</v>
      </c>
      <c r="N636" s="6">
        <f t="shared" ref="N636:N641" si="3277">E636*G636</f>
        <v>10.70055</v>
      </c>
      <c r="O636" s="21">
        <f t="shared" ref="O636:O641" si="3278">M636*E636</f>
        <v>46.120200000000004</v>
      </c>
      <c r="P636" s="8">
        <f t="shared" si="3019"/>
        <v>45.91365714285714</v>
      </c>
      <c r="Q636" s="8">
        <f t="shared" ref="Q636:Q641" si="3279">E636-R636</f>
        <v>60.420750000000012</v>
      </c>
      <c r="R636" s="6">
        <f t="shared" ref="R636:R641" si="3280">I636</f>
        <v>22.52924999999999</v>
      </c>
      <c r="S636" s="6">
        <f t="shared" ref="S636:S641" si="3281">K636*E636</f>
        <v>4.9770000000000003</v>
      </c>
      <c r="T636" s="6">
        <f t="shared" ref="T636:T641" si="3282">I636-I635</f>
        <v>-0.20935000000000059</v>
      </c>
      <c r="U636" s="6">
        <f t="shared" ref="U636:U641" si="3283">N636-N635</f>
        <v>-0.63504999999999967</v>
      </c>
      <c r="V636" s="6">
        <f t="shared" ref="V636:V641" si="3284">E636-E635</f>
        <v>-0.39999999999999147</v>
      </c>
      <c r="W636" s="9">
        <f>Tabla1[[#This Row],[Protein]]/Tabla1[[#This Row],[Peso (Kg)]]</f>
        <v>0.2716003616636527</v>
      </c>
      <c r="X636" s="9">
        <f t="shared" si="3078"/>
        <v>0.27254478595485038</v>
      </c>
      <c r="Y636" s="6">
        <f t="shared" ref="Y636:Y641" si="3285">R636+N636+J636</f>
        <v>36.829799999999992</v>
      </c>
      <c r="Z636" s="6">
        <f t="shared" ref="Z636" si="3286">AVERAGE(E630:E636)</f>
        <v>83.392857142857139</v>
      </c>
      <c r="AA636" s="6">
        <f t="shared" ref="AA636" si="3287">AVERAGE(N630:N636)</f>
        <v>11.151057142857143</v>
      </c>
      <c r="AB636" s="6">
        <f t="shared" ref="AB636" si="3288">AVERAGE(R630:R636)</f>
        <v>22.728142857142846</v>
      </c>
      <c r="AC636" s="6">
        <f t="shared" si="3267"/>
        <v>-0.1646905784376318</v>
      </c>
      <c r="AD636" s="42">
        <f>Tabla1[[#This Row],[Avg Agua)]]/Tabla1[[#This Row],[Avg Musculo]]</f>
        <v>2.0201235724118001</v>
      </c>
    </row>
    <row r="637" spans="1:31" x14ac:dyDescent="0.3">
      <c r="A637" t="s">
        <v>174</v>
      </c>
      <c r="B637">
        <v>40</v>
      </c>
      <c r="C637" t="s">
        <v>121</v>
      </c>
      <c r="D637" s="4">
        <v>45934</v>
      </c>
      <c r="E637" s="6">
        <v>83</v>
      </c>
      <c r="F637" s="7">
        <f t="shared" si="3274"/>
        <v>23.483476686283389</v>
      </c>
      <c r="G637" s="9">
        <v>0.13300000000000001</v>
      </c>
      <c r="H637" s="6">
        <f t="shared" si="3275"/>
        <v>71.960999999999999</v>
      </c>
      <c r="I637" s="6">
        <f t="shared" si="3276"/>
        <v>22.710999999999991</v>
      </c>
      <c r="J637">
        <v>3.6</v>
      </c>
      <c r="K637" s="5">
        <v>6.5000000000000002E-2</v>
      </c>
      <c r="L637" s="17">
        <v>2063</v>
      </c>
      <c r="M637" s="5">
        <v>0.55000000000000004</v>
      </c>
      <c r="N637" s="6">
        <f t="shared" si="3277"/>
        <v>11.039000000000001</v>
      </c>
      <c r="O637" s="21">
        <f t="shared" si="3278"/>
        <v>45.650000000000006</v>
      </c>
      <c r="P637" s="8">
        <f t="shared" si="3019"/>
        <v>45.985592857142869</v>
      </c>
      <c r="Q637" s="8">
        <f t="shared" si="3279"/>
        <v>60.289000000000009</v>
      </c>
      <c r="R637" s="6">
        <f t="shared" si="3280"/>
        <v>22.710999999999991</v>
      </c>
      <c r="S637" s="6">
        <f t="shared" si="3281"/>
        <v>5.3950000000000005</v>
      </c>
      <c r="T637" s="6">
        <f t="shared" si="3282"/>
        <v>0.18175000000000097</v>
      </c>
      <c r="U637" s="6">
        <f t="shared" si="3283"/>
        <v>0.33845000000000169</v>
      </c>
      <c r="V637" s="6">
        <f t="shared" si="3284"/>
        <v>4.9999999999997158E-2</v>
      </c>
      <c r="W637" s="9">
        <f>Tabla1[[#This Row],[Protein]]/Tabla1[[#This Row],[Peso (Kg)]]</f>
        <v>0.27362650602409627</v>
      </c>
      <c r="X637" s="9">
        <f t="shared" si="3078"/>
        <v>0.2719399446088106</v>
      </c>
      <c r="Y637" s="6">
        <f t="shared" si="3285"/>
        <v>37.349999999999994</v>
      </c>
      <c r="Z637" s="6">
        <f t="shared" ref="Z637" si="3289">AVERAGE(E631:E637)</f>
        <v>83.328571428571422</v>
      </c>
      <c r="AA637" s="6">
        <f t="shared" ref="AA637" si="3290">AVERAGE(N631:N637)</f>
        <v>11.0829</v>
      </c>
      <c r="AB637" s="6">
        <f t="shared" ref="AB637" si="3291">AVERAGE(R631:R637)</f>
        <v>22.660078571428564</v>
      </c>
      <c r="AC637" s="6">
        <f t="shared" si="3267"/>
        <v>-0.29947139166670578</v>
      </c>
      <c r="AD637" s="42">
        <f>Tabla1[[#This Row],[Avg Agua)]]/Tabla1[[#This Row],[Avg Musculo]]</f>
        <v>2.0293659932461474</v>
      </c>
    </row>
    <row r="638" spans="1:31" x14ac:dyDescent="0.3">
      <c r="A638" t="s">
        <v>174</v>
      </c>
      <c r="B638">
        <v>40</v>
      </c>
      <c r="C638" t="s">
        <v>26</v>
      </c>
      <c r="D638" s="4">
        <v>45935</v>
      </c>
      <c r="E638" s="6">
        <v>83.6</v>
      </c>
      <c r="F638" s="7">
        <f t="shared" si="3274"/>
        <v>23.65323675871435</v>
      </c>
      <c r="G638" s="9">
        <v>0.13600000000000001</v>
      </c>
      <c r="H638" s="6">
        <f t="shared" si="3275"/>
        <v>72.230399999999989</v>
      </c>
      <c r="I638" s="6">
        <f t="shared" si="3276"/>
        <v>22.483199999999989</v>
      </c>
      <c r="J638">
        <v>3.6</v>
      </c>
      <c r="K638" s="5">
        <v>6.5000000000000002E-2</v>
      </c>
      <c r="L638" s="17">
        <v>2071</v>
      </c>
      <c r="M638" s="5">
        <v>0.55200000000000005</v>
      </c>
      <c r="N638" s="6">
        <f t="shared" si="3277"/>
        <v>11.3696</v>
      </c>
      <c r="O638" s="21">
        <f t="shared" si="3278"/>
        <v>46.147199999999998</v>
      </c>
      <c r="P638" s="8">
        <f t="shared" si="3019"/>
        <v>45.949835714285719</v>
      </c>
      <c r="Q638" s="8">
        <f t="shared" si="3279"/>
        <v>61.116800000000005</v>
      </c>
      <c r="R638" s="6">
        <f t="shared" si="3280"/>
        <v>22.483199999999989</v>
      </c>
      <c r="S638" s="6">
        <f t="shared" si="3281"/>
        <v>5.4340000000000002</v>
      </c>
      <c r="T638" s="6">
        <f t="shared" si="3282"/>
        <v>-0.227800000000002</v>
      </c>
      <c r="U638" s="6">
        <f t="shared" si="3283"/>
        <v>0.33059999999999867</v>
      </c>
      <c r="V638" s="6">
        <f t="shared" si="3284"/>
        <v>0.59999999999999432</v>
      </c>
      <c r="W638" s="9">
        <f>Tabla1[[#This Row],[Protein]]/Tabla1[[#This Row],[Peso (Kg)]]</f>
        <v>0.26893779904306209</v>
      </c>
      <c r="X638" s="9">
        <f t="shared" si="3078"/>
        <v>0.27164321227594318</v>
      </c>
      <c r="Y638" s="6">
        <f t="shared" si="3285"/>
        <v>37.452799999999989</v>
      </c>
      <c r="Z638" s="6">
        <f t="shared" ref="Z638" si="3292">AVERAGE(E632:E638)</f>
        <v>83.30714285714285</v>
      </c>
      <c r="AA638" s="6">
        <f t="shared" ref="AA638" si="3293">AVERAGE(N632:N638)</f>
        <v>11.127842857142861</v>
      </c>
      <c r="AB638" s="6">
        <f t="shared" ref="AB638" si="3294">AVERAGE(R632:R638)</f>
        <v>22.629464285714274</v>
      </c>
      <c r="AC638" s="6">
        <f t="shared" si="3267"/>
        <v>-0.13510229286182174</v>
      </c>
      <c r="AD638" s="42">
        <f>Tabla1[[#This Row],[Avg Agua)]]/Tabla1[[#This Row],[Avg Musculo]]</f>
        <v>2.0305313079502874</v>
      </c>
    </row>
    <row r="639" spans="1:31" x14ac:dyDescent="0.3">
      <c r="A639" t="s">
        <v>174</v>
      </c>
      <c r="B639">
        <v>41</v>
      </c>
      <c r="C639" t="s">
        <v>21</v>
      </c>
      <c r="D639" s="4">
        <v>45936</v>
      </c>
      <c r="E639" s="6">
        <v>84.5</v>
      </c>
      <c r="F639" s="7">
        <f t="shared" si="3274"/>
        <v>23.907876867360798</v>
      </c>
      <c r="G639" s="9">
        <v>0.14499999999999999</v>
      </c>
      <c r="H639" s="6">
        <f t="shared" si="3275"/>
        <v>72.247500000000002</v>
      </c>
      <c r="I639" s="6">
        <f t="shared" si="3276"/>
        <v>21.665499999999994</v>
      </c>
      <c r="J639">
        <v>3.6</v>
      </c>
      <c r="K639" s="5">
        <v>6.5000000000000002E-2</v>
      </c>
      <c r="L639" s="17">
        <v>2075</v>
      </c>
      <c r="M639" s="5">
        <v>0.55600000000000005</v>
      </c>
      <c r="N639" s="6">
        <f t="shared" si="3277"/>
        <v>12.2525</v>
      </c>
      <c r="O639" s="21">
        <f t="shared" si="3278"/>
        <v>46.982000000000006</v>
      </c>
      <c r="P639" s="8">
        <f t="shared" si="3019"/>
        <v>46.037228571428578</v>
      </c>
      <c r="Q639" s="8">
        <f t="shared" si="3279"/>
        <v>62.834500000000006</v>
      </c>
      <c r="R639" s="6">
        <f t="shared" si="3280"/>
        <v>21.665499999999994</v>
      </c>
      <c r="S639" s="6">
        <f t="shared" si="3281"/>
        <v>5.4925000000000006</v>
      </c>
      <c r="T639" s="6">
        <f t="shared" si="3282"/>
        <v>-0.81769999999999499</v>
      </c>
      <c r="U639" s="6">
        <f t="shared" si="3283"/>
        <v>0.88289999999999935</v>
      </c>
      <c r="V639" s="6">
        <f t="shared" si="3284"/>
        <v>0.90000000000000568</v>
      </c>
      <c r="W639" s="9">
        <f>Tabla1[[#This Row],[Protein]]/Tabla1[[#This Row],[Peso (Kg)]]</f>
        <v>0.25639644970414194</v>
      </c>
      <c r="X639" s="9">
        <f t="shared" si="3078"/>
        <v>0.27014098670149</v>
      </c>
      <c r="Y639" s="6">
        <f t="shared" si="3285"/>
        <v>37.517999999999994</v>
      </c>
      <c r="Z639" s="6">
        <f t="shared" ref="Z639" si="3295">AVERAGE(E633:E639)</f>
        <v>83.44285714285715</v>
      </c>
      <c r="AA639" s="6">
        <f t="shared" ref="AA639" si="3296">AVERAGE(N633:N639)</f>
        <v>11.266878571428572</v>
      </c>
      <c r="AB639" s="6">
        <f t="shared" ref="AB639" si="3297">AVERAGE(R633:R639)</f>
        <v>22.538749999999993</v>
      </c>
      <c r="AC639" s="6">
        <f t="shared" ref="AC639:AC644" si="3298">100*(AB639/AB638-1)</f>
        <v>-0.40086802130595567</v>
      </c>
      <c r="AD639" s="42">
        <f>Tabla1[[#This Row],[Avg Agua)]]/Tabla1[[#This Row],[Avg Musculo]]</f>
        <v>2.0425812687672829</v>
      </c>
      <c r="AE639" t="s">
        <v>184</v>
      </c>
    </row>
    <row r="640" spans="1:31" x14ac:dyDescent="0.3">
      <c r="A640" t="s">
        <v>174</v>
      </c>
      <c r="B640">
        <v>41</v>
      </c>
      <c r="C640" t="s">
        <v>23</v>
      </c>
      <c r="D640" s="4">
        <v>45937</v>
      </c>
      <c r="E640" s="6">
        <v>84.2</v>
      </c>
      <c r="F640" s="7">
        <f t="shared" si="3274"/>
        <v>23.822996831145318</v>
      </c>
      <c r="G640" s="9">
        <v>0.14499999999999999</v>
      </c>
      <c r="H640" s="6">
        <f t="shared" si="3275"/>
        <v>71.991</v>
      </c>
      <c r="I640" s="6">
        <f t="shared" si="3276"/>
        <v>21.828399999999995</v>
      </c>
      <c r="J640">
        <v>3.6</v>
      </c>
      <c r="K640" s="5">
        <v>6.5000000000000002E-2</v>
      </c>
      <c r="L640" s="17">
        <v>2068</v>
      </c>
      <c r="M640" s="5">
        <v>0.55300000000000005</v>
      </c>
      <c r="N640" s="6">
        <f t="shared" si="3277"/>
        <v>12.209</v>
      </c>
      <c r="O640" s="21">
        <f t="shared" si="3278"/>
        <v>46.562600000000003</v>
      </c>
      <c r="P640" s="8">
        <f t="shared" si="3019"/>
        <v>46.10840000000001</v>
      </c>
      <c r="Q640" s="8">
        <f t="shared" si="3279"/>
        <v>62.371600000000008</v>
      </c>
      <c r="R640" s="6">
        <f t="shared" si="3280"/>
        <v>21.828399999999995</v>
      </c>
      <c r="S640" s="6">
        <f t="shared" si="3281"/>
        <v>5.4730000000000008</v>
      </c>
      <c r="T640" s="6">
        <f t="shared" si="3282"/>
        <v>0.16290000000000049</v>
      </c>
      <c r="U640" s="6">
        <f t="shared" si="3283"/>
        <v>-4.3499999999999872E-2</v>
      </c>
      <c r="V640" s="6">
        <f t="shared" si="3284"/>
        <v>-0.29999999999999716</v>
      </c>
      <c r="W640" s="9">
        <f>Tabla1[[#This Row],[Protein]]/Tabla1[[#This Row],[Peso (Kg)]]</f>
        <v>0.25924465558194765</v>
      </c>
      <c r="X640" s="9">
        <f t="shared" si="3078"/>
        <v>0.26819588100657182</v>
      </c>
      <c r="Y640" s="6">
        <f t="shared" si="3285"/>
        <v>37.637399999999992</v>
      </c>
      <c r="Z640" s="6">
        <f t="shared" ref="Z640" si="3299">AVERAGE(E634:E640)</f>
        <v>83.55</v>
      </c>
      <c r="AA640" s="6">
        <f t="shared" ref="AA640" si="3300">AVERAGE(N634:N640)</f>
        <v>11.437392857142857</v>
      </c>
      <c r="AB640" s="6">
        <f t="shared" ref="AB640" si="3301">AVERAGE(R634:R640)</f>
        <v>22.404207142857135</v>
      </c>
      <c r="AC640" s="6">
        <f t="shared" si="3298"/>
        <v>-0.59694019030717138</v>
      </c>
      <c r="AD640" s="42">
        <f>Tabla1[[#This Row],[Avg Agua)]]/Tabla1[[#This Row],[Avg Musculo]]</f>
        <v>2.0580241784945379</v>
      </c>
    </row>
    <row r="641" spans="1:31" x14ac:dyDescent="0.3">
      <c r="A641" t="s">
        <v>174</v>
      </c>
      <c r="B641">
        <v>41</v>
      </c>
      <c r="C641" t="s">
        <v>24</v>
      </c>
      <c r="D641" s="4">
        <v>45938</v>
      </c>
      <c r="E641" s="6">
        <v>83.85</v>
      </c>
      <c r="F641" s="7">
        <f t="shared" si="3274"/>
        <v>23.723970122227254</v>
      </c>
      <c r="G641" s="9">
        <v>0.13700000000000001</v>
      </c>
      <c r="H641" s="6">
        <f t="shared" si="3275"/>
        <v>72.362549999999999</v>
      </c>
      <c r="I641" s="6">
        <f t="shared" si="3276"/>
        <v>22.645049999999998</v>
      </c>
      <c r="J641">
        <v>3.6</v>
      </c>
      <c r="K641" s="5">
        <v>6.5000000000000002E-2</v>
      </c>
      <c r="L641" s="17">
        <v>2075</v>
      </c>
      <c r="M641" s="5">
        <v>0.55000000000000004</v>
      </c>
      <c r="N641" s="6">
        <f t="shared" si="3277"/>
        <v>11.487450000000001</v>
      </c>
      <c r="O641" s="21">
        <f t="shared" si="3278"/>
        <v>46.1175</v>
      </c>
      <c r="P641" s="8">
        <f t="shared" si="3019"/>
        <v>46.179328571428577</v>
      </c>
      <c r="Q641" s="8">
        <f t="shared" si="3279"/>
        <v>61.204949999999997</v>
      </c>
      <c r="R641" s="6">
        <f t="shared" si="3280"/>
        <v>22.645049999999998</v>
      </c>
      <c r="S641" s="6">
        <f t="shared" si="3281"/>
        <v>5.4502499999999996</v>
      </c>
      <c r="T641" s="6">
        <f t="shared" si="3282"/>
        <v>0.81665000000000276</v>
      </c>
      <c r="U641" s="6">
        <f t="shared" si="3283"/>
        <v>-0.7215499999999988</v>
      </c>
      <c r="V641" s="6">
        <f t="shared" si="3284"/>
        <v>-0.35000000000000853</v>
      </c>
      <c r="W641" s="9">
        <f>Tabla1[[#This Row],[Protein]]/Tabla1[[#This Row],[Peso (Kg)]]</f>
        <v>0.27006618962432916</v>
      </c>
      <c r="X641" s="9">
        <f t="shared" si="3078"/>
        <v>0.26752579998765358</v>
      </c>
      <c r="Y641" s="6">
        <f t="shared" si="3285"/>
        <v>37.732500000000002</v>
      </c>
      <c r="Z641" s="6">
        <f t="shared" ref="Z641" si="3302">AVERAGE(E635:E641)</f>
        <v>83.635714285714272</v>
      </c>
      <c r="AA641" s="6">
        <f t="shared" ref="AA641" si="3303">AVERAGE(N635:N641)</f>
        <v>11.484814285714284</v>
      </c>
      <c r="AB641" s="6">
        <f t="shared" ref="AB641" si="3304">AVERAGE(R635:R641)</f>
        <v>22.371571428571421</v>
      </c>
      <c r="AC641" s="6">
        <f t="shared" si="3298"/>
        <v>-0.1456677938996731</v>
      </c>
      <c r="AD641" s="42">
        <f>Tabla1[[#This Row],[Avg Agua)]]/Tabla1[[#This Row],[Avg Musculo]]</f>
        <v>2.0641969080657221</v>
      </c>
    </row>
    <row r="642" spans="1:31" x14ac:dyDescent="0.3">
      <c r="A642" t="s">
        <v>174</v>
      </c>
      <c r="B642">
        <v>41</v>
      </c>
      <c r="C642" t="s">
        <v>22</v>
      </c>
      <c r="D642" s="4">
        <v>45939</v>
      </c>
      <c r="E642" s="6">
        <v>83.4</v>
      </c>
      <c r="F642" s="7">
        <f t="shared" si="3274"/>
        <v>23.596650067904033</v>
      </c>
      <c r="G642" s="9">
        <v>0.13300000000000001</v>
      </c>
      <c r="H642" s="6">
        <f t="shared" ref="H642:H647" si="3305">E642-N642</f>
        <v>72.3078</v>
      </c>
      <c r="I642" s="6">
        <f t="shared" ref="I642:I647" si="3306">E642-N642-O642-J642</f>
        <v>23.087999999999994</v>
      </c>
      <c r="J642">
        <v>3.6</v>
      </c>
      <c r="K642" s="5">
        <v>6.5000000000000002E-2</v>
      </c>
      <c r="L642" s="17">
        <v>2072</v>
      </c>
      <c r="M642" s="5">
        <v>0.54700000000000004</v>
      </c>
      <c r="N642" s="6">
        <f t="shared" ref="N642:N647" si="3307">E642*G642</f>
        <v>11.092200000000002</v>
      </c>
      <c r="O642" s="21">
        <f t="shared" ref="O642:O647" si="3308">M642*E642</f>
        <v>45.619800000000005</v>
      </c>
      <c r="P642" s="8">
        <f t="shared" si="3019"/>
        <v>46.171328571428567</v>
      </c>
      <c r="Q642" s="8">
        <f t="shared" ref="Q642:Q647" si="3309">E642-R642</f>
        <v>60.312000000000012</v>
      </c>
      <c r="R642" s="6">
        <f t="shared" ref="R642:R647" si="3310">I642</f>
        <v>23.087999999999994</v>
      </c>
      <c r="S642" s="6">
        <f t="shared" ref="S642:S647" si="3311">K642*E642</f>
        <v>5.4210000000000003</v>
      </c>
      <c r="T642" s="6">
        <f t="shared" ref="T642:T647" si="3312">I642-I641</f>
        <v>0.44294999999999618</v>
      </c>
      <c r="U642" s="6">
        <f t="shared" ref="U642:U647" si="3313">N642-N641</f>
        <v>-0.39524999999999899</v>
      </c>
      <c r="V642" s="6">
        <f t="shared" ref="V642:V647" si="3314">E642-E641</f>
        <v>-0.44999999999998863</v>
      </c>
      <c r="W642" s="9">
        <f>Tabla1[[#This Row],[Protein]]/Tabla1[[#This Row],[Peso (Kg)]]</f>
        <v>0.27683453237410061</v>
      </c>
      <c r="X642" s="9">
        <f t="shared" si="3078"/>
        <v>0.26810092771647581</v>
      </c>
      <c r="Y642" s="6">
        <f t="shared" ref="Y642:Y647" si="3315">R642+N642+J642</f>
        <v>37.780200000000001</v>
      </c>
      <c r="Z642" s="6">
        <f t="shared" ref="Z642" si="3316">AVERAGE(E636:E642)</f>
        <v>83.642857142857125</v>
      </c>
      <c r="AA642" s="6">
        <f t="shared" ref="AA642" si="3317">AVERAGE(N636:N642)</f>
        <v>11.450042857142858</v>
      </c>
      <c r="AB642" s="6">
        <f t="shared" ref="AB642" si="3318">AVERAGE(R636:R642)</f>
        <v>22.421485714285705</v>
      </c>
      <c r="AC642" s="6">
        <f t="shared" si="3298"/>
        <v>0.22311479492467257</v>
      </c>
      <c r="AD642" s="42">
        <f>Tabla1[[#This Row],[Avg Agua)]]/Tabla1[[#This Row],[Avg Musculo]]</f>
        <v>2.0592448314881651</v>
      </c>
    </row>
    <row r="643" spans="1:31" x14ac:dyDescent="0.3">
      <c r="A643" t="s">
        <v>174</v>
      </c>
      <c r="B643">
        <v>41</v>
      </c>
      <c r="C643" t="s">
        <v>20</v>
      </c>
      <c r="D643" s="4">
        <v>45940</v>
      </c>
      <c r="E643" s="6">
        <v>83.2</v>
      </c>
      <c r="F643" s="7">
        <f t="shared" ref="F643:F648" si="3319">E643/(1.88^2)</f>
        <v>23.540063377093709</v>
      </c>
      <c r="G643" s="9">
        <v>0.13200000000000001</v>
      </c>
      <c r="H643" s="6">
        <f t="shared" si="3305"/>
        <v>72.217600000000004</v>
      </c>
      <c r="I643" s="6">
        <f t="shared" si="3306"/>
        <v>23.107199999999999</v>
      </c>
      <c r="J643">
        <v>3.6</v>
      </c>
      <c r="K643" s="5">
        <v>6.5000000000000002E-2</v>
      </c>
      <c r="L643" s="17">
        <v>2070</v>
      </c>
      <c r="M643" s="5">
        <v>0.54700000000000004</v>
      </c>
      <c r="N643" s="6">
        <f t="shared" si="3307"/>
        <v>10.9824</v>
      </c>
      <c r="O643" s="21">
        <f t="shared" si="3308"/>
        <v>45.510400000000004</v>
      </c>
      <c r="P643" s="8">
        <f t="shared" si="3019"/>
        <v>46.084214285714289</v>
      </c>
      <c r="Q643" s="8">
        <f t="shared" si="3309"/>
        <v>60.092800000000004</v>
      </c>
      <c r="R643" s="6">
        <f t="shared" si="3310"/>
        <v>23.107199999999999</v>
      </c>
      <c r="S643" s="6">
        <f t="shared" si="3311"/>
        <v>5.4080000000000004</v>
      </c>
      <c r="T643" s="6">
        <f t="shared" si="3312"/>
        <v>1.9200000000004991E-2</v>
      </c>
      <c r="U643" s="6">
        <f t="shared" si="3313"/>
        <v>-0.10980000000000167</v>
      </c>
      <c r="V643" s="6">
        <f t="shared" si="3314"/>
        <v>-0.20000000000000284</v>
      </c>
      <c r="W643" s="9">
        <f>Tabla1[[#This Row],[Protein]]/Tabla1[[#This Row],[Peso (Kg)]]</f>
        <v>0.27773076923076923</v>
      </c>
      <c r="X643" s="9">
        <f t="shared" si="3078"/>
        <v>0.26897670022606379</v>
      </c>
      <c r="Y643" s="6">
        <f t="shared" si="3315"/>
        <v>37.689599999999999</v>
      </c>
      <c r="Z643" s="6">
        <f t="shared" ref="Z643" si="3320">AVERAGE(E637:E643)</f>
        <v>83.678571428571431</v>
      </c>
      <c r="AA643" s="6">
        <f t="shared" ref="AA643" si="3321">AVERAGE(N637:N643)</f>
        <v>11.490307142857143</v>
      </c>
      <c r="AB643" s="6">
        <f t="shared" ref="AB643" si="3322">AVERAGE(R637:R643)</f>
        <v>22.504049999999996</v>
      </c>
      <c r="AC643" s="6">
        <f t="shared" si="3298"/>
        <v>0.36823735396662727</v>
      </c>
      <c r="AD643" s="42">
        <f>Tabla1[[#This Row],[Avg Agua)]]/Tabla1[[#This Row],[Avg Musculo]]</f>
        <v>2.0478186942223422</v>
      </c>
    </row>
    <row r="644" spans="1:31" x14ac:dyDescent="0.3">
      <c r="A644" t="s">
        <v>174</v>
      </c>
      <c r="B644">
        <v>41</v>
      </c>
      <c r="C644" t="s">
        <v>121</v>
      </c>
      <c r="D644" s="4">
        <v>45941</v>
      </c>
      <c r="E644" s="6">
        <v>82.85</v>
      </c>
      <c r="F644" s="7">
        <f t="shared" si="3319"/>
        <v>23.441036668175645</v>
      </c>
      <c r="G644" s="9">
        <v>0.13600000000000001</v>
      </c>
      <c r="H644" s="6">
        <f t="shared" si="3305"/>
        <v>71.582399999999993</v>
      </c>
      <c r="I644" s="6">
        <f t="shared" si="3306"/>
        <v>22.846299999999992</v>
      </c>
      <c r="J644">
        <v>3.5</v>
      </c>
      <c r="K644" s="5">
        <v>6.5000000000000002E-2</v>
      </c>
      <c r="L644" s="17">
        <v>2045</v>
      </c>
      <c r="M644" s="5">
        <v>0.54600000000000004</v>
      </c>
      <c r="N644" s="6">
        <f t="shared" si="3307"/>
        <v>11.2676</v>
      </c>
      <c r="O644" s="21">
        <f t="shared" si="3308"/>
        <v>45.2361</v>
      </c>
      <c r="P644" s="8">
        <f t="shared" si="3019"/>
        <v>46.025085714285716</v>
      </c>
      <c r="Q644" s="8">
        <f t="shared" si="3309"/>
        <v>60.003700000000002</v>
      </c>
      <c r="R644" s="6">
        <f t="shared" si="3310"/>
        <v>22.846299999999992</v>
      </c>
      <c r="S644" s="6">
        <f t="shared" si="3311"/>
        <v>5.3852500000000001</v>
      </c>
      <c r="T644" s="6">
        <f t="shared" si="3312"/>
        <v>-0.26090000000000657</v>
      </c>
      <c r="U644" s="6">
        <f t="shared" si="3313"/>
        <v>0.28519999999999968</v>
      </c>
      <c r="V644" s="6">
        <f t="shared" si="3314"/>
        <v>-0.35000000000000853</v>
      </c>
      <c r="W644" s="9">
        <f>Tabla1[[#This Row],[Protein]]/Tabla1[[#This Row],[Peso (Kg)]]</f>
        <v>0.27575497887748934</v>
      </c>
      <c r="X644" s="9">
        <f t="shared" si="3078"/>
        <v>0.26928076777654858</v>
      </c>
      <c r="Y644" s="6">
        <f t="shared" si="3315"/>
        <v>37.613899999999994</v>
      </c>
      <c r="Z644" s="6">
        <f t="shared" ref="Z644" si="3323">AVERAGE(E638:E644)</f>
        <v>83.657142857142844</v>
      </c>
      <c r="AA644" s="6">
        <f t="shared" ref="AA644" si="3324">AVERAGE(N638:N644)</f>
        <v>11.522964285714286</v>
      </c>
      <c r="AB644" s="6">
        <f t="shared" ref="AB644" si="3325">AVERAGE(R638:R644)</f>
        <v>22.523378571428566</v>
      </c>
      <c r="AC644" s="6">
        <f t="shared" si="3298"/>
        <v>8.5889301830421871E-2</v>
      </c>
      <c r="AD644" s="42">
        <f>Tabla1[[#This Row],[Avg Agua)]]/Tabla1[[#This Row],[Avg Musculo]]</f>
        <v>2.0434361376258896</v>
      </c>
    </row>
    <row r="645" spans="1:31" x14ac:dyDescent="0.3">
      <c r="A645" t="s">
        <v>174</v>
      </c>
      <c r="B645">
        <v>41</v>
      </c>
      <c r="C645" t="s">
        <v>26</v>
      </c>
      <c r="D645" s="4">
        <v>45942</v>
      </c>
      <c r="E645" s="6">
        <v>83.3</v>
      </c>
      <c r="F645" s="7">
        <f t="shared" si="3319"/>
        <v>23.568356722498869</v>
      </c>
      <c r="G645" s="9">
        <v>0.13800000000000001</v>
      </c>
      <c r="H645" s="6">
        <f t="shared" si="3305"/>
        <v>71.804599999999994</v>
      </c>
      <c r="I645" s="6">
        <f t="shared" si="3306"/>
        <v>22.406299999999995</v>
      </c>
      <c r="J645">
        <v>3.5</v>
      </c>
      <c r="K645" s="5">
        <v>6.5000000000000002E-2</v>
      </c>
      <c r="L645" s="17">
        <v>2058</v>
      </c>
      <c r="M645" s="5">
        <v>0.55100000000000005</v>
      </c>
      <c r="N645" s="6">
        <f t="shared" si="3307"/>
        <v>11.4954</v>
      </c>
      <c r="O645" s="21">
        <f t="shared" si="3308"/>
        <v>45.898299999999999</v>
      </c>
      <c r="P645" s="8">
        <f t="shared" si="3019"/>
        <v>45.989528571428579</v>
      </c>
      <c r="Q645" s="8">
        <f t="shared" si="3309"/>
        <v>60.893700000000003</v>
      </c>
      <c r="R645" s="6">
        <f t="shared" si="3310"/>
        <v>22.406299999999995</v>
      </c>
      <c r="S645" s="6">
        <f t="shared" si="3311"/>
        <v>5.4145000000000003</v>
      </c>
      <c r="T645" s="6">
        <f t="shared" si="3312"/>
        <v>-0.43999999999999773</v>
      </c>
      <c r="U645" s="6">
        <f t="shared" si="3313"/>
        <v>0.22780000000000022</v>
      </c>
      <c r="V645" s="6">
        <f t="shared" si="3314"/>
        <v>0.45000000000000284</v>
      </c>
      <c r="W645" s="9">
        <f>Tabla1[[#This Row],[Protein]]/Tabla1[[#This Row],[Peso (Kg)]]</f>
        <v>0.26898319327731085</v>
      </c>
      <c r="X645" s="9">
        <f t="shared" si="3078"/>
        <v>0.26928725266715559</v>
      </c>
      <c r="Y645" s="6">
        <f t="shared" si="3315"/>
        <v>37.401699999999991</v>
      </c>
      <c r="Z645" s="6">
        <f t="shared" ref="Z645" si="3326">AVERAGE(E639:E645)</f>
        <v>83.614285714285714</v>
      </c>
      <c r="AA645" s="6">
        <f t="shared" ref="AA645" si="3327">AVERAGE(N639:N645)</f>
        <v>11.540935714285714</v>
      </c>
      <c r="AB645" s="6">
        <f t="shared" ref="AB645" si="3328">AVERAGE(R639:R645)</f>
        <v>22.512392857142853</v>
      </c>
      <c r="AC645" s="6">
        <f t="shared" ref="AC645:AC650" si="3329">100*(AB645/AB644-1)</f>
        <v>-4.8774717571231641E-2</v>
      </c>
      <c r="AD645" s="42">
        <f>Tabla1[[#This Row],[Avg Agua)]]/Tabla1[[#This Row],[Avg Musculo]]</f>
        <v>2.0428538566852867</v>
      </c>
    </row>
    <row r="646" spans="1:31" x14ac:dyDescent="0.3">
      <c r="A646" t="s">
        <v>174</v>
      </c>
      <c r="B646">
        <v>42</v>
      </c>
      <c r="C646" t="s">
        <v>21</v>
      </c>
      <c r="D646" s="4">
        <v>45943</v>
      </c>
      <c r="E646" s="6">
        <v>84.75</v>
      </c>
      <c r="F646" s="7">
        <f t="shared" si="3319"/>
        <v>23.978610230873699</v>
      </c>
      <c r="G646" s="9">
        <v>0.14399999999999999</v>
      </c>
      <c r="H646" s="6">
        <f t="shared" si="3305"/>
        <v>72.546000000000006</v>
      </c>
      <c r="I646" s="6">
        <f t="shared" si="3306"/>
        <v>21.570750000000004</v>
      </c>
      <c r="J646">
        <v>3.6</v>
      </c>
      <c r="K646" s="5">
        <v>6.5000000000000002E-2</v>
      </c>
      <c r="L646" s="17">
        <v>2085</v>
      </c>
      <c r="M646" s="5">
        <v>0.55900000000000005</v>
      </c>
      <c r="N646" s="6">
        <f t="shared" si="3307"/>
        <v>12.203999999999999</v>
      </c>
      <c r="O646" s="21">
        <f t="shared" si="3308"/>
        <v>47.375250000000001</v>
      </c>
      <c r="P646" s="8">
        <f t="shared" si="3019"/>
        <v>46.045707142857147</v>
      </c>
      <c r="Q646" s="8">
        <f t="shared" si="3309"/>
        <v>63.179249999999996</v>
      </c>
      <c r="R646" s="6">
        <f t="shared" si="3310"/>
        <v>21.570750000000004</v>
      </c>
      <c r="S646" s="6">
        <f t="shared" si="3311"/>
        <v>5.50875</v>
      </c>
      <c r="T646" s="6">
        <f t="shared" si="3312"/>
        <v>-0.83554999999999069</v>
      </c>
      <c r="U646" s="6">
        <f t="shared" si="3313"/>
        <v>0.70859999999999879</v>
      </c>
      <c r="V646" s="6">
        <f t="shared" si="3314"/>
        <v>1.4500000000000028</v>
      </c>
      <c r="W646" s="9">
        <f>Tabla1[[#This Row],[Protein]]/Tabla1[[#This Row],[Peso (Kg)]]</f>
        <v>0.25452212389380535</v>
      </c>
      <c r="X646" s="9">
        <f t="shared" si="3078"/>
        <v>0.26901949183710744</v>
      </c>
      <c r="Y646" s="6">
        <f t="shared" si="3315"/>
        <v>37.374750000000006</v>
      </c>
      <c r="Z646" s="6">
        <f t="shared" ref="Z646" si="3330">AVERAGE(E640:E646)</f>
        <v>83.649999999999991</v>
      </c>
      <c r="AA646" s="6">
        <f t="shared" ref="AA646" si="3331">AVERAGE(N640:N646)</f>
        <v>11.534007142857144</v>
      </c>
      <c r="AB646" s="6">
        <f t="shared" ref="AB646" si="3332">AVERAGE(R640:R646)</f>
        <v>22.498857142857137</v>
      </c>
      <c r="AC646" s="6">
        <f t="shared" si="3329"/>
        <v>-6.0125613352657314E-2</v>
      </c>
      <c r="AD646" s="42">
        <f>Tabla1[[#This Row],[Avg Agua)]]/Tabla1[[#This Row],[Avg Musculo]]</f>
        <v>2.0465798262768908</v>
      </c>
      <c r="AE646" t="s">
        <v>188</v>
      </c>
    </row>
    <row r="647" spans="1:31" x14ac:dyDescent="0.3">
      <c r="A647" t="s">
        <v>174</v>
      </c>
      <c r="B647">
        <v>42</v>
      </c>
      <c r="C647" t="s">
        <v>23</v>
      </c>
      <c r="D647" s="4">
        <v>45944</v>
      </c>
      <c r="E647" s="6">
        <v>83.9</v>
      </c>
      <c r="F647" s="7">
        <f t="shared" si="3319"/>
        <v>23.738116794929837</v>
      </c>
      <c r="G647" s="9">
        <v>0.13800000000000001</v>
      </c>
      <c r="H647" s="6">
        <f t="shared" si="3305"/>
        <v>72.321799999999996</v>
      </c>
      <c r="I647" s="6">
        <f t="shared" si="3306"/>
        <v>22.241199999999985</v>
      </c>
      <c r="J647">
        <v>3.6</v>
      </c>
      <c r="K647" s="5">
        <v>6.5000000000000002E-2</v>
      </c>
      <c r="L647" s="17">
        <v>2073</v>
      </c>
      <c r="M647" s="5">
        <v>0.55400000000000005</v>
      </c>
      <c r="N647" s="6">
        <f t="shared" si="3307"/>
        <v>11.578200000000002</v>
      </c>
      <c r="O647" s="21">
        <f t="shared" si="3308"/>
        <v>46.48060000000001</v>
      </c>
      <c r="P647" s="8">
        <f t="shared" si="3019"/>
        <v>46.03399285714287</v>
      </c>
      <c r="Q647" s="8">
        <f t="shared" si="3309"/>
        <v>61.658800000000021</v>
      </c>
      <c r="R647" s="6">
        <f t="shared" si="3310"/>
        <v>22.241199999999985</v>
      </c>
      <c r="S647" s="6">
        <f t="shared" si="3311"/>
        <v>5.4535000000000009</v>
      </c>
      <c r="T647" s="6">
        <f t="shared" si="3312"/>
        <v>0.67044999999998112</v>
      </c>
      <c r="U647" s="6">
        <f t="shared" si="3313"/>
        <v>-0.62579999999999636</v>
      </c>
      <c r="V647" s="6">
        <f t="shared" si="3314"/>
        <v>-0.84999999999999432</v>
      </c>
      <c r="W647" s="9">
        <f>Tabla1[[#This Row],[Protein]]/Tabla1[[#This Row],[Peso (Kg)]]</f>
        <v>0.26509177592371852</v>
      </c>
      <c r="X647" s="9">
        <f t="shared" si="3078"/>
        <v>0.26985479474307472</v>
      </c>
      <c r="Y647" s="6">
        <f t="shared" si="3315"/>
        <v>37.419399999999989</v>
      </c>
      <c r="Z647" s="6">
        <f t="shared" ref="Z647" si="3333">AVERAGE(E641:E647)</f>
        <v>83.607142857142861</v>
      </c>
      <c r="AA647" s="6">
        <f t="shared" ref="AA647" si="3334">AVERAGE(N641:N647)</f>
        <v>11.443892857142856</v>
      </c>
      <c r="AB647" s="6">
        <f t="shared" ref="AB647" si="3335">AVERAGE(R641:R647)</f>
        <v>22.557828571428566</v>
      </c>
      <c r="AC647" s="6">
        <f t="shared" si="3329"/>
        <v>0.26210855154547019</v>
      </c>
      <c r="AD647" s="42">
        <f>Tabla1[[#This Row],[Avg Agua)]]/Tabla1[[#This Row],[Avg Musculo]]</f>
        <v>2.0407102887309327</v>
      </c>
    </row>
    <row r="648" spans="1:31" x14ac:dyDescent="0.3">
      <c r="A648" t="s">
        <v>174</v>
      </c>
      <c r="B648">
        <v>42</v>
      </c>
      <c r="C648" t="s">
        <v>24</v>
      </c>
      <c r="D648" s="4">
        <v>45945</v>
      </c>
      <c r="E648" s="6">
        <v>83.7</v>
      </c>
      <c r="F648" s="7">
        <f t="shared" si="3319"/>
        <v>23.681530104119513</v>
      </c>
      <c r="G648" s="9">
        <v>0.13800000000000001</v>
      </c>
      <c r="H648" s="6">
        <f t="shared" ref="H648:H653" si="3336">E648-N648</f>
        <v>72.1494</v>
      </c>
      <c r="I648" s="6">
        <f t="shared" ref="I648:I653" si="3337">E648-N648-O648-J648</f>
        <v>22.430699999999995</v>
      </c>
      <c r="J648">
        <v>3.6</v>
      </c>
      <c r="K648" s="5">
        <v>6.5000000000000002E-2</v>
      </c>
      <c r="L648" s="17">
        <v>2069</v>
      </c>
      <c r="M648" s="5">
        <v>0.55100000000000005</v>
      </c>
      <c r="N648" s="6">
        <f t="shared" ref="N648:N653" si="3338">E648*G648</f>
        <v>11.550600000000001</v>
      </c>
      <c r="O648" s="21">
        <f t="shared" ref="O648:O653" si="3339">M648*E648</f>
        <v>46.118700000000004</v>
      </c>
      <c r="P648" s="8">
        <f t="shared" si="3019"/>
        <v>46.034164285714283</v>
      </c>
      <c r="Q648" s="8">
        <f t="shared" ref="Q648:Q653" si="3340">E648-R648</f>
        <v>61.269300000000008</v>
      </c>
      <c r="R648" s="6">
        <f t="shared" ref="R648:R653" si="3341">I648</f>
        <v>22.430699999999995</v>
      </c>
      <c r="S648" s="6">
        <f t="shared" ref="S648:S654" si="3342">K648*E648</f>
        <v>5.4405000000000001</v>
      </c>
      <c r="T648" s="6">
        <f t="shared" ref="T648:T653" si="3343">I648-I647</f>
        <v>0.18950000000000955</v>
      </c>
      <c r="U648" s="6">
        <f t="shared" ref="U648:U653" si="3344">N648-N647</f>
        <v>-2.7600000000001401E-2</v>
      </c>
      <c r="V648" s="6">
        <f t="shared" ref="V648:V653" si="3345">E648-E647</f>
        <v>-0.20000000000000284</v>
      </c>
      <c r="W648" s="9">
        <f>Tabla1[[#This Row],[Protein]]/Tabla1[[#This Row],[Peso (Kg)]]</f>
        <v>0.26798924731182788</v>
      </c>
      <c r="X648" s="9">
        <f t="shared" si="3078"/>
        <v>0.26955808869843173</v>
      </c>
      <c r="Y648" s="6">
        <f t="shared" ref="Y648:Y653" si="3346">R648+N648+J648</f>
        <v>37.581299999999999</v>
      </c>
      <c r="Z648" s="6">
        <f t="shared" ref="Z648" si="3347">AVERAGE(E642:E648)</f>
        <v>83.585714285714289</v>
      </c>
      <c r="AA648" s="6">
        <f t="shared" ref="AA648" si="3348">AVERAGE(N642:N648)</f>
        <v>11.452914285714288</v>
      </c>
      <c r="AB648" s="6">
        <f t="shared" ref="AB648" si="3349">AVERAGE(R642:R648)</f>
        <v>22.52720714285714</v>
      </c>
      <c r="AC648" s="6">
        <f t="shared" si="3329"/>
        <v>-0.13574634843270816</v>
      </c>
      <c r="AD648" s="42">
        <f>Tabla1[[#This Row],[Avg Agua)]]/Tabla1[[#This Row],[Avg Musculo]]</f>
        <v>2.0434918538186682</v>
      </c>
    </row>
    <row r="649" spans="1:31" x14ac:dyDescent="0.3">
      <c r="A649" t="s">
        <v>174</v>
      </c>
      <c r="B649">
        <v>42</v>
      </c>
      <c r="C649" t="s">
        <v>22</v>
      </c>
      <c r="D649" s="4">
        <v>45946</v>
      </c>
      <c r="E649" s="6">
        <v>83.4</v>
      </c>
      <c r="F649" s="7">
        <f t="shared" ref="F649:F654" si="3350">E649/(1.88^2)</f>
        <v>23.596650067904033</v>
      </c>
      <c r="G649" s="9">
        <v>0.13100000000000001</v>
      </c>
      <c r="H649" s="6">
        <f t="shared" si="3336"/>
        <v>72.474600000000009</v>
      </c>
      <c r="I649" s="6">
        <f t="shared" si="3337"/>
        <v>22.921199999999999</v>
      </c>
      <c r="J649">
        <v>3.6</v>
      </c>
      <c r="K649" s="5">
        <v>0.06</v>
      </c>
      <c r="L649" s="17">
        <v>2078</v>
      </c>
      <c r="M649" s="5">
        <v>0.55100000000000005</v>
      </c>
      <c r="N649" s="6">
        <f t="shared" si="3338"/>
        <v>10.925400000000002</v>
      </c>
      <c r="O649" s="21">
        <f t="shared" si="3339"/>
        <v>45.953400000000009</v>
      </c>
      <c r="P649" s="8">
        <f t="shared" si="3019"/>
        <v>46.081821428571423</v>
      </c>
      <c r="Q649" s="8">
        <f t="shared" si="3340"/>
        <v>60.478800000000007</v>
      </c>
      <c r="R649" s="6">
        <f t="shared" si="3341"/>
        <v>22.921199999999999</v>
      </c>
      <c r="S649" s="6">
        <f t="shared" si="3342"/>
        <v>5.0040000000000004</v>
      </c>
      <c r="T649" s="6">
        <f t="shared" si="3343"/>
        <v>0.49050000000000438</v>
      </c>
      <c r="U649" s="6">
        <f t="shared" si="3344"/>
        <v>-0.62519999999999953</v>
      </c>
      <c r="V649" s="6">
        <f t="shared" si="3345"/>
        <v>-0.29999999999999716</v>
      </c>
      <c r="W649" s="9">
        <f>Tabla1[[#This Row],[Protein]]/Tabla1[[#This Row],[Peso (Kg)]]</f>
        <v>0.27483453237410072</v>
      </c>
      <c r="X649" s="9">
        <f t="shared" si="3078"/>
        <v>0.2692723744127174</v>
      </c>
      <c r="Y649" s="6">
        <f t="shared" si="3346"/>
        <v>37.446600000000004</v>
      </c>
      <c r="Z649" s="6">
        <f t="shared" ref="Z649" si="3351">AVERAGE(E643:E649)</f>
        <v>83.585714285714289</v>
      </c>
      <c r="AA649" s="6">
        <f t="shared" ref="AA649" si="3352">AVERAGE(N643:N649)</f>
        <v>11.429085714285716</v>
      </c>
      <c r="AB649" s="6">
        <f t="shared" ref="AB649" si="3353">AVERAGE(R643:R649)</f>
        <v>22.503378571428566</v>
      </c>
      <c r="AC649" s="6">
        <f t="shared" si="3329"/>
        <v>-0.10577685585906327</v>
      </c>
      <c r="AD649" s="42">
        <f>Tabla1[[#This Row],[Avg Agua)]]/Tabla1[[#This Row],[Avg Musculo]]</f>
        <v>2.0477734613183483</v>
      </c>
    </row>
    <row r="650" spans="1:31" x14ac:dyDescent="0.3">
      <c r="A650" t="s">
        <v>174</v>
      </c>
      <c r="B650">
        <v>42</v>
      </c>
      <c r="C650" t="s">
        <v>20</v>
      </c>
      <c r="D650" s="4">
        <v>45947</v>
      </c>
      <c r="E650" s="6">
        <v>83.1</v>
      </c>
      <c r="F650" s="7">
        <f t="shared" si="3350"/>
        <v>23.511770031688545</v>
      </c>
      <c r="G650" s="9">
        <v>0.13200000000000001</v>
      </c>
      <c r="H650" s="6">
        <f t="shared" si="3336"/>
        <v>72.130799999999994</v>
      </c>
      <c r="I650" s="6">
        <f t="shared" si="3337"/>
        <v>22.99199999999999</v>
      </c>
      <c r="J650">
        <v>3.6</v>
      </c>
      <c r="K650" s="5">
        <v>6.5000000000000002E-2</v>
      </c>
      <c r="L650" s="17">
        <v>2066</v>
      </c>
      <c r="M650" s="5">
        <v>0.54800000000000004</v>
      </c>
      <c r="N650" s="6">
        <f t="shared" si="3338"/>
        <v>10.969199999999999</v>
      </c>
      <c r="O650" s="21">
        <f t="shared" si="3339"/>
        <v>45.538800000000002</v>
      </c>
      <c r="P650" s="8">
        <f t="shared" si="3019"/>
        <v>46.085878571428566</v>
      </c>
      <c r="Q650" s="8">
        <f t="shared" si="3340"/>
        <v>60.108000000000004</v>
      </c>
      <c r="R650" s="6">
        <f t="shared" si="3341"/>
        <v>22.99199999999999</v>
      </c>
      <c r="S650" s="6">
        <f t="shared" si="3342"/>
        <v>5.4014999999999995</v>
      </c>
      <c r="T650" s="6">
        <f t="shared" si="3343"/>
        <v>7.0799999999991314E-2</v>
      </c>
      <c r="U650" s="6">
        <f t="shared" si="3344"/>
        <v>4.3799999999997397E-2</v>
      </c>
      <c r="V650" s="6">
        <f t="shared" si="3345"/>
        <v>-0.30000000000001137</v>
      </c>
      <c r="W650" s="9">
        <f>Tabla1[[#This Row],[Protein]]/Tabla1[[#This Row],[Peso (Kg)]]</f>
        <v>0.27667870036101072</v>
      </c>
      <c r="X650" s="9">
        <f t="shared" si="3078"/>
        <v>0.26912207885989475</v>
      </c>
      <c r="Y650" s="6">
        <f t="shared" si="3346"/>
        <v>37.561199999999992</v>
      </c>
      <c r="Z650" s="6">
        <f t="shared" ref="Z650" si="3354">AVERAGE(E644:E650)</f>
        <v>83.571428571428569</v>
      </c>
      <c r="AA650" s="6">
        <f t="shared" ref="AA650" si="3355">AVERAGE(N644:N650)</f>
        <v>11.427200000000001</v>
      </c>
      <c r="AB650" s="6">
        <f t="shared" ref="AB650" si="3356">AVERAGE(R644:R650)</f>
        <v>22.486921428571424</v>
      </c>
      <c r="AC650" s="6">
        <f t="shared" si="3329"/>
        <v>-7.3131875753251752E-2</v>
      </c>
      <c r="AD650" s="42">
        <f>Tabla1[[#This Row],[Avg Agua)]]/Tabla1[[#This Row],[Avg Musculo]]</f>
        <v>2.0494525548024902</v>
      </c>
    </row>
    <row r="651" spans="1:31" x14ac:dyDescent="0.3">
      <c r="A651" t="s">
        <v>174</v>
      </c>
      <c r="B651">
        <v>42</v>
      </c>
      <c r="C651" t="s">
        <v>121</v>
      </c>
      <c r="D651" s="4">
        <v>45948</v>
      </c>
      <c r="E651" s="6">
        <v>83</v>
      </c>
      <c r="F651" s="7">
        <f t="shared" si="3350"/>
        <v>23.483476686283389</v>
      </c>
      <c r="G651" s="9">
        <v>0.129</v>
      </c>
      <c r="H651" s="6">
        <f t="shared" si="3336"/>
        <v>72.293000000000006</v>
      </c>
      <c r="I651" s="6">
        <f t="shared" si="3337"/>
        <v>22.96</v>
      </c>
      <c r="J651">
        <v>3.6</v>
      </c>
      <c r="K651" s="5">
        <v>0.06</v>
      </c>
      <c r="L651" s="17">
        <v>2070</v>
      </c>
      <c r="M651" s="5">
        <v>0.55100000000000005</v>
      </c>
      <c r="N651" s="6">
        <f t="shared" si="3338"/>
        <v>10.707000000000001</v>
      </c>
      <c r="O651" s="21">
        <f t="shared" si="3339"/>
        <v>45.733000000000004</v>
      </c>
      <c r="P651" s="8">
        <f t="shared" si="3019"/>
        <v>46.156864285714292</v>
      </c>
      <c r="Q651" s="8">
        <f t="shared" si="3340"/>
        <v>60.04</v>
      </c>
      <c r="R651" s="6">
        <f t="shared" si="3341"/>
        <v>22.96</v>
      </c>
      <c r="S651" s="6">
        <f t="shared" si="3342"/>
        <v>4.9799999999999995</v>
      </c>
      <c r="T651" s="6">
        <f t="shared" si="3343"/>
        <v>-3.199999999998937E-2</v>
      </c>
      <c r="U651" s="6">
        <f t="shared" si="3344"/>
        <v>-0.26219999999999821</v>
      </c>
      <c r="V651" s="6">
        <f t="shared" si="3345"/>
        <v>-9.9999999999994316E-2</v>
      </c>
      <c r="W651" s="9">
        <f>Tabla1[[#This Row],[Protein]]/Tabla1[[#This Row],[Peso (Kg)]]</f>
        <v>0.27662650602409639</v>
      </c>
      <c r="X651" s="9">
        <f t="shared" si="3078"/>
        <v>0.26924658273798147</v>
      </c>
      <c r="Y651" s="6">
        <f t="shared" si="3346"/>
        <v>37.267000000000003</v>
      </c>
      <c r="Z651" s="6">
        <f t="shared" ref="Z651" si="3357">AVERAGE(E645:E651)</f>
        <v>83.592857142857156</v>
      </c>
      <c r="AA651" s="6">
        <f t="shared" ref="AA651" si="3358">AVERAGE(N645:N651)</f>
        <v>11.347114285714285</v>
      </c>
      <c r="AB651" s="6">
        <f t="shared" ref="AB651" si="3359">AVERAGE(R645:R651)</f>
        <v>22.503164285714284</v>
      </c>
      <c r="AC651" s="6">
        <f t="shared" ref="AC651:AC656" si="3360">100*(AB651/AB650-1)</f>
        <v>7.2232462742638504E-2</v>
      </c>
      <c r="AD651" s="42">
        <f>Tabla1[[#This Row],[Avg Agua)]]/Tabla1[[#This Row],[Avg Musculo]]</f>
        <v>2.0511277302906294</v>
      </c>
    </row>
    <row r="652" spans="1:31" x14ac:dyDescent="0.3">
      <c r="A652" t="s">
        <v>174</v>
      </c>
      <c r="B652">
        <v>42</v>
      </c>
      <c r="C652" t="s">
        <v>26</v>
      </c>
      <c r="D652" s="4">
        <v>45949</v>
      </c>
      <c r="E652" s="6">
        <v>83.15</v>
      </c>
      <c r="F652" s="7">
        <f t="shared" si="3350"/>
        <v>23.525916704391129</v>
      </c>
      <c r="G652" s="9">
        <v>0.13500000000000001</v>
      </c>
      <c r="H652" s="6">
        <f t="shared" si="3336"/>
        <v>71.924750000000003</v>
      </c>
      <c r="I652" s="6">
        <f t="shared" si="3337"/>
        <v>22.592249999999993</v>
      </c>
      <c r="J652">
        <v>3.6</v>
      </c>
      <c r="K652" s="5">
        <v>6.5000000000000002E-2</v>
      </c>
      <c r="L652" s="17">
        <v>2062</v>
      </c>
      <c r="M652" s="5">
        <v>0.55000000000000004</v>
      </c>
      <c r="N652" s="6">
        <f t="shared" si="3338"/>
        <v>11.225250000000001</v>
      </c>
      <c r="O652" s="21">
        <f t="shared" si="3339"/>
        <v>45.732500000000009</v>
      </c>
      <c r="P652" s="8">
        <f t="shared" si="3019"/>
        <v>46.13317857142858</v>
      </c>
      <c r="Q652" s="8">
        <f t="shared" si="3340"/>
        <v>60.557750000000013</v>
      </c>
      <c r="R652" s="6">
        <f t="shared" si="3341"/>
        <v>22.592249999999993</v>
      </c>
      <c r="S652" s="6">
        <f t="shared" si="3342"/>
        <v>5.4047500000000008</v>
      </c>
      <c r="T652" s="6">
        <f t="shared" si="3343"/>
        <v>-0.36775000000000801</v>
      </c>
      <c r="U652" s="6">
        <f t="shared" si="3344"/>
        <v>0.5182500000000001</v>
      </c>
      <c r="V652" s="6">
        <f t="shared" si="3345"/>
        <v>0.15000000000000568</v>
      </c>
      <c r="W652" s="9">
        <f>Tabla1[[#This Row],[Protein]]/Tabla1[[#This Row],[Peso (Kg)]]</f>
        <v>0.27170475045099207</v>
      </c>
      <c r="X652" s="9">
        <f t="shared" si="3078"/>
        <v>0.26963537661993603</v>
      </c>
      <c r="Y652" s="6">
        <f t="shared" si="3346"/>
        <v>37.417499999999997</v>
      </c>
      <c r="Z652" s="6">
        <f t="shared" ref="Z652" si="3361">AVERAGE(E646:E652)</f>
        <v>83.571428571428569</v>
      </c>
      <c r="AA652" s="6">
        <f t="shared" ref="AA652" si="3362">AVERAGE(N646:N652)</f>
        <v>11.30852142857143</v>
      </c>
      <c r="AB652" s="6">
        <f t="shared" ref="AB652" si="3363">AVERAGE(R646:R652)</f>
        <v>22.529728571428564</v>
      </c>
      <c r="AC652" s="6">
        <f t="shared" si="3360"/>
        <v>0.11804689054837336</v>
      </c>
      <c r="AD652" s="42">
        <f>Tabla1[[#This Row],[Avg Agua)]]/Tabla1[[#This Row],[Avg Musculo]]</f>
        <v>2.0476579833248905</v>
      </c>
      <c r="AE652" t="s">
        <v>189</v>
      </c>
    </row>
    <row r="653" spans="1:31" x14ac:dyDescent="0.3">
      <c r="A653" t="s">
        <v>174</v>
      </c>
      <c r="B653">
        <v>43</v>
      </c>
      <c r="C653" t="s">
        <v>21</v>
      </c>
      <c r="D653" s="4">
        <v>45950</v>
      </c>
      <c r="E653" s="6">
        <v>82.7</v>
      </c>
      <c r="F653" s="7">
        <f t="shared" si="3350"/>
        <v>23.398596650067905</v>
      </c>
      <c r="G653" s="9">
        <v>0.13300000000000001</v>
      </c>
      <c r="H653" s="6">
        <f t="shared" si="3336"/>
        <v>71.700900000000004</v>
      </c>
      <c r="I653" s="6">
        <f t="shared" si="3337"/>
        <v>22.633200000000002</v>
      </c>
      <c r="J653">
        <v>3.5</v>
      </c>
      <c r="K653" s="5">
        <v>0.06</v>
      </c>
      <c r="L653" s="17">
        <v>2054</v>
      </c>
      <c r="M653" s="5">
        <v>0.55100000000000005</v>
      </c>
      <c r="N653" s="6">
        <f t="shared" si="3338"/>
        <v>10.9991</v>
      </c>
      <c r="O653" s="21">
        <f t="shared" si="3339"/>
        <v>45.567700000000002</v>
      </c>
      <c r="P653" s="8">
        <f t="shared" si="3019"/>
        <v>45.874957142857149</v>
      </c>
      <c r="Q653" s="8">
        <f t="shared" si="3340"/>
        <v>60.066800000000001</v>
      </c>
      <c r="R653" s="6">
        <f t="shared" si="3341"/>
        <v>22.633200000000002</v>
      </c>
      <c r="S653" s="6">
        <f t="shared" si="3342"/>
        <v>4.9619999999999997</v>
      </c>
      <c r="T653" s="6">
        <f t="shared" si="3343"/>
        <v>4.0950000000009368E-2</v>
      </c>
      <c r="U653" s="6">
        <f t="shared" si="3344"/>
        <v>-0.22615000000000052</v>
      </c>
      <c r="V653" s="6">
        <f t="shared" si="3345"/>
        <v>-0.45000000000000284</v>
      </c>
      <c r="W653" s="9">
        <f>Tabla1[[#This Row],[Protein]]/Tabla1[[#This Row],[Peso (Kg)]]</f>
        <v>0.2736783555018138</v>
      </c>
      <c r="X653" s="9">
        <f t="shared" si="3078"/>
        <v>0.27237198113536576</v>
      </c>
      <c r="Y653" s="6">
        <f t="shared" si="3346"/>
        <v>37.132300000000001</v>
      </c>
      <c r="Z653" s="6">
        <f t="shared" ref="Z653" si="3364">AVERAGE(E647:E653)</f>
        <v>83.278571428571439</v>
      </c>
      <c r="AA653" s="6">
        <f t="shared" ref="AA653" si="3365">AVERAGE(N647:N653)</f>
        <v>11.136392857142857</v>
      </c>
      <c r="AB653" s="6">
        <f t="shared" ref="AB653" si="3366">AVERAGE(R647:R653)</f>
        <v>22.681507142857136</v>
      </c>
      <c r="AC653" s="6">
        <f t="shared" si="3360"/>
        <v>0.6736813137689257</v>
      </c>
      <c r="AD653" s="42">
        <f>Tabla1[[#This Row],[Avg Agua)]]/Tabla1[[#This Row],[Avg Musculo]]</f>
        <v>2.0225709364866478</v>
      </c>
    </row>
    <row r="654" spans="1:31" x14ac:dyDescent="0.3">
      <c r="A654" t="s">
        <v>174</v>
      </c>
      <c r="B654">
        <v>43</v>
      </c>
      <c r="C654" t="s">
        <v>23</v>
      </c>
      <c r="D654" s="4">
        <v>45951</v>
      </c>
      <c r="E654" s="6">
        <v>83</v>
      </c>
      <c r="F654" s="7">
        <f t="shared" si="3350"/>
        <v>23.483476686283389</v>
      </c>
      <c r="G654" s="9">
        <v>0.13300000000000001</v>
      </c>
      <c r="H654" s="6">
        <f t="shared" ref="H654:H659" si="3367">E654-N654</f>
        <v>71.960999999999999</v>
      </c>
      <c r="I654" s="6">
        <f t="shared" ref="I654:I659" si="3368">E654-N654-O654-J654</f>
        <v>22.876999999999995</v>
      </c>
      <c r="J654">
        <v>3.6</v>
      </c>
      <c r="K654" s="5">
        <v>0.06</v>
      </c>
      <c r="L654" s="17">
        <v>2063</v>
      </c>
      <c r="M654" s="5">
        <v>0.54800000000000004</v>
      </c>
      <c r="N654" s="6">
        <f t="shared" ref="N654:N659" si="3369">E654*G654</f>
        <v>11.039000000000001</v>
      </c>
      <c r="O654" s="21">
        <f t="shared" ref="O654:O659" si="3370">M654*E654</f>
        <v>45.484000000000002</v>
      </c>
      <c r="P654" s="8">
        <f t="shared" si="3019"/>
        <v>45.732585714285719</v>
      </c>
      <c r="Q654" s="8">
        <f t="shared" ref="Q654:Q659" si="3371">E654-R654</f>
        <v>60.123000000000005</v>
      </c>
      <c r="R654" s="6">
        <f t="shared" ref="R654:R659" si="3372">I654</f>
        <v>22.876999999999995</v>
      </c>
      <c r="S654" s="6">
        <f t="shared" si="3342"/>
        <v>4.9799999999999995</v>
      </c>
      <c r="T654" s="6">
        <f t="shared" ref="T654:T659" si="3373">I654-I653</f>
        <v>0.24379999999999313</v>
      </c>
      <c r="U654" s="6">
        <f t="shared" ref="U654:U659" si="3374">N654-N653</f>
        <v>3.9900000000001157E-2</v>
      </c>
      <c r="V654" s="6">
        <f t="shared" ref="V654:V659" si="3375">E654-E653</f>
        <v>0.29999999999999716</v>
      </c>
      <c r="W654" s="9">
        <f>Tabla1[[#This Row],[Protein]]/Tabla1[[#This Row],[Peso (Kg)]]</f>
        <v>0.27562650602409633</v>
      </c>
      <c r="X654" s="9">
        <f t="shared" si="3078"/>
        <v>0.27387694257827688</v>
      </c>
      <c r="Y654" s="6">
        <f t="shared" ref="Y654:Y659" si="3376">R654+N654+J654</f>
        <v>37.515999999999998</v>
      </c>
      <c r="Z654" s="6">
        <f t="shared" ref="Z654" si="3377">AVERAGE(E648:E654)</f>
        <v>83.149999999999991</v>
      </c>
      <c r="AA654" s="6">
        <f t="shared" ref="AA654" si="3378">AVERAGE(N648:N654)</f>
        <v>11.059364285714286</v>
      </c>
      <c r="AB654" s="6">
        <f t="shared" ref="AB654" si="3379">AVERAGE(R648:R654)</f>
        <v>22.77233571428571</v>
      </c>
      <c r="AC654" s="6">
        <f t="shared" si="3360"/>
        <v>0.40045209895664957</v>
      </c>
      <c r="AD654" s="42">
        <f>Tabla1[[#This Row],[Avg Agua)]]/Tabla1[[#This Row],[Avg Musculo]]</f>
        <v>2.0082518670052987</v>
      </c>
      <c r="AE654" t="s">
        <v>190</v>
      </c>
    </row>
    <row r="655" spans="1:31" x14ac:dyDescent="0.3">
      <c r="A655" t="s">
        <v>174</v>
      </c>
      <c r="B655">
        <v>43</v>
      </c>
      <c r="C655" t="s">
        <v>24</v>
      </c>
      <c r="D655" s="4">
        <v>45952</v>
      </c>
      <c r="E655" s="6">
        <v>82.5</v>
      </c>
      <c r="F655" s="7">
        <f t="shared" ref="F655:F660" si="3380">E655/(1.88^2)</f>
        <v>23.342009959257584</v>
      </c>
      <c r="G655" s="9">
        <v>0.13200000000000001</v>
      </c>
      <c r="H655" s="6">
        <f t="shared" si="3367"/>
        <v>71.61</v>
      </c>
      <c r="I655" s="6">
        <f t="shared" si="3368"/>
        <v>22.9</v>
      </c>
      <c r="J655">
        <v>3.5</v>
      </c>
      <c r="K655" s="5">
        <v>0.06</v>
      </c>
      <c r="L655" s="17">
        <v>2049</v>
      </c>
      <c r="M655" s="5">
        <v>0.54800000000000004</v>
      </c>
      <c r="N655" s="6">
        <f t="shared" si="3369"/>
        <v>10.89</v>
      </c>
      <c r="O655" s="21">
        <f t="shared" si="3370"/>
        <v>45.21</v>
      </c>
      <c r="P655" s="8">
        <f t="shared" si="3019"/>
        <v>45.60277142857143</v>
      </c>
      <c r="Q655" s="8">
        <f t="shared" si="3371"/>
        <v>59.6</v>
      </c>
      <c r="R655" s="6">
        <f t="shared" si="3372"/>
        <v>22.9</v>
      </c>
      <c r="S655" s="6">
        <f t="shared" ref="S655:S660" si="3381">K655*E655</f>
        <v>4.95</v>
      </c>
      <c r="T655" s="6">
        <f t="shared" si="3373"/>
        <v>2.300000000000324E-2</v>
      </c>
      <c r="U655" s="6">
        <f t="shared" si="3374"/>
        <v>-0.14900000000000091</v>
      </c>
      <c r="V655" s="6">
        <f t="shared" si="3375"/>
        <v>-0.5</v>
      </c>
      <c r="W655" s="9">
        <f>Tabla1[[#This Row],[Protein]]/Tabla1[[#This Row],[Peso (Kg)]]</f>
        <v>0.27757575757575753</v>
      </c>
      <c r="X655" s="9">
        <f t="shared" si="3078"/>
        <v>0.27524644404455251</v>
      </c>
      <c r="Y655" s="6">
        <f t="shared" si="3376"/>
        <v>37.29</v>
      </c>
      <c r="Z655" s="6">
        <f t="shared" ref="Z655" si="3382">AVERAGE(E649:E655)</f>
        <v>82.978571428571414</v>
      </c>
      <c r="AA655" s="6">
        <f t="shared" ref="AA655" si="3383">AVERAGE(N649:N655)</f>
        <v>10.964992857142859</v>
      </c>
      <c r="AB655" s="6">
        <f t="shared" ref="AB655" si="3384">AVERAGE(R649:R655)</f>
        <v>22.839378571428568</v>
      </c>
      <c r="AC655" s="6">
        <f t="shared" si="3360"/>
        <v>0.29440483393541328</v>
      </c>
      <c r="AD655" s="42">
        <f>Tabla1[[#This Row],[Avg Agua)]]/Tabla1[[#This Row],[Avg Musculo]]</f>
        <v>1.9966730393277528</v>
      </c>
    </row>
    <row r="656" spans="1:31" x14ac:dyDescent="0.3">
      <c r="A656" t="s">
        <v>174</v>
      </c>
      <c r="B656">
        <v>43</v>
      </c>
      <c r="C656" t="s">
        <v>22</v>
      </c>
      <c r="D656" s="4">
        <v>45953</v>
      </c>
      <c r="E656" s="6">
        <v>82.45</v>
      </c>
      <c r="F656" s="7">
        <f t="shared" si="3380"/>
        <v>23.327863286555004</v>
      </c>
      <c r="G656" s="9">
        <v>0.126</v>
      </c>
      <c r="H656" s="6">
        <f t="shared" si="3367"/>
        <v>72.061300000000003</v>
      </c>
      <c r="I656" s="6">
        <f t="shared" si="3368"/>
        <v>22.701549999999997</v>
      </c>
      <c r="J656">
        <v>3.6</v>
      </c>
      <c r="K656" s="5">
        <v>0.06</v>
      </c>
      <c r="L656" s="17">
        <v>2062</v>
      </c>
      <c r="M656" s="5">
        <v>0.55500000000000005</v>
      </c>
      <c r="N656" s="6">
        <f t="shared" si="3369"/>
        <v>10.3887</v>
      </c>
      <c r="O656" s="21">
        <f t="shared" si="3370"/>
        <v>45.759750000000004</v>
      </c>
      <c r="P656" s="8">
        <f t="shared" si="3019"/>
        <v>45.575107142857142</v>
      </c>
      <c r="Q656" s="8">
        <f t="shared" si="3371"/>
        <v>59.748450000000005</v>
      </c>
      <c r="R656" s="6">
        <f t="shared" si="3372"/>
        <v>22.701549999999997</v>
      </c>
      <c r="S656" s="6">
        <f t="shared" si="3381"/>
        <v>4.9470000000000001</v>
      </c>
      <c r="T656" s="6">
        <f t="shared" si="3373"/>
        <v>-0.19845000000000113</v>
      </c>
      <c r="U656" s="6">
        <f t="shared" si="3374"/>
        <v>-0.50130000000000052</v>
      </c>
      <c r="V656" s="6">
        <f t="shared" si="3375"/>
        <v>-4.9999999999997158E-2</v>
      </c>
      <c r="W656" s="9">
        <f>Tabla1[[#This Row],[Protein]]/Tabla1[[#This Row],[Peso (Kg)]]</f>
        <v>0.27533717404487562</v>
      </c>
      <c r="X656" s="9">
        <f t="shared" si="3078"/>
        <v>0.27531824999752036</v>
      </c>
      <c r="Y656" s="6">
        <f t="shared" si="3376"/>
        <v>36.690249999999999</v>
      </c>
      <c r="Z656" s="6">
        <f t="shared" ref="Z656" si="3385">AVERAGE(E650:E656)</f>
        <v>82.842857142857142</v>
      </c>
      <c r="AA656" s="6">
        <f t="shared" ref="AA656" si="3386">AVERAGE(N650:N656)</f>
        <v>10.88832142857143</v>
      </c>
      <c r="AB656" s="6">
        <f t="shared" ref="AB656" si="3387">AVERAGE(R650:R656)</f>
        <v>22.807999999999996</v>
      </c>
      <c r="AC656" s="6">
        <f t="shared" si="3360"/>
        <v>-0.13738802625665736</v>
      </c>
      <c r="AD656" s="42">
        <f>Tabla1[[#This Row],[Avg Agua)]]/Tabla1[[#This Row],[Avg Musculo]]</f>
        <v>1.9982070827278653</v>
      </c>
    </row>
    <row r="657" spans="1:31" x14ac:dyDescent="0.3">
      <c r="A657" t="s">
        <v>174</v>
      </c>
      <c r="B657">
        <v>43</v>
      </c>
      <c r="C657" t="s">
        <v>20</v>
      </c>
      <c r="D657" s="4">
        <v>45954</v>
      </c>
      <c r="E657" s="6">
        <v>82.35</v>
      </c>
      <c r="F657" s="7">
        <f t="shared" si="3380"/>
        <v>23.299569941149841</v>
      </c>
      <c r="G657" s="9">
        <v>0.123</v>
      </c>
      <c r="H657" s="6">
        <f t="shared" si="3367"/>
        <v>72.220949999999988</v>
      </c>
      <c r="I657" s="6">
        <f t="shared" si="3368"/>
        <v>22.834349999999986</v>
      </c>
      <c r="J657">
        <v>3.6</v>
      </c>
      <c r="K657" s="5">
        <v>0.06</v>
      </c>
      <c r="L657" s="17">
        <v>2066</v>
      </c>
      <c r="M657" s="5">
        <v>0.55600000000000005</v>
      </c>
      <c r="N657" s="6">
        <f t="shared" si="3369"/>
        <v>10.129049999999999</v>
      </c>
      <c r="O657" s="21">
        <f t="shared" si="3370"/>
        <v>45.7866</v>
      </c>
      <c r="P657" s="8">
        <f t="shared" si="3019"/>
        <v>45.610507142857152</v>
      </c>
      <c r="Q657" s="8">
        <f t="shared" si="3371"/>
        <v>59.515650000000008</v>
      </c>
      <c r="R657" s="6">
        <f t="shared" si="3372"/>
        <v>22.834349999999986</v>
      </c>
      <c r="S657" s="6">
        <f t="shared" si="3381"/>
        <v>4.9409999999999998</v>
      </c>
      <c r="T657" s="6">
        <f t="shared" si="3373"/>
        <v>0.13279999999998893</v>
      </c>
      <c r="U657" s="6">
        <f t="shared" si="3374"/>
        <v>-0.2596500000000006</v>
      </c>
      <c r="V657" s="6">
        <f t="shared" si="3375"/>
        <v>-0.10000000000000853</v>
      </c>
      <c r="W657" s="9">
        <f>Tabla1[[#This Row],[Protein]]/Tabla1[[#This Row],[Peso (Kg)]]</f>
        <v>0.27728415300546433</v>
      </c>
      <c r="X657" s="9">
        <f t="shared" si="3078"/>
        <v>0.2754047432324423</v>
      </c>
      <c r="Y657" s="6">
        <f t="shared" si="3376"/>
        <v>36.563399999999987</v>
      </c>
      <c r="Z657" s="6">
        <f t="shared" ref="Z657" si="3388">AVERAGE(E651:E657)</f>
        <v>82.73571428571428</v>
      </c>
      <c r="AA657" s="6">
        <f t="shared" ref="AA657" si="3389">AVERAGE(N651:N657)</f>
        <v>10.768300000000002</v>
      </c>
      <c r="AB657" s="6">
        <f t="shared" ref="AB657" si="3390">AVERAGE(R651:R657)</f>
        <v>22.785478571428566</v>
      </c>
      <c r="AC657" s="6">
        <f t="shared" ref="AC657:AC662" si="3391">100*(AB657/AB656-1)</f>
        <v>-9.8743548629565137E-2</v>
      </c>
      <c r="AD657" s="42">
        <f>Tabla1[[#This Row],[Avg Agua)]]/Tabla1[[#This Row],[Avg Musculo]]</f>
        <v>2.0017357546331991</v>
      </c>
    </row>
    <row r="658" spans="1:31" x14ac:dyDescent="0.3">
      <c r="A658" t="s">
        <v>174</v>
      </c>
      <c r="B658">
        <v>43</v>
      </c>
      <c r="C658" t="s">
        <v>121</v>
      </c>
      <c r="D658" s="4">
        <v>45955</v>
      </c>
      <c r="E658" s="6">
        <v>82.65</v>
      </c>
      <c r="F658" s="7">
        <f t="shared" si="3380"/>
        <v>23.384449977365328</v>
      </c>
      <c r="G658" s="9">
        <v>0.128</v>
      </c>
      <c r="H658" s="6">
        <f t="shared" si="3367"/>
        <v>72.070800000000006</v>
      </c>
      <c r="I658" s="6">
        <f t="shared" si="3368"/>
        <v>23.013299999999994</v>
      </c>
      <c r="J658">
        <v>3.6</v>
      </c>
      <c r="K658" s="5">
        <v>0.06</v>
      </c>
      <c r="L658" s="17">
        <v>2064</v>
      </c>
      <c r="M658" s="5">
        <v>0.55000000000000004</v>
      </c>
      <c r="N658" s="6">
        <f t="shared" si="3369"/>
        <v>10.5792</v>
      </c>
      <c r="O658" s="21">
        <f t="shared" si="3370"/>
        <v>45.45750000000001</v>
      </c>
      <c r="P658" s="8">
        <f t="shared" si="3019"/>
        <v>45.571150000000003</v>
      </c>
      <c r="Q658" s="8">
        <f t="shared" si="3371"/>
        <v>59.636700000000012</v>
      </c>
      <c r="R658" s="6">
        <f t="shared" si="3372"/>
        <v>23.013299999999994</v>
      </c>
      <c r="S658" s="6">
        <f t="shared" si="3381"/>
        <v>4.9590000000000005</v>
      </c>
      <c r="T658" s="6">
        <f t="shared" si="3373"/>
        <v>0.17895000000000749</v>
      </c>
      <c r="U658" s="6">
        <f t="shared" si="3374"/>
        <v>0.45015000000000072</v>
      </c>
      <c r="V658" s="6">
        <f t="shared" si="3375"/>
        <v>0.30000000000001137</v>
      </c>
      <c r="W658" s="9">
        <f>Tabla1[[#This Row],[Protein]]/Tabla1[[#This Row],[Peso (Kg)]]</f>
        <v>0.27844283121597085</v>
      </c>
      <c r="X658" s="9">
        <f t="shared" si="3078"/>
        <v>0.27566421825985293</v>
      </c>
      <c r="Y658" s="6">
        <f t="shared" si="3376"/>
        <v>37.192499999999995</v>
      </c>
      <c r="Z658" s="6">
        <f t="shared" ref="Z658:Z659" si="3392">AVERAGE(E652:E658)</f>
        <v>82.685714285714283</v>
      </c>
      <c r="AA658" s="6">
        <f t="shared" ref="AA658:AA659" si="3393">AVERAGE(N652:N658)</f>
        <v>10.750042857142857</v>
      </c>
      <c r="AB658" s="6">
        <f t="shared" ref="AB658:AB659" si="3394">AVERAGE(R652:R658)</f>
        <v>22.793092857142852</v>
      </c>
      <c r="AC658" s="6">
        <f t="shared" si="3391"/>
        <v>3.3417273595626185E-2</v>
      </c>
      <c r="AD658" s="42">
        <f>Tabla1[[#This Row],[Avg Agua)]]/Tabla1[[#This Row],[Avg Musculo]]</f>
        <v>1.9993403390062094</v>
      </c>
    </row>
    <row r="659" spans="1:31" x14ac:dyDescent="0.3">
      <c r="A659" t="s">
        <v>174</v>
      </c>
      <c r="B659">
        <v>43</v>
      </c>
      <c r="C659" t="s">
        <v>26</v>
      </c>
      <c r="D659" s="4">
        <v>45956</v>
      </c>
      <c r="E659" s="6">
        <v>82.15</v>
      </c>
      <c r="F659" s="7">
        <f t="shared" si="3380"/>
        <v>23.242983250339524</v>
      </c>
      <c r="G659" s="9">
        <v>0.13</v>
      </c>
      <c r="H659" s="6">
        <f t="shared" si="3367"/>
        <v>71.470500000000001</v>
      </c>
      <c r="I659" s="6">
        <f t="shared" si="3368"/>
        <v>22.212949999999992</v>
      </c>
      <c r="J659">
        <v>3.5</v>
      </c>
      <c r="K659" s="5">
        <v>0.06</v>
      </c>
      <c r="L659" s="17">
        <v>2045</v>
      </c>
      <c r="M659" s="5">
        <v>0.55700000000000005</v>
      </c>
      <c r="N659" s="6">
        <f t="shared" si="3369"/>
        <v>10.679500000000001</v>
      </c>
      <c r="O659" s="21">
        <f t="shared" si="3370"/>
        <v>45.757550000000009</v>
      </c>
      <c r="P659" s="8">
        <f t="shared" ref="P659:P722" si="3395">AVERAGE(O653:O659)</f>
        <v>45.574728571428572</v>
      </c>
      <c r="Q659" s="8">
        <f t="shared" si="3371"/>
        <v>59.937050000000013</v>
      </c>
      <c r="R659" s="6">
        <f t="shared" si="3372"/>
        <v>22.212949999999992</v>
      </c>
      <c r="S659" s="6">
        <f t="shared" si="3381"/>
        <v>4.9290000000000003</v>
      </c>
      <c r="T659" s="6">
        <f t="shared" si="3373"/>
        <v>-0.80035000000000167</v>
      </c>
      <c r="U659" s="6">
        <f t="shared" si="3374"/>
        <v>0.10030000000000072</v>
      </c>
      <c r="V659" s="6">
        <f t="shared" si="3375"/>
        <v>-0.5</v>
      </c>
      <c r="W659" s="9">
        <f>Tabla1[[#This Row],[Protein]]/Tabla1[[#This Row],[Peso (Kg)]]</f>
        <v>0.27039500912964076</v>
      </c>
      <c r="X659" s="9">
        <f t="shared" si="3078"/>
        <v>0.27547711235680278</v>
      </c>
      <c r="Y659" s="6">
        <f t="shared" si="3376"/>
        <v>36.392449999999997</v>
      </c>
      <c r="Z659" s="6">
        <f t="shared" si="3392"/>
        <v>82.54285714285713</v>
      </c>
      <c r="AA659" s="6">
        <f t="shared" si="3393"/>
        <v>10.672078571428571</v>
      </c>
      <c r="AB659" s="6">
        <f t="shared" si="3394"/>
        <v>22.738907142857141</v>
      </c>
      <c r="AC659" s="6">
        <f t="shared" si="3391"/>
        <v>-0.2377286602802231</v>
      </c>
      <c r="AD659" s="42">
        <f>Tabla1[[#This Row],[Avg Agua)]]/Tabla1[[#This Row],[Avg Musculo]]</f>
        <v>2.0042620467688015</v>
      </c>
    </row>
    <row r="660" spans="1:31" x14ac:dyDescent="0.3">
      <c r="A660" t="s">
        <v>174</v>
      </c>
      <c r="B660">
        <v>44</v>
      </c>
      <c r="C660" t="s">
        <v>21</v>
      </c>
      <c r="D660" s="4">
        <v>45957</v>
      </c>
      <c r="E660" s="6">
        <v>82.55</v>
      </c>
      <c r="F660" s="7">
        <f t="shared" si="3380"/>
        <v>23.356156631960165</v>
      </c>
      <c r="G660" s="9">
        <v>0.126</v>
      </c>
      <c r="H660" s="6">
        <f t="shared" ref="H660:H667" si="3396">E660-N660</f>
        <v>72.148699999999991</v>
      </c>
      <c r="I660" s="6">
        <f t="shared" ref="I660:I667" si="3397">E660-N660-O660-J660</f>
        <v>22.733449999999991</v>
      </c>
      <c r="J660">
        <v>3.6</v>
      </c>
      <c r="K660" s="5">
        <v>0.06</v>
      </c>
      <c r="L660" s="17">
        <v>2064</v>
      </c>
      <c r="M660" s="5">
        <v>0.55500000000000005</v>
      </c>
      <c r="N660" s="6">
        <f t="shared" ref="N660:N667" si="3398">E660*G660</f>
        <v>10.401299999999999</v>
      </c>
      <c r="O660" s="21">
        <f t="shared" ref="O660:O667" si="3399">M660*E660</f>
        <v>45.815249999999999</v>
      </c>
      <c r="P660" s="8">
        <f t="shared" si="3395"/>
        <v>45.610092857142867</v>
      </c>
      <c r="Q660" s="8">
        <f t="shared" ref="Q660:Q667" si="3400">E660-R660</f>
        <v>59.816550000000007</v>
      </c>
      <c r="R660" s="6">
        <f t="shared" ref="R660:R667" si="3401">I660</f>
        <v>22.733449999999991</v>
      </c>
      <c r="S660" s="6">
        <f t="shared" si="3381"/>
        <v>4.9529999999999994</v>
      </c>
      <c r="T660" s="6">
        <f t="shared" ref="T660:T667" si="3402">I660-I659</f>
        <v>0.52049999999999841</v>
      </c>
      <c r="U660" s="6">
        <f t="shared" ref="U660:U667" si="3403">N660-N659</f>
        <v>-0.27820000000000178</v>
      </c>
      <c r="V660" s="6">
        <f t="shared" ref="V660:V667" si="3404">E660-E659</f>
        <v>0.39999999999999147</v>
      </c>
      <c r="W660" s="9">
        <f>Tabla1[[#This Row],[Protein]]/Tabla1[[#This Row],[Peso (Kg)]]</f>
        <v>0.27539006662628701</v>
      </c>
      <c r="X660" s="9">
        <f t="shared" si="3078"/>
        <v>0.27572164251744175</v>
      </c>
      <c r="Y660" s="6">
        <f t="shared" ref="Y660:Y667" si="3405">R660+N660+J660</f>
        <v>36.734749999999991</v>
      </c>
      <c r="Z660" s="6">
        <f t="shared" ref="Z660" si="3406">AVERAGE(E654:E660)</f>
        <v>82.521428571428558</v>
      </c>
      <c r="AA660" s="6">
        <f t="shared" ref="AA660" si="3407">AVERAGE(N654:N660)</f>
        <v>10.586678571428573</v>
      </c>
      <c r="AB660" s="6">
        <f t="shared" ref="AB660" si="3408">AVERAGE(R654:R660)</f>
        <v>22.753228571428565</v>
      </c>
      <c r="AC660" s="6">
        <f t="shared" si="3391"/>
        <v>6.2982044306036933E-2</v>
      </c>
      <c r="AD660" s="42">
        <f>Tabla1[[#This Row],[Avg Agua)]]/Tabla1[[#This Row],[Avg Musculo]]</f>
        <v>2.0045547696213921</v>
      </c>
    </row>
    <row r="661" spans="1:31" x14ac:dyDescent="0.3">
      <c r="A661" t="s">
        <v>174</v>
      </c>
      <c r="B661">
        <v>44</v>
      </c>
      <c r="C661" t="s">
        <v>23</v>
      </c>
      <c r="D661" s="4">
        <v>45958</v>
      </c>
      <c r="E661" s="6">
        <v>82.25</v>
      </c>
      <c r="F661" s="7">
        <f t="shared" ref="F661:F667" si="3409">E661/(1.88^2)</f>
        <v>23.271276595744684</v>
      </c>
      <c r="G661" s="9">
        <v>0.125</v>
      </c>
      <c r="H661" s="6">
        <f t="shared" si="3396"/>
        <v>71.96875</v>
      </c>
      <c r="I661" s="6">
        <f t="shared" si="3397"/>
        <v>23.213499999999996</v>
      </c>
      <c r="J661">
        <v>3.6</v>
      </c>
      <c r="K661" s="5">
        <v>0.06</v>
      </c>
      <c r="L661" s="17">
        <v>2060</v>
      </c>
      <c r="M661" s="5">
        <v>0.54900000000000004</v>
      </c>
      <c r="N661" s="6">
        <f t="shared" si="3398"/>
        <v>10.28125</v>
      </c>
      <c r="O661" s="21">
        <f t="shared" si="3399"/>
        <v>45.155250000000002</v>
      </c>
      <c r="P661" s="8">
        <f t="shared" si="3395"/>
        <v>45.563128571428578</v>
      </c>
      <c r="Q661" s="8">
        <f t="shared" si="3400"/>
        <v>59.036500000000004</v>
      </c>
      <c r="R661" s="6">
        <f t="shared" si="3401"/>
        <v>23.213499999999996</v>
      </c>
      <c r="S661" s="6">
        <f t="shared" ref="S661:S667" si="3410">K661*E661</f>
        <v>4.9349999999999996</v>
      </c>
      <c r="T661" s="6">
        <f t="shared" si="3402"/>
        <v>0.48005000000000564</v>
      </c>
      <c r="U661" s="6">
        <f t="shared" si="3403"/>
        <v>-0.1200499999999991</v>
      </c>
      <c r="V661" s="6">
        <f t="shared" si="3404"/>
        <v>-0.29999999999999716</v>
      </c>
      <c r="W661" s="9">
        <f>Tabla1[[#This Row],[Protein]]/Tabla1[[#This Row],[Peso (Kg)]]</f>
        <v>0.28223100303951365</v>
      </c>
      <c r="X661" s="9">
        <f t="shared" si="3078"/>
        <v>0.27666514209107279</v>
      </c>
      <c r="Y661" s="6">
        <f t="shared" si="3405"/>
        <v>37.094749999999998</v>
      </c>
      <c r="Z661" s="6">
        <f t="shared" ref="Z661:Z662" si="3411">AVERAGE(E655:E661)</f>
        <v>82.414285714285725</v>
      </c>
      <c r="AA661" s="6">
        <f t="shared" ref="AA661" si="3412">AVERAGE(N655:N661)</f>
        <v>10.478428571428569</v>
      </c>
      <c r="AB661" s="6">
        <f t="shared" ref="AB661" si="3413">AVERAGE(R655:R661)</f>
        <v>22.801299999999994</v>
      </c>
      <c r="AC661" s="6">
        <f t="shared" si="3391"/>
        <v>0.21127299987568904</v>
      </c>
      <c r="AD661" s="42">
        <f>Tabla1[[#This Row],[Avg Agua)]]/Tabla1[[#This Row],[Avg Musculo]]</f>
        <v>1.9982688956957977</v>
      </c>
    </row>
    <row r="662" spans="1:31" x14ac:dyDescent="0.3">
      <c r="A662" t="s">
        <v>174</v>
      </c>
      <c r="B662">
        <v>44</v>
      </c>
      <c r="C662" t="s">
        <v>24</v>
      </c>
      <c r="D662" s="4">
        <v>45959</v>
      </c>
      <c r="E662" s="6">
        <v>82.05</v>
      </c>
      <c r="F662" s="7">
        <f t="shared" si="3409"/>
        <v>23.21468990493436</v>
      </c>
      <c r="G662" s="9">
        <v>0.124</v>
      </c>
      <c r="H662" s="6">
        <f t="shared" si="3396"/>
        <v>71.875799999999998</v>
      </c>
      <c r="I662" s="6">
        <f t="shared" si="3397"/>
        <v>23.148299999999992</v>
      </c>
      <c r="J662">
        <v>3.6</v>
      </c>
      <c r="K662" s="5">
        <v>0.06</v>
      </c>
      <c r="L662" s="17">
        <v>2057</v>
      </c>
      <c r="M662" s="5">
        <v>0.55000000000000004</v>
      </c>
      <c r="N662" s="6">
        <f t="shared" si="3398"/>
        <v>10.174199999999999</v>
      </c>
      <c r="O662" s="21">
        <f t="shared" si="3399"/>
        <v>45.127500000000005</v>
      </c>
      <c r="P662" s="8">
        <f t="shared" si="3395"/>
        <v>45.551342857142856</v>
      </c>
      <c r="Q662" s="8">
        <f t="shared" si="3400"/>
        <v>58.901700000000005</v>
      </c>
      <c r="R662" s="6">
        <f t="shared" si="3401"/>
        <v>23.148299999999992</v>
      </c>
      <c r="S662" s="6">
        <f t="shared" si="3410"/>
        <v>4.923</v>
      </c>
      <c r="T662" s="6">
        <f t="shared" si="3402"/>
        <v>-6.5200000000004366E-2</v>
      </c>
      <c r="U662" s="6">
        <f t="shared" si="3403"/>
        <v>-0.10705000000000098</v>
      </c>
      <c r="V662" s="6">
        <f t="shared" si="3404"/>
        <v>-0.20000000000000284</v>
      </c>
      <c r="W662" s="9">
        <f>Tabla1[[#This Row],[Protein]]/Tabla1[[#This Row],[Peso (Kg)]]</f>
        <v>0.28212431444241309</v>
      </c>
      <c r="X662" s="9">
        <f t="shared" si="3078"/>
        <v>0.27731493592916645</v>
      </c>
      <c r="Y662" s="6">
        <f t="shared" si="3405"/>
        <v>36.922499999999992</v>
      </c>
      <c r="Z662" s="6">
        <f t="shared" si="3411"/>
        <v>82.350000000000009</v>
      </c>
      <c r="AA662" s="6">
        <f t="shared" ref="AA662" si="3414">AVERAGE(N656:N662)</f>
        <v>10.376171428571427</v>
      </c>
      <c r="AB662" s="6">
        <f t="shared" ref="AB662" si="3415">AVERAGE(R656:R662)</f>
        <v>22.836771428571428</v>
      </c>
      <c r="AC662" s="6">
        <f t="shared" si="3391"/>
        <v>0.15556757102197505</v>
      </c>
      <c r="AD662" s="42">
        <f>Tabla1[[#This Row],[Avg Agua)]]/Tabla1[[#This Row],[Avg Musculo]]</f>
        <v>1.9946489809042309</v>
      </c>
    </row>
    <row r="663" spans="1:31" x14ac:dyDescent="0.3">
      <c r="A663" t="s">
        <v>174</v>
      </c>
      <c r="B663">
        <v>44</v>
      </c>
      <c r="C663" t="s">
        <v>22</v>
      </c>
      <c r="D663" s="4">
        <v>45960</v>
      </c>
      <c r="E663" s="6">
        <v>81.8</v>
      </c>
      <c r="F663" s="7">
        <f t="shared" si="3409"/>
        <v>23.14395654142146</v>
      </c>
      <c r="G663" s="9">
        <v>0.125</v>
      </c>
      <c r="H663" s="6">
        <f t="shared" si="3396"/>
        <v>71.575000000000003</v>
      </c>
      <c r="I663" s="6">
        <f t="shared" si="3397"/>
        <v>22.757800000000003</v>
      </c>
      <c r="J663">
        <v>3.5</v>
      </c>
      <c r="K663" s="5">
        <v>0.06</v>
      </c>
      <c r="L663" s="17">
        <v>2045</v>
      </c>
      <c r="M663" s="5">
        <v>0.55400000000000005</v>
      </c>
      <c r="N663" s="6">
        <f t="shared" si="3398"/>
        <v>10.225</v>
      </c>
      <c r="O663" s="21">
        <f t="shared" si="3399"/>
        <v>45.3172</v>
      </c>
      <c r="P663" s="8">
        <f t="shared" si="3395"/>
        <v>45.488121428571432</v>
      </c>
      <c r="Q663" s="8">
        <f t="shared" si="3400"/>
        <v>59.042199999999994</v>
      </c>
      <c r="R663" s="6">
        <f t="shared" si="3401"/>
        <v>22.757800000000003</v>
      </c>
      <c r="S663" s="6">
        <f t="shared" si="3410"/>
        <v>4.9079999999999995</v>
      </c>
      <c r="T663" s="6">
        <f t="shared" si="3402"/>
        <v>-0.39049999999998875</v>
      </c>
      <c r="U663" s="6">
        <f t="shared" si="3403"/>
        <v>5.0800000000000622E-2</v>
      </c>
      <c r="V663" s="6">
        <f t="shared" si="3404"/>
        <v>-0.25</v>
      </c>
      <c r="W663" s="9">
        <f>Tabla1[[#This Row],[Protein]]/Tabla1[[#This Row],[Peso (Kg)]]</f>
        <v>0.27821271393643038</v>
      </c>
      <c r="X663" s="9">
        <f t="shared" si="3078"/>
        <v>0.27772572734224571</v>
      </c>
      <c r="Y663" s="6">
        <f t="shared" si="3405"/>
        <v>36.482800000000005</v>
      </c>
      <c r="Z663" s="6">
        <f t="shared" ref="Z663" si="3416">AVERAGE(E657:E663)</f>
        <v>82.257142857142853</v>
      </c>
      <c r="AA663" s="6">
        <f t="shared" ref="AA663" si="3417">AVERAGE(N657:N663)</f>
        <v>10.352785714285714</v>
      </c>
      <c r="AB663" s="6">
        <f t="shared" ref="AB663" si="3418">AVERAGE(R657:R663)</f>
        <v>22.844807142857132</v>
      </c>
      <c r="AC663" s="6">
        <f t="shared" ref="AC663:AC668" si="3419">100*(AB663/AB662-1)</f>
        <v>3.5187610958220539E-2</v>
      </c>
      <c r="AD663" s="42">
        <f>Tabla1[[#This Row],[Avg Agua)]]/Tabla1[[#This Row],[Avg Musculo]]</f>
        <v>1.9911799274170789</v>
      </c>
    </row>
    <row r="664" spans="1:31" x14ac:dyDescent="0.3">
      <c r="A664" t="s">
        <v>174</v>
      </c>
      <c r="B664">
        <v>44</v>
      </c>
      <c r="C664" t="s">
        <v>20</v>
      </c>
      <c r="D664" s="4">
        <v>45961</v>
      </c>
      <c r="E664" s="6">
        <v>82.45</v>
      </c>
      <c r="F664" s="7">
        <f t="shared" si="3409"/>
        <v>23.327863286555004</v>
      </c>
      <c r="G664" s="9">
        <v>0.126</v>
      </c>
      <c r="H664" s="6">
        <f t="shared" si="3396"/>
        <v>72.061300000000003</v>
      </c>
      <c r="I664" s="6">
        <f t="shared" si="3397"/>
        <v>22.701549999999997</v>
      </c>
      <c r="J664">
        <v>3.6</v>
      </c>
      <c r="K664" s="5">
        <v>0.06</v>
      </c>
      <c r="L664" s="17">
        <v>2062</v>
      </c>
      <c r="M664" s="5">
        <v>0.55500000000000005</v>
      </c>
      <c r="N664" s="6">
        <f t="shared" si="3398"/>
        <v>10.3887</v>
      </c>
      <c r="O664" s="21">
        <f t="shared" si="3399"/>
        <v>45.759750000000004</v>
      </c>
      <c r="P664" s="8">
        <f t="shared" si="3395"/>
        <v>45.484285714285711</v>
      </c>
      <c r="Q664" s="8">
        <f t="shared" si="3400"/>
        <v>59.748450000000005</v>
      </c>
      <c r="R664" s="6">
        <f t="shared" si="3401"/>
        <v>22.701549999999997</v>
      </c>
      <c r="S664" s="6">
        <f t="shared" si="3410"/>
        <v>4.9470000000000001</v>
      </c>
      <c r="T664" s="6">
        <f t="shared" si="3402"/>
        <v>-5.6250000000005684E-2</v>
      </c>
      <c r="U664" s="6">
        <f t="shared" si="3403"/>
        <v>0.1637000000000004</v>
      </c>
      <c r="V664" s="6">
        <f t="shared" si="3404"/>
        <v>0.65000000000000568</v>
      </c>
      <c r="W664" s="9">
        <f>Tabla1[[#This Row],[Protein]]/Tabla1[[#This Row],[Peso (Kg)]]</f>
        <v>0.27533717404487562</v>
      </c>
      <c r="X664" s="9">
        <f t="shared" si="3078"/>
        <v>0.27744758749073301</v>
      </c>
      <c r="Y664" s="6">
        <f t="shared" si="3405"/>
        <v>36.690249999999999</v>
      </c>
      <c r="Z664" s="6">
        <f t="shared" ref="Z664" si="3420">AVERAGE(E658:E664)</f>
        <v>82.271428571428586</v>
      </c>
      <c r="AA664" s="6">
        <f t="shared" ref="AA664" si="3421">AVERAGE(N658:N664)</f>
        <v>10.389878571428572</v>
      </c>
      <c r="AB664" s="6">
        <f t="shared" ref="AB664" si="3422">AVERAGE(R658:R664)</f>
        <v>22.825835714285709</v>
      </c>
      <c r="AC664" s="6">
        <f t="shared" si="3419"/>
        <v>-8.3044818250321839E-2</v>
      </c>
      <c r="AD664" s="42">
        <f>Tabla1[[#This Row],[Avg Agua)]]/Tabla1[[#This Row],[Avg Musculo]]</f>
        <v>1.9926668308498801</v>
      </c>
    </row>
    <row r="665" spans="1:31" x14ac:dyDescent="0.3">
      <c r="A665" t="s">
        <v>174</v>
      </c>
      <c r="B665">
        <v>44</v>
      </c>
      <c r="C665" t="s">
        <v>121</v>
      </c>
      <c r="D665" s="4">
        <v>45962</v>
      </c>
      <c r="E665" s="6">
        <v>81.95</v>
      </c>
      <c r="F665" s="7">
        <f t="shared" si="3409"/>
        <v>23.1863965595292</v>
      </c>
      <c r="G665" s="9">
        <v>0.13100000000000001</v>
      </c>
      <c r="H665" s="6">
        <f t="shared" si="3396"/>
        <v>71.214550000000003</v>
      </c>
      <c r="I665" s="6">
        <f t="shared" si="3397"/>
        <v>22.642049999999998</v>
      </c>
      <c r="J665">
        <v>3.5</v>
      </c>
      <c r="K665" s="5">
        <v>0.06</v>
      </c>
      <c r="L665" s="17">
        <v>2037</v>
      </c>
      <c r="M665" s="5">
        <v>0.55000000000000004</v>
      </c>
      <c r="N665" s="6">
        <f t="shared" si="3398"/>
        <v>10.73545</v>
      </c>
      <c r="O665" s="21">
        <f t="shared" si="3399"/>
        <v>45.072500000000005</v>
      </c>
      <c r="P665" s="8">
        <f t="shared" si="3395"/>
        <v>45.429285714285712</v>
      </c>
      <c r="Q665" s="8">
        <f t="shared" si="3400"/>
        <v>59.307950000000005</v>
      </c>
      <c r="R665" s="6">
        <f t="shared" si="3401"/>
        <v>22.642049999999998</v>
      </c>
      <c r="S665" s="6">
        <f t="shared" si="3410"/>
        <v>4.9169999999999998</v>
      </c>
      <c r="T665" s="6">
        <f t="shared" si="3402"/>
        <v>-5.9499999999999886E-2</v>
      </c>
      <c r="U665" s="6">
        <f t="shared" si="3403"/>
        <v>0.34675000000000011</v>
      </c>
      <c r="V665" s="6">
        <f t="shared" si="3404"/>
        <v>-0.5</v>
      </c>
      <c r="W665" s="9">
        <f>Tabla1[[#This Row],[Protein]]/Tabla1[[#This Row],[Peso (Kg)]]</f>
        <v>0.27629103111653441</v>
      </c>
      <c r="X665" s="9">
        <f t="shared" si="3078"/>
        <v>0.2771401874765278</v>
      </c>
      <c r="Y665" s="6">
        <f t="shared" si="3405"/>
        <v>36.877499999999998</v>
      </c>
      <c r="Z665" s="6">
        <f t="shared" ref="Z665" si="3423">AVERAGE(E659:E665)</f>
        <v>82.171428571428578</v>
      </c>
      <c r="AA665" s="6">
        <f t="shared" ref="AA665" si="3424">AVERAGE(N659:N665)</f>
        <v>10.4122</v>
      </c>
      <c r="AB665" s="6">
        <f t="shared" ref="AB665" si="3425">AVERAGE(R659:R665)</f>
        <v>22.772799999999993</v>
      </c>
      <c r="AC665" s="6">
        <f t="shared" si="3419"/>
        <v>-0.23234949620059009</v>
      </c>
      <c r="AD665" s="42">
        <f>Tabla1[[#This Row],[Avg Agua)]]/Tabla1[[#This Row],[Avg Musculo]]</f>
        <v>1.9948924029669486</v>
      </c>
    </row>
    <row r="666" spans="1:31" x14ac:dyDescent="0.3">
      <c r="A666" t="s">
        <v>174</v>
      </c>
      <c r="B666">
        <v>44</v>
      </c>
      <c r="C666" t="s">
        <v>26</v>
      </c>
      <c r="D666" s="4">
        <v>45963</v>
      </c>
      <c r="E666" s="6">
        <v>82.7</v>
      </c>
      <c r="F666" s="7">
        <f t="shared" si="3409"/>
        <v>23.398596650067905</v>
      </c>
      <c r="G666" s="9">
        <v>0.13200000000000001</v>
      </c>
      <c r="H666" s="6">
        <f t="shared" si="3396"/>
        <v>71.783600000000007</v>
      </c>
      <c r="I666" s="6">
        <f t="shared" si="3397"/>
        <v>21.806200000000004</v>
      </c>
      <c r="J666">
        <v>3.5</v>
      </c>
      <c r="K666" s="5">
        <v>0.06</v>
      </c>
      <c r="L666" s="17">
        <v>2056</v>
      </c>
      <c r="M666" s="5">
        <v>0.56200000000000006</v>
      </c>
      <c r="N666" s="6">
        <f t="shared" si="3398"/>
        <v>10.916400000000001</v>
      </c>
      <c r="O666" s="21">
        <f t="shared" si="3399"/>
        <v>46.477400000000003</v>
      </c>
      <c r="P666" s="8">
        <f t="shared" si="3395"/>
        <v>45.532121428571429</v>
      </c>
      <c r="Q666" s="8">
        <f t="shared" si="3400"/>
        <v>60.893799999999999</v>
      </c>
      <c r="R666" s="6">
        <f t="shared" si="3401"/>
        <v>21.806200000000004</v>
      </c>
      <c r="S666" s="6">
        <f t="shared" si="3410"/>
        <v>4.9619999999999997</v>
      </c>
      <c r="T666" s="6">
        <f t="shared" si="3402"/>
        <v>-0.83584999999999354</v>
      </c>
      <c r="U666" s="6">
        <f t="shared" si="3403"/>
        <v>0.18095000000000105</v>
      </c>
      <c r="V666" s="6">
        <f t="shared" si="3404"/>
        <v>0.75</v>
      </c>
      <c r="W666" s="9">
        <f>Tabla1[[#This Row],[Protein]]/Tabla1[[#This Row],[Peso (Kg)]]</f>
        <v>0.26367835550181384</v>
      </c>
      <c r="X666" s="9">
        <f t="shared" si="3078"/>
        <v>0.27618066552969539</v>
      </c>
      <c r="Y666" s="6">
        <f t="shared" si="3405"/>
        <v>36.222600000000007</v>
      </c>
      <c r="Z666" s="6">
        <f t="shared" ref="Z666:Z667" si="3426">AVERAGE(E660:E666)</f>
        <v>82.25</v>
      </c>
      <c r="AA666" s="6">
        <f t="shared" ref="AA666:AA667" si="3427">AVERAGE(N660:N666)</f>
        <v>10.446042857142857</v>
      </c>
      <c r="AB666" s="6">
        <f t="shared" ref="AB666:AB667" si="3428">AVERAGE(R660:R666)</f>
        <v>22.714692857142854</v>
      </c>
      <c r="AC666" s="6">
        <f t="shared" si="3419"/>
        <v>-0.25516029147553132</v>
      </c>
      <c r="AD666" s="42">
        <f>Tabla1[[#This Row],[Avg Agua)]]/Tabla1[[#This Row],[Avg Musculo]]</f>
        <v>2.0045228749044437</v>
      </c>
      <c r="AE666" t="s">
        <v>191</v>
      </c>
    </row>
    <row r="667" spans="1:31" x14ac:dyDescent="0.3">
      <c r="A667" t="s">
        <v>174</v>
      </c>
      <c r="B667">
        <v>45</v>
      </c>
      <c r="C667" t="s">
        <v>21</v>
      </c>
      <c r="D667" s="4">
        <v>45964</v>
      </c>
      <c r="E667" s="6">
        <v>82.55</v>
      </c>
      <c r="F667" s="7">
        <f t="shared" si="3409"/>
        <v>23.356156631960165</v>
      </c>
      <c r="G667" s="9">
        <v>0.126</v>
      </c>
      <c r="H667" s="6">
        <f t="shared" si="3396"/>
        <v>72.148699999999991</v>
      </c>
      <c r="I667" s="6">
        <f t="shared" si="3397"/>
        <v>22.155599999999986</v>
      </c>
      <c r="J667">
        <v>3.6</v>
      </c>
      <c r="K667" s="5">
        <v>0.06</v>
      </c>
      <c r="L667" s="17">
        <v>2064</v>
      </c>
      <c r="M667" s="5">
        <v>0.56200000000000006</v>
      </c>
      <c r="N667" s="6">
        <f t="shared" si="3398"/>
        <v>10.401299999999999</v>
      </c>
      <c r="O667" s="21">
        <f t="shared" si="3399"/>
        <v>46.393100000000004</v>
      </c>
      <c r="P667" s="8">
        <f t="shared" si="3395"/>
        <v>45.614671428571434</v>
      </c>
      <c r="Q667" s="8">
        <f t="shared" si="3400"/>
        <v>60.394400000000012</v>
      </c>
      <c r="R667" s="6">
        <f t="shared" si="3401"/>
        <v>22.155599999999986</v>
      </c>
      <c r="S667" s="6">
        <f t="shared" si="3410"/>
        <v>4.9529999999999994</v>
      </c>
      <c r="T667" s="6">
        <f t="shared" si="3402"/>
        <v>0.3493999999999815</v>
      </c>
      <c r="U667" s="6">
        <f t="shared" si="3403"/>
        <v>-0.51510000000000211</v>
      </c>
      <c r="V667" s="6">
        <f t="shared" si="3404"/>
        <v>-0.15000000000000568</v>
      </c>
      <c r="W667" s="9">
        <f>Tabla1[[#This Row],[Protein]]/Tabla1[[#This Row],[Peso (Kg)]]</f>
        <v>0.26839006662628695</v>
      </c>
      <c r="X667" s="9">
        <f t="shared" ref="X667:X741" si="3429">AVERAGE(W661:W667)</f>
        <v>0.27518066552969539</v>
      </c>
      <c r="Y667" s="6">
        <f t="shared" si="3405"/>
        <v>36.156899999999986</v>
      </c>
      <c r="Z667" s="6">
        <f t="shared" si="3426"/>
        <v>82.25</v>
      </c>
      <c r="AA667" s="6">
        <f t="shared" si="3427"/>
        <v>10.446042857142857</v>
      </c>
      <c r="AB667" s="6">
        <f t="shared" si="3428"/>
        <v>22.632142857142856</v>
      </c>
      <c r="AC667" s="6">
        <f t="shared" si="3419"/>
        <v>-0.36342115880312331</v>
      </c>
      <c r="AD667" s="42">
        <f>Tabla1[[#This Row],[Avg Agua)]]/Tabla1[[#This Row],[Avg Musculo]]</f>
        <v>2.0154817737099577</v>
      </c>
      <c r="AE667" t="s">
        <v>192</v>
      </c>
    </row>
    <row r="668" spans="1:31" x14ac:dyDescent="0.3">
      <c r="A668" t="s">
        <v>174</v>
      </c>
      <c r="B668">
        <v>45</v>
      </c>
      <c r="C668" t="s">
        <v>23</v>
      </c>
      <c r="D668" s="4">
        <v>45965</v>
      </c>
      <c r="E668" s="6">
        <v>82.65</v>
      </c>
      <c r="F668" s="7">
        <f t="shared" ref="F668:F673" si="3430">E668/(1.88^2)</f>
        <v>23.384449977365328</v>
      </c>
      <c r="G668" s="9">
        <v>0.126</v>
      </c>
      <c r="H668" s="6">
        <f t="shared" ref="H668:H673" si="3431">E668-N668</f>
        <v>72.236100000000008</v>
      </c>
      <c r="I668" s="6">
        <f t="shared" ref="I668:I673" si="3432">E668-N668-O668-J668</f>
        <v>22.600049999999996</v>
      </c>
      <c r="J668">
        <v>3.6</v>
      </c>
      <c r="K668" s="5">
        <v>0.06</v>
      </c>
      <c r="L668" s="17">
        <v>2067</v>
      </c>
      <c r="M668" s="5">
        <v>0.55700000000000005</v>
      </c>
      <c r="N668" s="6">
        <f t="shared" ref="N668:N673" si="3433">E668*G668</f>
        <v>10.4139</v>
      </c>
      <c r="O668" s="21">
        <f t="shared" ref="O668:O673" si="3434">M668*E668</f>
        <v>46.03605000000001</v>
      </c>
      <c r="P668" s="8">
        <f t="shared" si="3395"/>
        <v>45.740499999999997</v>
      </c>
      <c r="Q668" s="8">
        <f t="shared" ref="Q668:Q673" si="3435">E668-R668</f>
        <v>60.04995000000001</v>
      </c>
      <c r="R668" s="6">
        <f t="shared" ref="R668:R673" si="3436">I668</f>
        <v>22.600049999999996</v>
      </c>
      <c r="S668" s="6">
        <f t="shared" ref="S668:S673" si="3437">K668*E668</f>
        <v>4.9590000000000005</v>
      </c>
      <c r="T668" s="6">
        <f t="shared" ref="T668:T673" si="3438">I668-I667</f>
        <v>0.44445000000001045</v>
      </c>
      <c r="U668" s="6">
        <f t="shared" ref="U668:U673" si="3439">N668-N667</f>
        <v>1.2600000000000833E-2</v>
      </c>
      <c r="V668" s="6">
        <f t="shared" ref="V668:V673" si="3440">E668-E667</f>
        <v>0.10000000000000853</v>
      </c>
      <c r="W668" s="9">
        <f>Tabla1[[#This Row],[Protein]]/Tabla1[[#This Row],[Peso (Kg)]]</f>
        <v>0.27344283121597091</v>
      </c>
      <c r="X668" s="9">
        <f t="shared" si="3429"/>
        <v>0.27392521241204643</v>
      </c>
      <c r="Y668" s="6">
        <f t="shared" ref="Y668:Y673" si="3441">R668+N668+J668</f>
        <v>36.613949999999996</v>
      </c>
      <c r="Z668" s="6">
        <f t="shared" ref="Z668" si="3442">AVERAGE(E662:E668)</f>
        <v>82.30714285714285</v>
      </c>
      <c r="AA668" s="6">
        <f t="shared" ref="AA668" si="3443">AVERAGE(N662:N668)</f>
        <v>10.464992857142859</v>
      </c>
      <c r="AB668" s="6">
        <f t="shared" ref="AB668" si="3444">AVERAGE(R662:R668)</f>
        <v>22.544507142857135</v>
      </c>
      <c r="AC668" s="6">
        <f t="shared" si="3419"/>
        <v>-0.3872179264636566</v>
      </c>
      <c r="AD668" s="42">
        <f>Tabla1[[#This Row],[Avg Agua)]]/Tabla1[[#This Row],[Avg Musculo]]</f>
        <v>2.0288977581171981</v>
      </c>
      <c r="AE668" t="s">
        <v>193</v>
      </c>
    </row>
    <row r="669" spans="1:31" x14ac:dyDescent="0.3">
      <c r="A669" t="s">
        <v>174</v>
      </c>
      <c r="B669">
        <v>45</v>
      </c>
      <c r="C669" t="s">
        <v>24</v>
      </c>
      <c r="D669" s="4">
        <v>45966</v>
      </c>
      <c r="E669" s="6">
        <v>82.1</v>
      </c>
      <c r="F669" s="7">
        <f t="shared" si="3430"/>
        <v>23.22883657763694</v>
      </c>
      <c r="G669" s="9">
        <v>0.11899999999999999</v>
      </c>
      <c r="H669" s="6">
        <f t="shared" si="3431"/>
        <v>72.330100000000002</v>
      </c>
      <c r="I669" s="6">
        <f t="shared" si="3432"/>
        <v>22.671999999999997</v>
      </c>
      <c r="J669">
        <v>3.6</v>
      </c>
      <c r="K669" s="5">
        <v>0.06</v>
      </c>
      <c r="L669" s="17">
        <v>2068</v>
      </c>
      <c r="M669" s="5">
        <v>0.56100000000000005</v>
      </c>
      <c r="N669" s="6">
        <f t="shared" si="3433"/>
        <v>9.769899999999998</v>
      </c>
      <c r="O669" s="21">
        <f t="shared" si="3434"/>
        <v>46.058100000000003</v>
      </c>
      <c r="P669" s="8">
        <f t="shared" si="3395"/>
        <v>45.873442857142855</v>
      </c>
      <c r="Q669" s="8">
        <f t="shared" si="3435"/>
        <v>59.427999999999997</v>
      </c>
      <c r="R669" s="6">
        <f t="shared" si="3436"/>
        <v>22.671999999999997</v>
      </c>
      <c r="S669" s="6">
        <f t="shared" si="3437"/>
        <v>4.9259999999999993</v>
      </c>
      <c r="T669" s="6">
        <f t="shared" si="3438"/>
        <v>7.1950000000001069E-2</v>
      </c>
      <c r="U669" s="6">
        <f t="shared" si="3439"/>
        <v>-0.6440000000000019</v>
      </c>
      <c r="V669" s="6">
        <f t="shared" si="3440"/>
        <v>-0.55000000000001137</v>
      </c>
      <c r="W669" s="9">
        <f>Tabla1[[#This Row],[Protein]]/Tabla1[[#This Row],[Peso (Kg)]]</f>
        <v>0.27615103532277707</v>
      </c>
      <c r="X669" s="9">
        <f t="shared" si="3429"/>
        <v>0.27307188682352701</v>
      </c>
      <c r="Y669" s="6">
        <f t="shared" si="3441"/>
        <v>36.041899999999998</v>
      </c>
      <c r="Z669" s="6">
        <f t="shared" ref="Z669" si="3445">AVERAGE(E663:E669)</f>
        <v>82.314285714285717</v>
      </c>
      <c r="AA669" s="6">
        <f t="shared" ref="AA669" si="3446">AVERAGE(N663:N669)</f>
        <v>10.407235714285715</v>
      </c>
      <c r="AB669" s="6">
        <f t="shared" ref="AB669" si="3447">AVERAGE(R663:R669)</f>
        <v>22.476464285714286</v>
      </c>
      <c r="AC669" s="6">
        <f t="shared" ref="AC669:AC674" si="3448">100*(AB669/AB668-1)</f>
        <v>-0.30181567825672273</v>
      </c>
      <c r="AD669" s="42">
        <f>Tabla1[[#This Row],[Avg Agua)]]/Tabla1[[#This Row],[Avg Musculo]]</f>
        <v>2.0409545858286684</v>
      </c>
    </row>
    <row r="670" spans="1:31" x14ac:dyDescent="0.3">
      <c r="A670" t="s">
        <v>174</v>
      </c>
      <c r="B670">
        <v>45</v>
      </c>
      <c r="C670" t="s">
        <v>22</v>
      </c>
      <c r="D670" s="4">
        <v>45967</v>
      </c>
      <c r="E670" s="6">
        <v>82</v>
      </c>
      <c r="F670" s="7">
        <f t="shared" si="3430"/>
        <v>23.20054323223178</v>
      </c>
      <c r="G670" s="9">
        <v>0.11600000000000001</v>
      </c>
      <c r="H670" s="6">
        <f t="shared" si="3431"/>
        <v>72.488</v>
      </c>
      <c r="I670" s="6">
        <f t="shared" si="3432"/>
        <v>23.049999999999997</v>
      </c>
      <c r="J670">
        <v>3.6</v>
      </c>
      <c r="K670" s="5">
        <v>5.5E-2</v>
      </c>
      <c r="L670" s="17">
        <v>2071</v>
      </c>
      <c r="M670" s="5">
        <v>0.55900000000000005</v>
      </c>
      <c r="N670" s="6">
        <f t="shared" si="3433"/>
        <v>9.5120000000000005</v>
      </c>
      <c r="O670" s="21">
        <f t="shared" si="3434"/>
        <v>45.838000000000001</v>
      </c>
      <c r="P670" s="8">
        <f t="shared" si="3395"/>
        <v>45.947842857142867</v>
      </c>
      <c r="Q670" s="8">
        <f t="shared" si="3435"/>
        <v>58.95</v>
      </c>
      <c r="R670" s="6">
        <f t="shared" si="3436"/>
        <v>23.049999999999997</v>
      </c>
      <c r="S670" s="6">
        <f t="shared" si="3437"/>
        <v>4.51</v>
      </c>
      <c r="T670" s="6">
        <f t="shared" si="3438"/>
        <v>0.37800000000000011</v>
      </c>
      <c r="U670" s="6">
        <f t="shared" si="3439"/>
        <v>-0.25789999999999758</v>
      </c>
      <c r="V670" s="6">
        <f t="shared" si="3440"/>
        <v>-9.9999999999994316E-2</v>
      </c>
      <c r="W670" s="9">
        <f>Tabla1[[#This Row],[Protein]]/Tabla1[[#This Row],[Peso (Kg)]]</f>
        <v>0.28109756097560973</v>
      </c>
      <c r="X670" s="9">
        <f t="shared" si="3429"/>
        <v>0.27348400782912408</v>
      </c>
      <c r="Y670" s="6">
        <f t="shared" si="3441"/>
        <v>36.161999999999999</v>
      </c>
      <c r="Z670" s="6">
        <f t="shared" ref="Z670" si="3449">AVERAGE(E664:E670)</f>
        <v>82.342857142857156</v>
      </c>
      <c r="AA670" s="6">
        <f t="shared" ref="AA670" si="3450">AVERAGE(N664:N670)</f>
        <v>10.305378571428573</v>
      </c>
      <c r="AB670" s="6">
        <f t="shared" ref="AB670" si="3451">AVERAGE(R664:R670)</f>
        <v>22.518207142857143</v>
      </c>
      <c r="AC670" s="6">
        <f t="shared" si="3448"/>
        <v>0.18571807652767447</v>
      </c>
      <c r="AD670" s="42">
        <f>Tabla1[[#This Row],[Avg Agua)]]/Tabla1[[#This Row],[Avg Musculo]]</f>
        <v>2.0404751837322754</v>
      </c>
    </row>
    <row r="671" spans="1:31" x14ac:dyDescent="0.3">
      <c r="A671" t="s">
        <v>174</v>
      </c>
      <c r="B671">
        <v>45</v>
      </c>
      <c r="C671" t="s">
        <v>20</v>
      </c>
      <c r="D671" s="4">
        <v>45968</v>
      </c>
      <c r="E671" s="6">
        <v>82.15</v>
      </c>
      <c r="F671" s="7">
        <f t="shared" si="3430"/>
        <v>23.242983250339524</v>
      </c>
      <c r="G671" s="9">
        <v>0.122</v>
      </c>
      <c r="H671" s="6">
        <f t="shared" si="3431"/>
        <v>72.127700000000004</v>
      </c>
      <c r="I671" s="6">
        <f t="shared" si="3432"/>
        <v>22.359399999999994</v>
      </c>
      <c r="J671">
        <v>3.6</v>
      </c>
      <c r="K671" s="5">
        <v>0.06</v>
      </c>
      <c r="L671" s="17">
        <v>2064</v>
      </c>
      <c r="M671" s="5">
        <v>0.56200000000000006</v>
      </c>
      <c r="N671" s="6">
        <f t="shared" si="3433"/>
        <v>10.022300000000001</v>
      </c>
      <c r="O671" s="21">
        <f t="shared" si="3434"/>
        <v>46.168300000000009</v>
      </c>
      <c r="P671" s="8">
        <f t="shared" si="3395"/>
        <v>46.006207142857143</v>
      </c>
      <c r="Q671" s="8">
        <f t="shared" si="3435"/>
        <v>59.790600000000012</v>
      </c>
      <c r="R671" s="6">
        <f t="shared" si="3436"/>
        <v>22.359399999999994</v>
      </c>
      <c r="S671" s="6">
        <f t="shared" si="3437"/>
        <v>4.9290000000000003</v>
      </c>
      <c r="T671" s="6">
        <f t="shared" si="3438"/>
        <v>-0.69060000000000343</v>
      </c>
      <c r="U671" s="6">
        <f t="shared" si="3439"/>
        <v>0.51030000000000086</v>
      </c>
      <c r="V671" s="6">
        <f t="shared" si="3440"/>
        <v>0.15000000000000568</v>
      </c>
      <c r="W671" s="9">
        <f>Tabla1[[#This Row],[Protein]]/Tabla1[[#This Row],[Peso (Kg)]]</f>
        <v>0.27217772367620197</v>
      </c>
      <c r="X671" s="9">
        <f t="shared" si="3429"/>
        <v>0.27303265777645641</v>
      </c>
      <c r="Y671" s="6">
        <f t="shared" si="3441"/>
        <v>35.981699999999996</v>
      </c>
      <c r="Z671" s="6">
        <f t="shared" ref="Z671" si="3452">AVERAGE(E665:E671)</f>
        <v>82.3</v>
      </c>
      <c r="AA671" s="6">
        <f t="shared" ref="AA671" si="3453">AVERAGE(N665:N671)</f>
        <v>10.253035714285716</v>
      </c>
      <c r="AB671" s="6">
        <f t="shared" ref="AB671" si="3454">AVERAGE(R665:R671)</f>
        <v>22.469328571428569</v>
      </c>
      <c r="AC671" s="6">
        <f t="shared" si="3448"/>
        <v>-0.21706244692787369</v>
      </c>
      <c r="AD671" s="42">
        <f>Tabla1[[#This Row],[Avg Agua)]]/Tabla1[[#This Row],[Avg Musculo]]</f>
        <v>2.0475114330455551</v>
      </c>
    </row>
    <row r="672" spans="1:31" x14ac:dyDescent="0.3">
      <c r="A672" t="s">
        <v>174</v>
      </c>
      <c r="B672">
        <v>45</v>
      </c>
      <c r="C672" t="s">
        <v>121</v>
      </c>
      <c r="D672" s="4">
        <v>45969</v>
      </c>
      <c r="E672" s="6">
        <v>82</v>
      </c>
      <c r="F672" s="7">
        <f t="shared" si="3430"/>
        <v>23.20054323223178</v>
      </c>
      <c r="G672" s="9">
        <v>0.11600000000000001</v>
      </c>
      <c r="H672" s="6">
        <f t="shared" si="3431"/>
        <v>72.488</v>
      </c>
      <c r="I672" s="6">
        <f t="shared" si="3432"/>
        <v>23.049999999999997</v>
      </c>
      <c r="J672">
        <v>3.6</v>
      </c>
      <c r="K672" s="5">
        <v>5.5E-2</v>
      </c>
      <c r="L672" s="17">
        <v>2072</v>
      </c>
      <c r="M672" s="5">
        <v>0.55900000000000005</v>
      </c>
      <c r="N672" s="6">
        <f t="shared" si="3433"/>
        <v>9.5120000000000005</v>
      </c>
      <c r="O672" s="21">
        <f t="shared" si="3434"/>
        <v>45.838000000000001</v>
      </c>
      <c r="P672" s="8">
        <f t="shared" si="3395"/>
        <v>46.115564285714292</v>
      </c>
      <c r="Q672" s="8">
        <f t="shared" si="3435"/>
        <v>58.95</v>
      </c>
      <c r="R672" s="6">
        <f t="shared" si="3436"/>
        <v>23.049999999999997</v>
      </c>
      <c r="S672" s="6">
        <f t="shared" si="3437"/>
        <v>4.51</v>
      </c>
      <c r="T672" s="6">
        <f t="shared" si="3438"/>
        <v>0.69060000000000343</v>
      </c>
      <c r="U672" s="6">
        <f t="shared" si="3439"/>
        <v>-0.51030000000000086</v>
      </c>
      <c r="V672" s="6">
        <f t="shared" si="3440"/>
        <v>-0.15000000000000568</v>
      </c>
      <c r="W672" s="9">
        <f>Tabla1[[#This Row],[Protein]]/Tabla1[[#This Row],[Peso (Kg)]]</f>
        <v>0.28109756097560973</v>
      </c>
      <c r="X672" s="9">
        <f t="shared" si="3429"/>
        <v>0.27371930489918145</v>
      </c>
      <c r="Y672" s="6">
        <f t="shared" si="3441"/>
        <v>36.161999999999999</v>
      </c>
      <c r="Z672" s="6">
        <f t="shared" ref="Z672" si="3455">AVERAGE(E666:E672)</f>
        <v>82.30714285714285</v>
      </c>
      <c r="AA672" s="6">
        <f t="shared" ref="AA672" si="3456">AVERAGE(N666:N672)</f>
        <v>10.078257142857142</v>
      </c>
      <c r="AB672" s="6">
        <f t="shared" ref="AB672" si="3457">AVERAGE(R666:R672)</f>
        <v>22.527607142857139</v>
      </c>
      <c r="AC672" s="6">
        <f t="shared" si="3448"/>
        <v>0.25936943884774522</v>
      </c>
      <c r="AD672" s="42">
        <f>Tabla1[[#This Row],[Avg Agua)]]/Tabla1[[#This Row],[Avg Musculo]]</f>
        <v>2.0470689138564908</v>
      </c>
    </row>
    <row r="673" spans="1:31" x14ac:dyDescent="0.3">
      <c r="A673" t="s">
        <v>174</v>
      </c>
      <c r="B673">
        <v>46</v>
      </c>
      <c r="C673" t="s">
        <v>21</v>
      </c>
      <c r="D673" s="4">
        <v>45971</v>
      </c>
      <c r="E673" s="6">
        <v>84.25</v>
      </c>
      <c r="F673" s="7">
        <f t="shared" si="3430"/>
        <v>23.837143503847898</v>
      </c>
      <c r="G673" s="9">
        <v>0.13700000000000001</v>
      </c>
      <c r="H673" s="6">
        <f t="shared" si="3431"/>
        <v>72.707750000000004</v>
      </c>
      <c r="I673" s="6">
        <f t="shared" si="3432"/>
        <v>21.085250000000009</v>
      </c>
      <c r="J673">
        <v>3.6</v>
      </c>
      <c r="K673" s="5">
        <v>6.5000000000000002E-2</v>
      </c>
      <c r="L673" s="17">
        <v>2086</v>
      </c>
      <c r="M673" s="5">
        <v>0.56999999999999995</v>
      </c>
      <c r="N673" s="6">
        <f t="shared" si="3433"/>
        <v>11.542250000000001</v>
      </c>
      <c r="O673" s="21">
        <f t="shared" si="3434"/>
        <v>48.022499999999994</v>
      </c>
      <c r="P673" s="8">
        <f t="shared" si="3395"/>
        <v>46.336292857142858</v>
      </c>
      <c r="Q673" s="8">
        <f t="shared" si="3435"/>
        <v>63.164749999999991</v>
      </c>
      <c r="R673" s="6">
        <f t="shared" si="3436"/>
        <v>21.085250000000009</v>
      </c>
      <c r="S673" s="6">
        <f t="shared" si="3437"/>
        <v>5.4762500000000003</v>
      </c>
      <c r="T673" s="6">
        <f t="shared" si="3438"/>
        <v>-1.964749999999988</v>
      </c>
      <c r="U673" s="6">
        <f t="shared" si="3439"/>
        <v>2.0302500000000006</v>
      </c>
      <c r="V673" s="6">
        <f t="shared" si="3440"/>
        <v>2.25</v>
      </c>
      <c r="W673" s="9">
        <f>Tabla1[[#This Row],[Protein]]/Tabla1[[#This Row],[Peso (Kg)]]</f>
        <v>0.25027002967359063</v>
      </c>
      <c r="X673" s="9">
        <f t="shared" si="3429"/>
        <v>0.27180382978086387</v>
      </c>
      <c r="Y673" s="6">
        <f t="shared" si="3441"/>
        <v>36.227500000000013</v>
      </c>
      <c r="Z673" s="6">
        <f t="shared" ref="Z673" si="3458">AVERAGE(E667:E673)</f>
        <v>82.528571428571425</v>
      </c>
      <c r="AA673" s="6">
        <f t="shared" ref="AA673" si="3459">AVERAGE(N667:N673)</f>
        <v>10.167664285714284</v>
      </c>
      <c r="AB673" s="6">
        <f t="shared" ref="AB673" si="3460">AVERAGE(R667:R673)</f>
        <v>22.424614285714281</v>
      </c>
      <c r="AC673" s="6">
        <f t="shared" si="3448"/>
        <v>-0.45718507291847565</v>
      </c>
      <c r="AD673" s="42">
        <f>Tabla1[[#This Row],[Avg Agua)]]/Tabla1[[#This Row],[Avg Musculo]]</f>
        <v>2.0663139292728721</v>
      </c>
      <c r="AE673" t="s">
        <v>194</v>
      </c>
    </row>
    <row r="674" spans="1:31" x14ac:dyDescent="0.3">
      <c r="A674" t="s">
        <v>174</v>
      </c>
      <c r="B674">
        <v>46</v>
      </c>
      <c r="C674" t="s">
        <v>23</v>
      </c>
      <c r="D674" s="4">
        <v>45972</v>
      </c>
      <c r="E674" s="6">
        <v>82.6</v>
      </c>
      <c r="F674" s="7">
        <f t="shared" ref="F674:F679" si="3461">E674/(1.88^2)</f>
        <v>23.370303304662745</v>
      </c>
      <c r="G674" s="9">
        <v>0.126</v>
      </c>
      <c r="H674" s="6">
        <f t="shared" ref="H674:H679" si="3462">E674-N674</f>
        <v>72.192399999999992</v>
      </c>
      <c r="I674" s="6">
        <f t="shared" ref="I674:I679" si="3463">E674-N674-O674-J674</f>
        <v>22.253799999999991</v>
      </c>
      <c r="J674">
        <v>3.6</v>
      </c>
      <c r="K674" s="5">
        <v>0.06</v>
      </c>
      <c r="L674" s="17">
        <v>2066</v>
      </c>
      <c r="M674" s="5">
        <v>0.56100000000000005</v>
      </c>
      <c r="N674" s="6">
        <f t="shared" ref="N674:N679" si="3464">E674*G674</f>
        <v>10.407599999999999</v>
      </c>
      <c r="O674" s="21">
        <f t="shared" ref="O674:O679" si="3465">M674*E674</f>
        <v>46.3386</v>
      </c>
      <c r="P674" s="8">
        <f t="shared" si="3395"/>
        <v>46.328507142857141</v>
      </c>
      <c r="Q674" s="8">
        <f t="shared" ref="Q674:Q679" si="3466">E674-R674</f>
        <v>60.346200000000003</v>
      </c>
      <c r="R674" s="6">
        <f t="shared" ref="R674:R679" si="3467">I674</f>
        <v>22.253799999999991</v>
      </c>
      <c r="S674" s="6">
        <f t="shared" ref="S674:S679" si="3468">K674*E674</f>
        <v>4.9559999999999995</v>
      </c>
      <c r="T674" s="6">
        <f t="shared" ref="T674:T679" si="3469">I674-I673</f>
        <v>1.168549999999982</v>
      </c>
      <c r="U674" s="6">
        <f t="shared" ref="U674:U679" si="3470">N674-N673</f>
        <v>-1.1346500000000024</v>
      </c>
      <c r="V674" s="6">
        <f t="shared" ref="V674:V679" si="3471">E674-E673</f>
        <v>-1.6500000000000057</v>
      </c>
      <c r="W674" s="9">
        <f>Tabla1[[#This Row],[Protein]]/Tabla1[[#This Row],[Peso (Kg)]]</f>
        <v>0.2694164648910411</v>
      </c>
      <c r="X674" s="9">
        <f t="shared" si="3429"/>
        <v>0.27195045810440016</v>
      </c>
      <c r="Y674" s="6">
        <f t="shared" ref="Y674:Y679" si="3472">R674+N674+J674</f>
        <v>36.261399999999988</v>
      </c>
      <c r="Z674" s="6">
        <f t="shared" ref="Z674" si="3473">AVERAGE(E668:E674)</f>
        <v>82.535714285714292</v>
      </c>
      <c r="AA674" s="6">
        <f t="shared" ref="AA674" si="3474">AVERAGE(N668:N674)</f>
        <v>10.168564285714286</v>
      </c>
      <c r="AB674" s="6">
        <f t="shared" ref="AB674" si="3475">AVERAGE(R668:R674)</f>
        <v>22.438642857142856</v>
      </c>
      <c r="AC674" s="6">
        <f t="shared" si="3448"/>
        <v>6.2558808146429001E-2</v>
      </c>
      <c r="AD674" s="42">
        <f>Tabla1[[#This Row],[Avg Agua)]]/Tabla1[[#This Row],[Avg Musculo]]</f>
        <v>2.0646750981247273</v>
      </c>
    </row>
    <row r="675" spans="1:31" x14ac:dyDescent="0.3">
      <c r="A675" t="s">
        <v>174</v>
      </c>
      <c r="B675">
        <v>46</v>
      </c>
      <c r="C675" t="s">
        <v>24</v>
      </c>
      <c r="D675" s="4">
        <v>45973</v>
      </c>
      <c r="E675" s="6">
        <v>83.5</v>
      </c>
      <c r="F675" s="7">
        <f t="shared" si="3461"/>
        <v>23.62494341330919</v>
      </c>
      <c r="G675" s="9">
        <v>0.13300000000000001</v>
      </c>
      <c r="H675" s="6">
        <f t="shared" si="3462"/>
        <v>72.394499999999994</v>
      </c>
      <c r="I675" s="6">
        <f t="shared" si="3463"/>
        <v>22.117999999999988</v>
      </c>
      <c r="J675">
        <v>3.6</v>
      </c>
      <c r="K675" s="5">
        <v>6.5000000000000002E-2</v>
      </c>
      <c r="L675" s="17">
        <v>2075</v>
      </c>
      <c r="M675" s="5">
        <v>0.55900000000000005</v>
      </c>
      <c r="N675" s="6">
        <f t="shared" si="3464"/>
        <v>11.105500000000001</v>
      </c>
      <c r="O675" s="21">
        <f t="shared" si="3465"/>
        <v>46.676500000000004</v>
      </c>
      <c r="P675" s="8">
        <f t="shared" si="3395"/>
        <v>46.419999999999995</v>
      </c>
      <c r="Q675" s="8">
        <f t="shared" si="3466"/>
        <v>61.382000000000012</v>
      </c>
      <c r="R675" s="6">
        <f t="shared" si="3467"/>
        <v>22.117999999999988</v>
      </c>
      <c r="S675" s="6">
        <f t="shared" si="3468"/>
        <v>5.4275000000000002</v>
      </c>
      <c r="T675" s="6">
        <f t="shared" si="3469"/>
        <v>-0.13580000000000325</v>
      </c>
      <c r="U675" s="6">
        <f t="shared" si="3470"/>
        <v>0.69790000000000241</v>
      </c>
      <c r="V675" s="6">
        <f t="shared" si="3471"/>
        <v>0.90000000000000568</v>
      </c>
      <c r="W675" s="9">
        <f>Tabla1[[#This Row],[Protein]]/Tabla1[[#This Row],[Peso (Kg)]]</f>
        <v>0.26488622754491004</v>
      </c>
      <c r="X675" s="9">
        <f t="shared" si="3429"/>
        <v>0.27072808615139149</v>
      </c>
      <c r="Y675" s="6">
        <f t="shared" si="3472"/>
        <v>36.823499999999989</v>
      </c>
      <c r="Z675" s="6">
        <f t="shared" ref="Z675" si="3476">AVERAGE(E669:E675)</f>
        <v>82.657142857142858</v>
      </c>
      <c r="AA675" s="6">
        <f t="shared" ref="AA675" si="3477">AVERAGE(N669:N675)</f>
        <v>10.267364285714288</v>
      </c>
      <c r="AB675" s="6">
        <f t="shared" ref="AB675" si="3478">AVERAGE(R669:R675)</f>
        <v>22.369778571428565</v>
      </c>
      <c r="AC675" s="6">
        <f t="shared" ref="AC675:AC680" si="3479">100*(AB675/AB674-1)</f>
        <v>-0.30690040459541157</v>
      </c>
      <c r="AD675" s="42">
        <f>Tabla1[[#This Row],[Avg Agua)]]/Tabla1[[#This Row],[Avg Musculo]]</f>
        <v>2.0751211216408367</v>
      </c>
      <c r="AE675" t="s">
        <v>195</v>
      </c>
    </row>
    <row r="676" spans="1:31" x14ac:dyDescent="0.3">
      <c r="A676" t="s">
        <v>174</v>
      </c>
      <c r="B676">
        <v>46</v>
      </c>
      <c r="C676" t="s">
        <v>22</v>
      </c>
      <c r="D676" s="4">
        <v>45974</v>
      </c>
      <c r="E676" s="6">
        <v>82.65</v>
      </c>
      <c r="F676" s="7">
        <f t="shared" si="3461"/>
        <v>23.384449977365328</v>
      </c>
      <c r="G676" s="9">
        <v>0.122</v>
      </c>
      <c r="H676" s="6">
        <f t="shared" si="3462"/>
        <v>72.566699999999997</v>
      </c>
      <c r="I676" s="6">
        <f t="shared" si="3463"/>
        <v>22.847999999999992</v>
      </c>
      <c r="J676">
        <v>3.6</v>
      </c>
      <c r="K676" s="5">
        <v>0.06</v>
      </c>
      <c r="L676" s="17">
        <v>2077</v>
      </c>
      <c r="M676" s="5">
        <v>0.55800000000000005</v>
      </c>
      <c r="N676" s="6">
        <f t="shared" si="3464"/>
        <v>10.083300000000001</v>
      </c>
      <c r="O676" s="21">
        <f t="shared" si="3465"/>
        <v>46.118700000000004</v>
      </c>
      <c r="P676" s="8">
        <f t="shared" si="3395"/>
        <v>46.428657142857141</v>
      </c>
      <c r="Q676" s="8">
        <f t="shared" si="3466"/>
        <v>59.802000000000014</v>
      </c>
      <c r="R676" s="6">
        <f t="shared" si="3467"/>
        <v>22.847999999999992</v>
      </c>
      <c r="S676" s="6">
        <f t="shared" si="3468"/>
        <v>4.9590000000000005</v>
      </c>
      <c r="T676" s="6">
        <f t="shared" si="3469"/>
        <v>0.73000000000000398</v>
      </c>
      <c r="U676" s="6">
        <f t="shared" si="3470"/>
        <v>-1.0221999999999998</v>
      </c>
      <c r="V676" s="6">
        <f t="shared" si="3471"/>
        <v>-0.84999999999999432</v>
      </c>
      <c r="W676" s="9">
        <f>Tabla1[[#This Row],[Protein]]/Tabla1[[#This Row],[Peso (Kg)]]</f>
        <v>0.27644283121597085</v>
      </c>
      <c r="X676" s="9">
        <f t="shared" si="3429"/>
        <v>0.27076977127899055</v>
      </c>
      <c r="Y676" s="6">
        <f t="shared" si="3472"/>
        <v>36.531299999999995</v>
      </c>
      <c r="Z676" s="6">
        <f t="shared" ref="Z676:Z677" si="3480">AVERAGE(E670:E676)</f>
        <v>82.73571428571428</v>
      </c>
      <c r="AA676" s="6">
        <f t="shared" ref="AA676:AA677" si="3481">AVERAGE(N670:N676)</f>
        <v>10.312135714285715</v>
      </c>
      <c r="AB676" s="6">
        <f t="shared" ref="AB676:AB677" si="3482">AVERAGE(R670:R676)</f>
        <v>22.394921428571422</v>
      </c>
      <c r="AC676" s="6">
        <f t="shared" si="3479"/>
        <v>0.11239654010242184</v>
      </c>
      <c r="AD676" s="42">
        <f>Tabla1[[#This Row],[Avg Agua)]]/Tabla1[[#This Row],[Avg Musculo]]</f>
        <v>2.0731779430859487</v>
      </c>
    </row>
    <row r="677" spans="1:31" x14ac:dyDescent="0.3">
      <c r="A677" t="s">
        <v>174</v>
      </c>
      <c r="B677">
        <v>46</v>
      </c>
      <c r="C677" t="s">
        <v>20</v>
      </c>
      <c r="D677" s="4">
        <v>45975</v>
      </c>
      <c r="E677" s="6">
        <v>82.9</v>
      </c>
      <c r="F677" s="7">
        <f t="shared" si="3461"/>
        <v>23.455183340878229</v>
      </c>
      <c r="G677" s="9">
        <v>0.129</v>
      </c>
      <c r="H677" s="6">
        <f t="shared" si="3462"/>
        <v>72.2059</v>
      </c>
      <c r="I677" s="6">
        <f t="shared" si="3463"/>
        <v>22.264799999999994</v>
      </c>
      <c r="J677">
        <v>3.6</v>
      </c>
      <c r="K677" s="5">
        <v>0.06</v>
      </c>
      <c r="L677" s="17">
        <v>2068</v>
      </c>
      <c r="M677" s="5">
        <v>0.55900000000000005</v>
      </c>
      <c r="N677" s="6">
        <f t="shared" si="3464"/>
        <v>10.694100000000001</v>
      </c>
      <c r="O677" s="21">
        <f t="shared" si="3465"/>
        <v>46.341100000000004</v>
      </c>
      <c r="P677" s="8">
        <f t="shared" si="3395"/>
        <v>46.500528571428568</v>
      </c>
      <c r="Q677" s="8">
        <f t="shared" si="3466"/>
        <v>60.635200000000012</v>
      </c>
      <c r="R677" s="6">
        <f t="shared" si="3467"/>
        <v>22.264799999999994</v>
      </c>
      <c r="S677" s="6">
        <f t="shared" si="3468"/>
        <v>4.9740000000000002</v>
      </c>
      <c r="T677" s="6">
        <f t="shared" si="3469"/>
        <v>-0.58319999999999794</v>
      </c>
      <c r="U677" s="6">
        <f t="shared" si="3470"/>
        <v>0.61079999999999934</v>
      </c>
      <c r="V677" s="6">
        <f t="shared" si="3471"/>
        <v>0.25</v>
      </c>
      <c r="W677" s="9">
        <f>Tabla1[[#This Row],[Protein]]/Tabla1[[#This Row],[Peso (Kg)]]</f>
        <v>0.26857418576598302</v>
      </c>
      <c r="X677" s="9">
        <f t="shared" si="3429"/>
        <v>0.26898071767761528</v>
      </c>
      <c r="Y677" s="6">
        <f t="shared" si="3472"/>
        <v>36.558899999999994</v>
      </c>
      <c r="Z677" s="6">
        <f t="shared" si="3480"/>
        <v>82.864285714285714</v>
      </c>
      <c r="AA677" s="6">
        <f t="shared" si="3481"/>
        <v>10.481007142857143</v>
      </c>
      <c r="AB677" s="6">
        <f t="shared" si="3482"/>
        <v>22.282749999999997</v>
      </c>
      <c r="AC677" s="6">
        <f t="shared" si="3479"/>
        <v>-0.50087886635010737</v>
      </c>
      <c r="AD677" s="42">
        <f>Tabla1[[#This Row],[Avg Agua)]]/Tabla1[[#This Row],[Avg Musculo]]</f>
        <v>2.0868397559290739</v>
      </c>
      <c r="AE677" t="s">
        <v>196</v>
      </c>
    </row>
    <row r="678" spans="1:31" x14ac:dyDescent="0.3">
      <c r="A678" t="s">
        <v>174</v>
      </c>
      <c r="B678">
        <v>46</v>
      </c>
      <c r="C678" t="s">
        <v>121</v>
      </c>
      <c r="D678" s="4">
        <v>45976</v>
      </c>
      <c r="E678" s="6">
        <v>82.35</v>
      </c>
      <c r="F678" s="7">
        <f t="shared" si="3461"/>
        <v>23.299569941149841</v>
      </c>
      <c r="G678" s="9">
        <v>0.11799999999999999</v>
      </c>
      <c r="H678" s="6">
        <f t="shared" si="3462"/>
        <v>72.6327</v>
      </c>
      <c r="I678" s="6">
        <f t="shared" si="3463"/>
        <v>23.49315</v>
      </c>
      <c r="J678">
        <v>3.6</v>
      </c>
      <c r="K678" s="5">
        <v>0.06</v>
      </c>
      <c r="L678" s="17">
        <v>2074</v>
      </c>
      <c r="M678" s="5">
        <v>0.55300000000000005</v>
      </c>
      <c r="N678" s="6">
        <f t="shared" si="3464"/>
        <v>9.7172999999999981</v>
      </c>
      <c r="O678" s="21">
        <f t="shared" si="3465"/>
        <v>45.539549999999998</v>
      </c>
      <c r="P678" s="8">
        <f t="shared" si="3395"/>
        <v>46.410707142857142</v>
      </c>
      <c r="Q678" s="8">
        <f t="shared" si="3466"/>
        <v>58.856849999999994</v>
      </c>
      <c r="R678" s="6">
        <f t="shared" si="3467"/>
        <v>23.49315</v>
      </c>
      <c r="S678" s="6">
        <f t="shared" si="3468"/>
        <v>4.9409999999999998</v>
      </c>
      <c r="T678" s="6">
        <f t="shared" si="3469"/>
        <v>1.228350000000006</v>
      </c>
      <c r="U678" s="6">
        <f t="shared" si="3470"/>
        <v>-0.97680000000000256</v>
      </c>
      <c r="V678" s="6">
        <f t="shared" si="3471"/>
        <v>-0.55000000000001137</v>
      </c>
      <c r="W678" s="9">
        <f>Tabla1[[#This Row],[Protein]]/Tabla1[[#This Row],[Peso (Kg)]]</f>
        <v>0.2852841530054645</v>
      </c>
      <c r="X678" s="9">
        <f t="shared" si="3429"/>
        <v>0.27085306472465287</v>
      </c>
      <c r="Y678" s="6">
        <f t="shared" si="3472"/>
        <v>36.810449999999996</v>
      </c>
      <c r="Z678" s="6">
        <f t="shared" ref="Z678" si="3483">AVERAGE(E672:E678)</f>
        <v>82.892857142857139</v>
      </c>
      <c r="AA678" s="6">
        <f t="shared" ref="AA678" si="3484">AVERAGE(N672:N678)</f>
        <v>10.437435714285714</v>
      </c>
      <c r="AB678" s="6">
        <f t="shared" ref="AB678" si="3485">AVERAGE(R672:R678)</f>
        <v>22.444714285714287</v>
      </c>
      <c r="AC678" s="6">
        <f t="shared" si="3479"/>
        <v>0.72685950214534945</v>
      </c>
      <c r="AD678" s="42">
        <f>Tabla1[[#This Row],[Avg Agua)]]/Tabla1[[#This Row],[Avg Musculo]]</f>
        <v>2.0677789234500006</v>
      </c>
    </row>
    <row r="679" spans="1:31" x14ac:dyDescent="0.3">
      <c r="A679" t="s">
        <v>174</v>
      </c>
      <c r="B679">
        <v>46</v>
      </c>
      <c r="C679" t="s">
        <v>26</v>
      </c>
      <c r="D679" s="4">
        <v>45977</v>
      </c>
      <c r="E679" s="6">
        <v>82.85</v>
      </c>
      <c r="F679" s="7">
        <f t="shared" si="3461"/>
        <v>23.441036668175645</v>
      </c>
      <c r="G679" s="9">
        <v>0.126</v>
      </c>
      <c r="H679" s="6">
        <f t="shared" si="3462"/>
        <v>72.410899999999998</v>
      </c>
      <c r="I679" s="6">
        <f t="shared" si="3463"/>
        <v>22.580599999999997</v>
      </c>
      <c r="J679">
        <v>3.6</v>
      </c>
      <c r="K679" s="5">
        <v>0.06</v>
      </c>
      <c r="L679" s="17">
        <v>2072</v>
      </c>
      <c r="M679" s="5">
        <v>0.55800000000000005</v>
      </c>
      <c r="N679" s="6">
        <f t="shared" si="3464"/>
        <v>10.4391</v>
      </c>
      <c r="O679" s="21">
        <f t="shared" si="3465"/>
        <v>46.2303</v>
      </c>
      <c r="P679" s="8">
        <f t="shared" si="3395"/>
        <v>46.466749999999998</v>
      </c>
      <c r="Q679" s="8">
        <f t="shared" si="3466"/>
        <v>60.269399999999997</v>
      </c>
      <c r="R679" s="6">
        <f t="shared" si="3467"/>
        <v>22.580599999999997</v>
      </c>
      <c r="S679" s="6">
        <f t="shared" si="3468"/>
        <v>4.9709999999999992</v>
      </c>
      <c r="T679" s="6">
        <f t="shared" si="3469"/>
        <v>-0.91255000000000308</v>
      </c>
      <c r="U679" s="6">
        <f t="shared" si="3470"/>
        <v>0.72180000000000177</v>
      </c>
      <c r="V679" s="6">
        <f t="shared" si="3471"/>
        <v>0.5</v>
      </c>
      <c r="W679" s="9">
        <f>Tabla1[[#This Row],[Protein]]/Tabla1[[#This Row],[Peso (Kg)]]</f>
        <v>0.27254797827398913</v>
      </c>
      <c r="X679" s="9">
        <f t="shared" si="3429"/>
        <v>0.26963169576727847</v>
      </c>
      <c r="Y679" s="6">
        <f t="shared" si="3472"/>
        <v>36.619700000000002</v>
      </c>
      <c r="Z679" s="6">
        <f t="shared" ref="Z679" si="3486">AVERAGE(E673:E679)</f>
        <v>83.01428571428572</v>
      </c>
      <c r="AA679" s="6">
        <f t="shared" ref="AA679" si="3487">AVERAGE(N673:N679)</f>
        <v>10.569878571428571</v>
      </c>
      <c r="AB679" s="6">
        <f t="shared" ref="AB679" si="3488">AVERAGE(R673:R679)</f>
        <v>22.377657142857139</v>
      </c>
      <c r="AC679" s="6">
        <f t="shared" si="3479"/>
        <v>-0.29876585642183429</v>
      </c>
      <c r="AD679" s="42">
        <f>Tabla1[[#This Row],[Avg Agua)]]/Tabla1[[#This Row],[Avg Musculo]]</f>
        <v>2.0764796646655213</v>
      </c>
      <c r="AE679" t="s">
        <v>198</v>
      </c>
    </row>
    <row r="680" spans="1:31" x14ac:dyDescent="0.3">
      <c r="A680" t="s">
        <v>199</v>
      </c>
      <c r="B680">
        <v>47</v>
      </c>
      <c r="C680" t="s">
        <v>21</v>
      </c>
      <c r="D680" s="4">
        <v>45978</v>
      </c>
      <c r="E680" s="6">
        <v>82.95</v>
      </c>
      <c r="F680" s="7">
        <f t="shared" ref="F680:F686" si="3489">E680/(1.88^2)</f>
        <v>23.469330013580809</v>
      </c>
      <c r="G680" s="9">
        <v>0.124</v>
      </c>
      <c r="H680" s="6">
        <f t="shared" ref="H680:H686" si="3490">E680-N680</f>
        <v>72.664200000000008</v>
      </c>
      <c r="I680" s="6">
        <f t="shared" ref="I680:I686" si="3491">E680-N680-O680-J680</f>
        <v>22.612200000000001</v>
      </c>
      <c r="J680">
        <v>3.6</v>
      </c>
      <c r="K680" s="5">
        <v>0.06</v>
      </c>
      <c r="L680" s="17">
        <v>2080</v>
      </c>
      <c r="M680" s="5">
        <v>0.56000000000000005</v>
      </c>
      <c r="N680" s="6">
        <f t="shared" ref="N680:N686" si="3492">E680*G680</f>
        <v>10.2858</v>
      </c>
      <c r="O680" s="21">
        <f t="shared" ref="O680:O686" si="3493">M680*E680</f>
        <v>46.452000000000005</v>
      </c>
      <c r="P680" s="8">
        <f t="shared" si="3395"/>
        <v>46.24239285714286</v>
      </c>
      <c r="Q680" s="8">
        <f t="shared" ref="Q680:Q686" si="3494">E680-R680</f>
        <v>60.337800000000001</v>
      </c>
      <c r="R680" s="6">
        <f t="shared" ref="R680:R686" si="3495">I680</f>
        <v>22.612200000000001</v>
      </c>
      <c r="S680" s="6">
        <f t="shared" ref="S680:S686" si="3496">K680*E680</f>
        <v>4.9770000000000003</v>
      </c>
      <c r="T680" s="6">
        <f t="shared" ref="T680:T686" si="3497">I680-I679</f>
        <v>3.1600000000004513E-2</v>
      </c>
      <c r="U680" s="6">
        <f t="shared" ref="U680:U686" si="3498">N680-N679</f>
        <v>-0.15329999999999977</v>
      </c>
      <c r="V680" s="6">
        <f t="shared" ref="V680:V686" si="3499">E680-E679</f>
        <v>0.10000000000000853</v>
      </c>
      <c r="W680" s="9">
        <f>Tabla1[[#This Row],[Protein]]/Tabla1[[#This Row],[Peso (Kg)]]</f>
        <v>0.27260036166365281</v>
      </c>
      <c r="X680" s="9">
        <f t="shared" si="3429"/>
        <v>0.2728217431944302</v>
      </c>
      <c r="Y680" s="6">
        <f t="shared" ref="Y680:Y686" si="3500">R680+N680+J680</f>
        <v>36.498000000000005</v>
      </c>
      <c r="Z680" s="6">
        <f t="shared" ref="Z680" si="3501">AVERAGE(E674:E680)</f>
        <v>82.828571428571436</v>
      </c>
      <c r="AA680" s="6">
        <f t="shared" ref="AA680" si="3502">AVERAGE(N674:N680)</f>
        <v>10.390385714285713</v>
      </c>
      <c r="AB680" s="6">
        <f t="shared" ref="AB680" si="3503">AVERAGE(R674:R680)</f>
        <v>22.59579285714285</v>
      </c>
      <c r="AC680" s="6">
        <f t="shared" si="3479"/>
        <v>0.97479245880456311</v>
      </c>
      <c r="AD680" s="42">
        <f>Tabla1[[#This Row],[Avg Agua)]]/Tabla1[[#This Row],[Avg Musculo]]</f>
        <v>2.0465045484130902</v>
      </c>
    </row>
    <row r="681" spans="1:31" x14ac:dyDescent="0.3">
      <c r="A681" t="s">
        <v>199</v>
      </c>
      <c r="B681">
        <v>47</v>
      </c>
      <c r="C681" t="s">
        <v>121</v>
      </c>
      <c r="D681" s="4">
        <v>45983</v>
      </c>
      <c r="E681" s="6">
        <v>83.1</v>
      </c>
      <c r="F681" s="7">
        <f t="shared" si="3489"/>
        <v>23.511770031688545</v>
      </c>
      <c r="G681" s="9">
        <v>0.13</v>
      </c>
      <c r="H681" s="6">
        <f t="shared" si="3490"/>
        <v>72.296999999999997</v>
      </c>
      <c r="I681" s="6">
        <f t="shared" si="3491"/>
        <v>22.160999999999994</v>
      </c>
      <c r="J681">
        <v>3.6</v>
      </c>
      <c r="K681" s="5">
        <v>0.06</v>
      </c>
      <c r="L681" s="17">
        <v>2071</v>
      </c>
      <c r="M681" s="5">
        <v>0.56000000000000005</v>
      </c>
      <c r="N681" s="6">
        <f t="shared" si="3492"/>
        <v>10.802999999999999</v>
      </c>
      <c r="O681" s="21">
        <f t="shared" si="3493"/>
        <v>46.536000000000001</v>
      </c>
      <c r="P681" s="8">
        <f t="shared" si="3395"/>
        <v>46.270592857142859</v>
      </c>
      <c r="Q681" s="8">
        <f t="shared" si="3494"/>
        <v>60.939</v>
      </c>
      <c r="R681" s="6">
        <f t="shared" si="3495"/>
        <v>22.160999999999994</v>
      </c>
      <c r="S681" s="6">
        <f t="shared" si="3496"/>
        <v>4.9859999999999998</v>
      </c>
      <c r="T681" s="6">
        <f t="shared" si="3497"/>
        <v>-0.45120000000000715</v>
      </c>
      <c r="U681" s="6">
        <f t="shared" si="3498"/>
        <v>0.51719999999999899</v>
      </c>
      <c r="V681" s="6">
        <f t="shared" si="3499"/>
        <v>0.14999999999999147</v>
      </c>
      <c r="W681" s="9">
        <f>Tabla1[[#This Row],[Protein]]/Tabla1[[#This Row],[Peso (Kg)]]</f>
        <v>0.26667870036101077</v>
      </c>
      <c r="X681" s="9">
        <f t="shared" si="3429"/>
        <v>0.27243063397585449</v>
      </c>
      <c r="Y681" s="6">
        <f t="shared" si="3500"/>
        <v>36.563999999999993</v>
      </c>
      <c r="Z681" s="6">
        <f t="shared" ref="Z681:Z682" si="3504">AVERAGE(E675:E681)</f>
        <v>82.899999999999991</v>
      </c>
      <c r="AA681" s="6">
        <f t="shared" ref="AA681:AA682" si="3505">AVERAGE(N675:N681)</f>
        <v>10.446871428571429</v>
      </c>
      <c r="AB681" s="6">
        <f t="shared" ref="AB681:AB682" si="3506">AVERAGE(R675:R681)</f>
        <v>22.582535714285711</v>
      </c>
      <c r="AC681" s="6">
        <f t="shared" ref="AC681:AC686" si="3507">100*(AB681/AB680-1)</f>
        <v>-5.8670846121466891E-2</v>
      </c>
      <c r="AD681" s="42">
        <f>Tabla1[[#This Row],[Avg Agua)]]/Tabla1[[#This Row],[Avg Musculo]]</f>
        <v>2.048954707414548</v>
      </c>
      <c r="AE681" t="s">
        <v>200</v>
      </c>
    </row>
    <row r="682" spans="1:31" x14ac:dyDescent="0.3">
      <c r="A682" t="s">
        <v>199</v>
      </c>
      <c r="B682">
        <v>47</v>
      </c>
      <c r="C682" t="s">
        <v>26</v>
      </c>
      <c r="D682" s="4">
        <v>45984</v>
      </c>
      <c r="E682" s="6">
        <v>82.1</v>
      </c>
      <c r="F682" s="7">
        <f t="shared" si="3489"/>
        <v>23.22883657763694</v>
      </c>
      <c r="G682" s="9">
        <v>0.122</v>
      </c>
      <c r="H682" s="6">
        <f t="shared" si="3490"/>
        <v>72.083799999999997</v>
      </c>
      <c r="I682" s="6">
        <f t="shared" si="3491"/>
        <v>22.425699999999992</v>
      </c>
      <c r="J682">
        <v>3.6</v>
      </c>
      <c r="K682" s="5">
        <v>0.06</v>
      </c>
      <c r="L682" s="17">
        <v>2063</v>
      </c>
      <c r="M682" s="5">
        <v>0.56100000000000005</v>
      </c>
      <c r="N682" s="6">
        <f t="shared" si="3492"/>
        <v>10.0162</v>
      </c>
      <c r="O682" s="21">
        <f t="shared" si="3493"/>
        <v>46.058100000000003</v>
      </c>
      <c r="P682" s="8">
        <f t="shared" si="3395"/>
        <v>46.182250000000003</v>
      </c>
      <c r="Q682" s="8">
        <f t="shared" si="3494"/>
        <v>59.674300000000002</v>
      </c>
      <c r="R682" s="6">
        <f t="shared" si="3495"/>
        <v>22.425699999999992</v>
      </c>
      <c r="S682" s="6">
        <f t="shared" si="3496"/>
        <v>4.9259999999999993</v>
      </c>
      <c r="T682" s="6">
        <f t="shared" si="3497"/>
        <v>0.26469999999999771</v>
      </c>
      <c r="U682" s="6">
        <f t="shared" si="3498"/>
        <v>-0.7867999999999995</v>
      </c>
      <c r="V682" s="6">
        <f t="shared" si="3499"/>
        <v>-1</v>
      </c>
      <c r="W682" s="9">
        <f>Tabla1[[#This Row],[Protein]]/Tabla1[[#This Row],[Peso (Kg)]]</f>
        <v>0.27315103532277701</v>
      </c>
      <c r="X682" s="9">
        <f t="shared" si="3429"/>
        <v>0.27361132080126399</v>
      </c>
      <c r="Y682" s="6">
        <f t="shared" si="3500"/>
        <v>36.041899999999991</v>
      </c>
      <c r="Z682" s="6">
        <f t="shared" si="3504"/>
        <v>82.7</v>
      </c>
      <c r="AA682" s="6">
        <f t="shared" si="3505"/>
        <v>10.291257142857143</v>
      </c>
      <c r="AB682" s="6">
        <f t="shared" si="3506"/>
        <v>22.626492857142857</v>
      </c>
      <c r="AC682" s="6">
        <f t="shared" si="3507"/>
        <v>0.19465104987894666</v>
      </c>
      <c r="AD682" s="42">
        <f>Tabla1[[#This Row],[Avg Agua)]]/Tabla1[[#This Row],[Avg Musculo]]</f>
        <v>2.0410697447271833</v>
      </c>
    </row>
    <row r="683" spans="1:31" x14ac:dyDescent="0.3">
      <c r="A683" t="s">
        <v>199</v>
      </c>
      <c r="B683">
        <v>48</v>
      </c>
      <c r="C683" t="s">
        <v>21</v>
      </c>
      <c r="D683" s="4">
        <v>45985</v>
      </c>
      <c r="E683" s="6">
        <v>82.95</v>
      </c>
      <c r="F683" s="7">
        <f t="shared" si="3489"/>
        <v>23.469330013580809</v>
      </c>
      <c r="G683" s="9">
        <v>0.128</v>
      </c>
      <c r="H683" s="6">
        <f t="shared" si="3490"/>
        <v>72.332400000000007</v>
      </c>
      <c r="I683" s="6">
        <f t="shared" si="3491"/>
        <v>21.948600000000006</v>
      </c>
      <c r="J683">
        <v>3.6</v>
      </c>
      <c r="K683" s="5">
        <v>0.06</v>
      </c>
      <c r="L683" s="17">
        <v>2071</v>
      </c>
      <c r="M683" s="5">
        <v>0.56399999999999995</v>
      </c>
      <c r="N683" s="6">
        <f t="shared" si="3492"/>
        <v>10.617600000000001</v>
      </c>
      <c r="O683" s="21">
        <f t="shared" si="3493"/>
        <v>46.783799999999999</v>
      </c>
      <c r="P683" s="8">
        <f t="shared" si="3395"/>
        <v>46.277264285714288</v>
      </c>
      <c r="Q683" s="8">
        <f t="shared" si="3494"/>
        <v>61.001399999999997</v>
      </c>
      <c r="R683" s="6">
        <f t="shared" si="3495"/>
        <v>21.948600000000006</v>
      </c>
      <c r="S683" s="6">
        <f t="shared" si="3496"/>
        <v>4.9770000000000003</v>
      </c>
      <c r="T683" s="6">
        <f t="shared" si="3497"/>
        <v>-0.47709999999998587</v>
      </c>
      <c r="U683" s="6">
        <f t="shared" si="3498"/>
        <v>0.60140000000000171</v>
      </c>
      <c r="V683" s="6">
        <f t="shared" si="3499"/>
        <v>0.85000000000000853</v>
      </c>
      <c r="W683" s="9">
        <f>Tabla1[[#This Row],[Protein]]/Tabla1[[#This Row],[Peso (Kg)]]</f>
        <v>0.26460036166365286</v>
      </c>
      <c r="X683" s="9">
        <f t="shared" si="3429"/>
        <v>0.27191953943664721</v>
      </c>
      <c r="Y683" s="6">
        <f t="shared" si="3500"/>
        <v>36.166200000000011</v>
      </c>
      <c r="Z683" s="6">
        <f>AVERAGE(E677:E683)</f>
        <v>82.742857142857147</v>
      </c>
      <c r="AA683" s="6">
        <f>AVERAGE(N677:N683)</f>
        <v>10.367585714285713</v>
      </c>
      <c r="AB683" s="6">
        <f>AVERAGE(R677:R683)</f>
        <v>22.498007142857141</v>
      </c>
      <c r="AC683" s="6">
        <f t="shared" si="3507"/>
        <v>-0.56785519124390449</v>
      </c>
      <c r="AD683" s="42">
        <f>Tabla1[[#This Row],[Avg Agua)]]/Tabla1[[#This Row],[Avg Musculo]]</f>
        <v>2.0569494885420014</v>
      </c>
      <c r="AE683" t="s">
        <v>201</v>
      </c>
    </row>
    <row r="684" spans="1:31" x14ac:dyDescent="0.3">
      <c r="A684" t="s">
        <v>199</v>
      </c>
      <c r="B684">
        <v>48</v>
      </c>
      <c r="C684" t="s">
        <v>23</v>
      </c>
      <c r="D684" s="4">
        <v>45986</v>
      </c>
      <c r="E684" s="6">
        <v>81.95</v>
      </c>
      <c r="F684" s="7">
        <f t="shared" si="3489"/>
        <v>23.1863965595292</v>
      </c>
      <c r="G684" s="9">
        <v>0.125</v>
      </c>
      <c r="H684" s="6">
        <f t="shared" si="3490"/>
        <v>71.706249999999997</v>
      </c>
      <c r="I684" s="6">
        <f t="shared" si="3491"/>
        <v>23.133749999999992</v>
      </c>
      <c r="J684">
        <v>3.5</v>
      </c>
      <c r="K684" s="5">
        <v>0.06</v>
      </c>
      <c r="L684" s="17">
        <v>2052</v>
      </c>
      <c r="M684" s="5">
        <v>0.55000000000000004</v>
      </c>
      <c r="N684" s="6">
        <f t="shared" si="3492"/>
        <v>10.24375</v>
      </c>
      <c r="O684" s="21">
        <f t="shared" si="3493"/>
        <v>45.072500000000005</v>
      </c>
      <c r="P684" s="8">
        <f t="shared" si="3395"/>
        <v>46.096035714285712</v>
      </c>
      <c r="Q684" s="8">
        <f t="shared" si="3494"/>
        <v>58.816250000000011</v>
      </c>
      <c r="R684" s="6">
        <f t="shared" si="3495"/>
        <v>23.133749999999992</v>
      </c>
      <c r="S684" s="6">
        <f t="shared" si="3496"/>
        <v>4.9169999999999998</v>
      </c>
      <c r="T684" s="6">
        <f t="shared" si="3497"/>
        <v>1.1851499999999859</v>
      </c>
      <c r="U684" s="6">
        <f t="shared" si="3498"/>
        <v>-0.3738500000000009</v>
      </c>
      <c r="V684" s="6">
        <f t="shared" si="3499"/>
        <v>-1</v>
      </c>
      <c r="W684" s="9">
        <f>Tabla1[[#This Row],[Protein]]/Tabla1[[#This Row],[Peso (Kg)]]</f>
        <v>0.28229103111653436</v>
      </c>
      <c r="X684" s="9">
        <f t="shared" si="3429"/>
        <v>0.27387908877244022</v>
      </c>
      <c r="Y684" s="6">
        <f t="shared" si="3500"/>
        <v>36.877499999999991</v>
      </c>
      <c r="Z684" s="6">
        <f>AVERAGE(E678:E684)</f>
        <v>82.607142857142861</v>
      </c>
      <c r="AA684" s="6">
        <f>AVERAGE(N678:N684)</f>
        <v>10.30325</v>
      </c>
      <c r="AB684" s="6">
        <f>AVERAGE(R678:R684)</f>
        <v>22.622142857142855</v>
      </c>
      <c r="AC684" s="6">
        <f t="shared" si="3507"/>
        <v>0.55176315616525251</v>
      </c>
      <c r="AD684" s="42">
        <f>Tabla1[[#This Row],[Avg Agua)]]/Tabla1[[#This Row],[Avg Musculo]]</f>
        <v>2.0376511635249916</v>
      </c>
    </row>
    <row r="685" spans="1:31" x14ac:dyDescent="0.3">
      <c r="A685" t="s">
        <v>199</v>
      </c>
      <c r="B685">
        <v>48</v>
      </c>
      <c r="C685" t="s">
        <v>24</v>
      </c>
      <c r="D685" s="4">
        <v>45987</v>
      </c>
      <c r="E685" s="6">
        <v>82</v>
      </c>
      <c r="F685" s="7">
        <f t="shared" si="3489"/>
        <v>23.20054323223178</v>
      </c>
      <c r="G685" s="9">
        <v>0.12</v>
      </c>
      <c r="H685" s="6">
        <f t="shared" si="3490"/>
        <v>72.16</v>
      </c>
      <c r="I685" s="6">
        <f t="shared" si="3491"/>
        <v>22.721999999999994</v>
      </c>
      <c r="J685">
        <v>3.6</v>
      </c>
      <c r="K685" s="5">
        <v>0.06</v>
      </c>
      <c r="L685" s="17">
        <v>2064</v>
      </c>
      <c r="M685" s="5">
        <v>0.55900000000000005</v>
      </c>
      <c r="N685" s="6">
        <f t="shared" si="3492"/>
        <v>9.84</v>
      </c>
      <c r="O685" s="21">
        <f t="shared" si="3493"/>
        <v>45.838000000000001</v>
      </c>
      <c r="P685" s="8">
        <f t="shared" si="3395"/>
        <v>46.138671428571435</v>
      </c>
      <c r="Q685" s="8">
        <f t="shared" si="3494"/>
        <v>59.278000000000006</v>
      </c>
      <c r="R685" s="6">
        <f t="shared" si="3495"/>
        <v>22.721999999999994</v>
      </c>
      <c r="S685" s="6">
        <f t="shared" si="3496"/>
        <v>4.92</v>
      </c>
      <c r="T685" s="6">
        <f t="shared" si="3497"/>
        <v>-0.41174999999999784</v>
      </c>
      <c r="U685" s="6">
        <f t="shared" si="3498"/>
        <v>-0.4037500000000005</v>
      </c>
      <c r="V685" s="6">
        <f t="shared" si="3499"/>
        <v>4.9999999999997158E-2</v>
      </c>
      <c r="W685" s="9">
        <f>Tabla1[[#This Row],[Protein]]/Tabla1[[#This Row],[Peso (Kg)]]</f>
        <v>0.27709756097560967</v>
      </c>
      <c r="X685" s="9">
        <f t="shared" si="3429"/>
        <v>0.27270957562531806</v>
      </c>
      <c r="Y685" s="6">
        <f t="shared" si="3500"/>
        <v>36.161999999999999</v>
      </c>
      <c r="Z685" s="6">
        <f t="shared" ref="Z685:Z686" si="3508">AVERAGE(E679:E685)</f>
        <v>82.55714285714285</v>
      </c>
      <c r="AA685" s="6">
        <f t="shared" ref="AA685:AA686" si="3509">AVERAGE(N679:N685)</f>
        <v>10.320778571428571</v>
      </c>
      <c r="AB685" s="6">
        <f t="shared" ref="AB685:AB686" si="3510">AVERAGE(R679:R685)</f>
        <v>22.511978571428568</v>
      </c>
      <c r="AC685" s="6">
        <f t="shared" si="3507"/>
        <v>-0.48697546651511603</v>
      </c>
      <c r="AD685" s="42">
        <f>Tabla1[[#This Row],[Avg Agua)]]/Tabla1[[#This Row],[Avg Musculo]]</f>
        <v>2.049516495503823</v>
      </c>
    </row>
    <row r="686" spans="1:31" x14ac:dyDescent="0.3">
      <c r="A686" t="s">
        <v>199</v>
      </c>
      <c r="B686">
        <v>48</v>
      </c>
      <c r="C686" t="s">
        <v>22</v>
      </c>
      <c r="D686" s="4">
        <v>45988</v>
      </c>
      <c r="E686" s="6">
        <v>82.45</v>
      </c>
      <c r="F686" s="7">
        <f t="shared" si="3489"/>
        <v>23.327863286555004</v>
      </c>
      <c r="G686" s="9">
        <v>0.125</v>
      </c>
      <c r="H686" s="6">
        <f t="shared" si="3490"/>
        <v>72.143749999999997</v>
      </c>
      <c r="I686" s="6">
        <f t="shared" si="3491"/>
        <v>22.454199999999993</v>
      </c>
      <c r="J686">
        <v>3.6</v>
      </c>
      <c r="K686" s="5">
        <v>0.06</v>
      </c>
      <c r="L686" s="17">
        <v>2066</v>
      </c>
      <c r="M686" s="5">
        <v>0.55900000000000005</v>
      </c>
      <c r="N686" s="6">
        <f t="shared" si="3492"/>
        <v>10.30625</v>
      </c>
      <c r="O686" s="21">
        <f t="shared" si="3493"/>
        <v>46.089550000000003</v>
      </c>
      <c r="P686" s="8">
        <f t="shared" si="3395"/>
        <v>46.118564285714292</v>
      </c>
      <c r="Q686" s="8">
        <f t="shared" si="3494"/>
        <v>59.99580000000001</v>
      </c>
      <c r="R686" s="6">
        <f t="shared" si="3495"/>
        <v>22.454199999999993</v>
      </c>
      <c r="S686" s="6">
        <f t="shared" si="3496"/>
        <v>4.9470000000000001</v>
      </c>
      <c r="T686" s="6">
        <f t="shared" si="3497"/>
        <v>-0.26780000000000115</v>
      </c>
      <c r="U686" s="6">
        <f t="shared" si="3498"/>
        <v>0.4662500000000005</v>
      </c>
      <c r="V686" s="6">
        <f t="shared" si="3499"/>
        <v>0.45000000000000284</v>
      </c>
      <c r="W686" s="9">
        <f>Tabla1[[#This Row],[Protein]]/Tabla1[[#This Row],[Peso (Kg)]]</f>
        <v>0.27233717404487556</v>
      </c>
      <c r="X686" s="9">
        <f t="shared" si="3429"/>
        <v>0.27267946073544469</v>
      </c>
      <c r="Y686" s="6">
        <f t="shared" si="3500"/>
        <v>36.360449999999993</v>
      </c>
      <c r="Z686" s="6">
        <f t="shared" si="3508"/>
        <v>82.5</v>
      </c>
      <c r="AA686" s="6">
        <f t="shared" si="3509"/>
        <v>10.3018</v>
      </c>
      <c r="AB686" s="6">
        <f t="shared" si="3510"/>
        <v>22.493921428571422</v>
      </c>
      <c r="AC686" s="6">
        <f t="shared" si="3507"/>
        <v>-8.0211265304164225E-2</v>
      </c>
      <c r="AD686" s="42">
        <f>Tabla1[[#This Row],[Avg Agua)]]/Tabla1[[#This Row],[Avg Musculo]]</f>
        <v>2.0502678660171374</v>
      </c>
    </row>
    <row r="687" spans="1:31" x14ac:dyDescent="0.3">
      <c r="A687" t="s">
        <v>199</v>
      </c>
      <c r="B687">
        <v>48</v>
      </c>
      <c r="C687" t="s">
        <v>20</v>
      </c>
      <c r="D687" s="4">
        <v>45989</v>
      </c>
      <c r="E687" s="6">
        <v>82.3</v>
      </c>
      <c r="F687" s="7">
        <f t="shared" ref="F687:F692" si="3511">E687/(1.88^2)</f>
        <v>23.285423268447261</v>
      </c>
      <c r="G687" s="9">
        <v>0.122</v>
      </c>
      <c r="H687" s="6">
        <f t="shared" ref="H687:H692" si="3512">E687-N687</f>
        <v>72.259399999999999</v>
      </c>
      <c r="I687" s="6">
        <f t="shared" ref="I687:I692" si="3513">E687-N687-O687-J687</f>
        <v>22.571399999999997</v>
      </c>
      <c r="J687">
        <v>3.6</v>
      </c>
      <c r="K687" s="5">
        <v>0.06</v>
      </c>
      <c r="L687" s="17">
        <v>2068</v>
      </c>
      <c r="M687" s="5">
        <v>0.56000000000000005</v>
      </c>
      <c r="N687" s="6">
        <f t="shared" ref="N687:N692" si="3514">E687*G687</f>
        <v>10.0406</v>
      </c>
      <c r="O687" s="21">
        <f t="shared" ref="O687:O692" si="3515">M687*E687</f>
        <v>46.088000000000001</v>
      </c>
      <c r="P687" s="8">
        <f t="shared" si="3395"/>
        <v>46.066564285714286</v>
      </c>
      <c r="Q687" s="8">
        <f t="shared" ref="Q687:Q692" si="3516">E687-R687</f>
        <v>59.7286</v>
      </c>
      <c r="R687" s="6">
        <f t="shared" ref="R687:R692" si="3517">I687</f>
        <v>22.571399999999997</v>
      </c>
      <c r="S687" s="6">
        <f t="shared" ref="S687:S692" si="3518">K687*E687</f>
        <v>4.9379999999999997</v>
      </c>
      <c r="T687" s="6">
        <f t="shared" ref="T687:T692" si="3519">I687-I686</f>
        <v>0.11720000000000397</v>
      </c>
      <c r="U687" s="6">
        <f t="shared" ref="U687:U692" si="3520">N687-N686</f>
        <v>-0.26565000000000083</v>
      </c>
      <c r="V687" s="6">
        <f t="shared" ref="V687:V692" si="3521">E687-E686</f>
        <v>-0.15000000000000568</v>
      </c>
      <c r="W687" s="9">
        <f>Tabla1[[#This Row],[Protein]]/Tabla1[[#This Row],[Peso (Kg)]]</f>
        <v>0.2742575941676792</v>
      </c>
      <c r="X687" s="9">
        <f t="shared" si="3429"/>
        <v>0.27291620823601997</v>
      </c>
      <c r="Y687" s="6">
        <f t="shared" ref="Y687:Y692" si="3522">R687+N687+J687</f>
        <v>36.211999999999996</v>
      </c>
      <c r="Z687" s="6">
        <f t="shared" ref="Z687:Z689" si="3523">AVERAGE(E681:E687)</f>
        <v>82.407142857142844</v>
      </c>
      <c r="AA687" s="6">
        <f t="shared" ref="AA687:AA689" si="3524">AVERAGE(N681:N687)</f>
        <v>10.266771428571429</v>
      </c>
      <c r="AB687" s="6">
        <f t="shared" ref="AB687:AB689" si="3525">AVERAGE(R681:R687)</f>
        <v>22.488092857142849</v>
      </c>
      <c r="AC687" s="6">
        <f t="shared" ref="AC687:AC692" si="3526">100*(AB687/AB686-1)</f>
        <v>-2.5911762193542298E-2</v>
      </c>
      <c r="AD687" s="42">
        <f>Tabla1[[#This Row],[Avg Agua)]]/Tabla1[[#This Row],[Avg Musculo]]</f>
        <v>2.0484869294321797</v>
      </c>
    </row>
    <row r="688" spans="1:31" x14ac:dyDescent="0.3">
      <c r="A688" t="s">
        <v>199</v>
      </c>
      <c r="B688">
        <v>48</v>
      </c>
      <c r="C688" t="s">
        <v>121</v>
      </c>
      <c r="D688" s="4">
        <v>45990</v>
      </c>
      <c r="E688" s="6">
        <v>81.849999999999994</v>
      </c>
      <c r="F688" s="7">
        <f t="shared" si="3511"/>
        <v>23.158103214124036</v>
      </c>
      <c r="G688" s="9">
        <v>0.11799999999999999</v>
      </c>
      <c r="H688" s="6">
        <f t="shared" si="3512"/>
        <v>72.191699999999997</v>
      </c>
      <c r="I688" s="6">
        <f t="shared" si="3513"/>
        <v>22.673849999999995</v>
      </c>
      <c r="J688">
        <v>3.6</v>
      </c>
      <c r="K688" s="5">
        <v>5.5E-2</v>
      </c>
      <c r="L688" s="17">
        <v>2063</v>
      </c>
      <c r="M688" s="5">
        <v>0.56100000000000005</v>
      </c>
      <c r="N688" s="6">
        <f t="shared" si="3514"/>
        <v>9.6582999999999988</v>
      </c>
      <c r="O688" s="21">
        <f t="shared" si="3515"/>
        <v>45.917850000000001</v>
      </c>
      <c r="P688" s="8">
        <f t="shared" si="3395"/>
        <v>45.978257142857146</v>
      </c>
      <c r="Q688" s="8">
        <f t="shared" si="3516"/>
        <v>59.17615</v>
      </c>
      <c r="R688" s="6">
        <f t="shared" si="3517"/>
        <v>22.673849999999995</v>
      </c>
      <c r="S688" s="6">
        <f t="shared" si="3518"/>
        <v>4.5017499999999995</v>
      </c>
      <c r="T688" s="6">
        <f t="shared" si="3519"/>
        <v>0.10244999999999749</v>
      </c>
      <c r="U688" s="6">
        <f t="shared" si="3520"/>
        <v>-0.38230000000000075</v>
      </c>
      <c r="V688" s="6">
        <f t="shared" si="3521"/>
        <v>-0.45000000000000284</v>
      </c>
      <c r="W688" s="9">
        <f>Tabla1[[#This Row],[Protein]]/Tabla1[[#This Row],[Peso (Kg)]]</f>
        <v>0.27701710445937688</v>
      </c>
      <c r="X688" s="9">
        <f t="shared" si="3429"/>
        <v>0.27439312310721503</v>
      </c>
      <c r="Y688" s="6">
        <f t="shared" si="3522"/>
        <v>35.932149999999993</v>
      </c>
      <c r="Z688" s="6">
        <f t="shared" si="3523"/>
        <v>82.228571428571428</v>
      </c>
      <c r="AA688" s="6">
        <f t="shared" si="3524"/>
        <v>10.103242857142858</v>
      </c>
      <c r="AB688" s="6">
        <f t="shared" si="3525"/>
        <v>22.56135714285714</v>
      </c>
      <c r="AC688" s="6">
        <f t="shared" si="3526"/>
        <v>0.32579145852744684</v>
      </c>
      <c r="AD688" s="42">
        <f>Tabla1[[#This Row],[Avg Agua)]]/Tabla1[[#This Row],[Avg Musculo]]</f>
        <v>2.037920717788634</v>
      </c>
    </row>
    <row r="689" spans="1:31" x14ac:dyDescent="0.3">
      <c r="A689" t="s">
        <v>199</v>
      </c>
      <c r="B689">
        <v>48</v>
      </c>
      <c r="C689" t="s">
        <v>26</v>
      </c>
      <c r="D689" s="4">
        <v>45991</v>
      </c>
      <c r="E689" s="6">
        <v>82.65</v>
      </c>
      <c r="F689" s="7">
        <f t="shared" si="3511"/>
        <v>23.384449977365328</v>
      </c>
      <c r="G689" s="9">
        <v>0.127</v>
      </c>
      <c r="H689" s="6">
        <f t="shared" si="3512"/>
        <v>72.153450000000007</v>
      </c>
      <c r="I689" s="6">
        <f t="shared" si="3513"/>
        <v>21.277650000000008</v>
      </c>
      <c r="J689">
        <v>3.6</v>
      </c>
      <c r="K689" s="5">
        <v>0.06</v>
      </c>
      <c r="L689" s="17">
        <v>2065</v>
      </c>
      <c r="M689" s="5">
        <v>0.57199999999999995</v>
      </c>
      <c r="N689" s="6">
        <f t="shared" si="3514"/>
        <v>10.496550000000001</v>
      </c>
      <c r="O689" s="21">
        <f t="shared" si="3515"/>
        <v>47.275799999999997</v>
      </c>
      <c r="P689" s="8">
        <f t="shared" si="3395"/>
        <v>46.152214285714287</v>
      </c>
      <c r="Q689" s="8">
        <f t="shared" si="3516"/>
        <v>61.372349999999997</v>
      </c>
      <c r="R689" s="6">
        <f t="shared" si="3517"/>
        <v>21.277650000000008</v>
      </c>
      <c r="S689" s="6">
        <f t="shared" si="3518"/>
        <v>4.9590000000000005</v>
      </c>
      <c r="T689" s="6">
        <f t="shared" si="3519"/>
        <v>-1.3961999999999861</v>
      </c>
      <c r="U689" s="6">
        <f t="shared" si="3520"/>
        <v>0.83825000000000216</v>
      </c>
      <c r="V689" s="6">
        <f t="shared" si="3521"/>
        <v>0.80000000000001137</v>
      </c>
      <c r="W689" s="9">
        <f>Tabla1[[#This Row],[Protein]]/Tabla1[[#This Row],[Peso (Kg)]]</f>
        <v>0.25744283121597106</v>
      </c>
      <c r="X689" s="9">
        <f t="shared" si="3429"/>
        <v>0.27214909394909997</v>
      </c>
      <c r="Y689" s="6">
        <f t="shared" si="3522"/>
        <v>35.374200000000009</v>
      </c>
      <c r="Z689" s="6">
        <f t="shared" si="3523"/>
        <v>82.30714285714285</v>
      </c>
      <c r="AA689" s="6">
        <f t="shared" si="3524"/>
        <v>10.171864285714287</v>
      </c>
      <c r="AB689" s="6">
        <f t="shared" si="3525"/>
        <v>22.397349999999999</v>
      </c>
      <c r="AC689" s="6">
        <f t="shared" si="3526"/>
        <v>-0.72693828575407515</v>
      </c>
      <c r="AD689" s="42">
        <f>Tabla1[[#This Row],[Avg Agua)]]/Tabla1[[#This Row],[Avg Musculo]]</f>
        <v>2.0606104867635811</v>
      </c>
      <c r="AE689" t="s">
        <v>202</v>
      </c>
    </row>
    <row r="690" spans="1:31" x14ac:dyDescent="0.3">
      <c r="A690" t="s">
        <v>199</v>
      </c>
      <c r="B690">
        <v>49</v>
      </c>
      <c r="C690" t="s">
        <v>21</v>
      </c>
      <c r="D690" s="4">
        <v>45992</v>
      </c>
      <c r="E690" s="6">
        <v>82.2</v>
      </c>
      <c r="F690" s="7">
        <f t="shared" si="3511"/>
        <v>23.257129923042104</v>
      </c>
      <c r="G690" s="9">
        <v>0.121</v>
      </c>
      <c r="H690" s="6">
        <f t="shared" si="3512"/>
        <v>72.253799999999998</v>
      </c>
      <c r="I690" s="6">
        <f t="shared" si="3513"/>
        <v>22.3752</v>
      </c>
      <c r="J690">
        <v>3.6</v>
      </c>
      <c r="K690" s="5">
        <v>0.06</v>
      </c>
      <c r="L690" s="17">
        <v>2066</v>
      </c>
      <c r="M690" s="5">
        <v>0.56299999999999994</v>
      </c>
      <c r="N690" s="6">
        <f t="shared" si="3514"/>
        <v>9.9461999999999993</v>
      </c>
      <c r="O690" s="21">
        <f t="shared" si="3515"/>
        <v>46.278599999999997</v>
      </c>
      <c r="P690" s="8">
        <f t="shared" si="3395"/>
        <v>46.080042857142857</v>
      </c>
      <c r="Q690" s="8">
        <f t="shared" si="3516"/>
        <v>59.824800000000003</v>
      </c>
      <c r="R690" s="6">
        <f t="shared" si="3517"/>
        <v>22.3752</v>
      </c>
      <c r="S690" s="6">
        <f t="shared" si="3518"/>
        <v>4.9320000000000004</v>
      </c>
      <c r="T690" s="6">
        <f t="shared" si="3519"/>
        <v>1.0975499999999911</v>
      </c>
      <c r="U690" s="6">
        <f t="shared" si="3520"/>
        <v>-0.55035000000000167</v>
      </c>
      <c r="V690" s="6">
        <f t="shared" si="3521"/>
        <v>-0.45000000000000284</v>
      </c>
      <c r="W690" s="9">
        <f>Tabla1[[#This Row],[Protein]]/Tabla1[[#This Row],[Peso (Kg)]]</f>
        <v>0.2722043795620438</v>
      </c>
      <c r="X690" s="9">
        <f t="shared" si="3429"/>
        <v>0.27323538222029864</v>
      </c>
      <c r="Y690" s="6">
        <f t="shared" si="3522"/>
        <v>35.921399999999998</v>
      </c>
      <c r="Z690" s="6">
        <f t="shared" ref="Z690" si="3527">AVERAGE(E684:E690)</f>
        <v>82.2</v>
      </c>
      <c r="AA690" s="6">
        <f t="shared" ref="AA690" si="3528">AVERAGE(N684:N690)</f>
        <v>10.075950000000001</v>
      </c>
      <c r="AB690" s="6">
        <f t="shared" ref="AB690" si="3529">AVERAGE(R684:R690)</f>
        <v>22.458292857142858</v>
      </c>
      <c r="AC690" s="6">
        <f t="shared" si="3526"/>
        <v>0.27209851675693564</v>
      </c>
      <c r="AD690" s="42">
        <f>Tabla1[[#This Row],[Avg Agua)]]/Tabla1[[#This Row],[Avg Musculo]]</f>
        <v>2.0518052351644842</v>
      </c>
    </row>
    <row r="691" spans="1:31" x14ac:dyDescent="0.3">
      <c r="A691" t="s">
        <v>199</v>
      </c>
      <c r="B691">
        <v>50</v>
      </c>
      <c r="C691" t="s">
        <v>23</v>
      </c>
      <c r="D691" s="4">
        <v>45993</v>
      </c>
      <c r="E691" s="6">
        <v>81.8</v>
      </c>
      <c r="F691" s="7">
        <f t="shared" si="3511"/>
        <v>23.14395654142146</v>
      </c>
      <c r="G691" s="9">
        <v>0.11700000000000001</v>
      </c>
      <c r="H691" s="6">
        <f t="shared" si="3512"/>
        <v>72.229399999999998</v>
      </c>
      <c r="I691" s="6">
        <f t="shared" si="3513"/>
        <v>22.739599999999996</v>
      </c>
      <c r="J691">
        <v>3.6</v>
      </c>
      <c r="K691" s="5">
        <v>5.5E-2</v>
      </c>
      <c r="L691" s="17">
        <v>2065</v>
      </c>
      <c r="M691" s="5">
        <v>0.56100000000000005</v>
      </c>
      <c r="N691" s="6">
        <f t="shared" si="3514"/>
        <v>9.5706000000000007</v>
      </c>
      <c r="O691" s="21">
        <f t="shared" si="3515"/>
        <v>45.889800000000001</v>
      </c>
      <c r="P691" s="8">
        <f t="shared" si="3395"/>
        <v>46.196799999999996</v>
      </c>
      <c r="Q691" s="8">
        <f t="shared" si="3516"/>
        <v>59.060400000000001</v>
      </c>
      <c r="R691" s="6">
        <f t="shared" si="3517"/>
        <v>22.739599999999996</v>
      </c>
      <c r="S691" s="6">
        <f t="shared" si="3518"/>
        <v>4.4989999999999997</v>
      </c>
      <c r="T691" s="6">
        <f t="shared" si="3519"/>
        <v>0.36439999999999628</v>
      </c>
      <c r="U691" s="6">
        <f t="shared" si="3520"/>
        <v>-0.3755999999999986</v>
      </c>
      <c r="V691" s="6">
        <f t="shared" si="3521"/>
        <v>-0.40000000000000568</v>
      </c>
      <c r="W691" s="9">
        <f>Tabla1[[#This Row],[Protein]]/Tabla1[[#This Row],[Peso (Kg)]]</f>
        <v>0.27799022004889973</v>
      </c>
      <c r="X691" s="9">
        <f t="shared" si="3429"/>
        <v>0.27262098063920798</v>
      </c>
      <c r="Y691" s="6">
        <f t="shared" si="3522"/>
        <v>35.910199999999996</v>
      </c>
      <c r="Z691" s="6">
        <f t="shared" ref="Z691" si="3530">AVERAGE(E685:E691)</f>
        <v>82.178571428571431</v>
      </c>
      <c r="AA691" s="6">
        <f t="shared" ref="AA691" si="3531">AVERAGE(N685:N691)</f>
        <v>9.9797857142857129</v>
      </c>
      <c r="AB691" s="6">
        <f t="shared" ref="AB691" si="3532">AVERAGE(R685:R691)</f>
        <v>22.401985714285708</v>
      </c>
      <c r="AC691" s="6">
        <f t="shared" si="3526"/>
        <v>-0.25071871319569672</v>
      </c>
      <c r="AD691" s="42">
        <f>Tabla1[[#This Row],[Avg Agua)]]/Tabla1[[#This Row],[Avg Musculo]]</f>
        <v>2.062174335310837</v>
      </c>
    </row>
    <row r="692" spans="1:31" x14ac:dyDescent="0.3">
      <c r="A692" t="s">
        <v>199</v>
      </c>
      <c r="B692">
        <v>50</v>
      </c>
      <c r="C692" t="s">
        <v>24</v>
      </c>
      <c r="D692" s="4">
        <v>45994</v>
      </c>
      <c r="E692" s="6">
        <v>81.3</v>
      </c>
      <c r="F692" s="7">
        <f t="shared" si="3511"/>
        <v>23.002489814395656</v>
      </c>
      <c r="G692" s="9">
        <v>0.114</v>
      </c>
      <c r="H692" s="6">
        <f t="shared" si="3512"/>
        <v>72.031800000000004</v>
      </c>
      <c r="I692" s="6">
        <f t="shared" si="3513"/>
        <v>23.066400000000002</v>
      </c>
      <c r="J692">
        <v>3.6</v>
      </c>
      <c r="K692" s="5">
        <v>5.5E-2</v>
      </c>
      <c r="L692" s="17">
        <v>2058</v>
      </c>
      <c r="M692" s="5">
        <v>0.55800000000000005</v>
      </c>
      <c r="N692" s="6">
        <f t="shared" si="3514"/>
        <v>9.2682000000000002</v>
      </c>
      <c r="O692" s="21">
        <f t="shared" si="3515"/>
        <v>45.365400000000001</v>
      </c>
      <c r="P692" s="8">
        <f t="shared" si="3395"/>
        <v>46.129285714285707</v>
      </c>
      <c r="Q692" s="8">
        <f t="shared" si="3516"/>
        <v>58.233599999999996</v>
      </c>
      <c r="R692" s="6">
        <f t="shared" si="3517"/>
        <v>23.066400000000002</v>
      </c>
      <c r="S692" s="6">
        <f t="shared" si="3518"/>
        <v>4.4714999999999998</v>
      </c>
      <c r="T692" s="6">
        <f t="shared" si="3519"/>
        <v>0.32680000000000575</v>
      </c>
      <c r="U692" s="6">
        <f t="shared" si="3520"/>
        <v>-0.30240000000000045</v>
      </c>
      <c r="V692" s="6">
        <f t="shared" si="3521"/>
        <v>-0.5</v>
      </c>
      <c r="W692" s="9">
        <f>Tabla1[[#This Row],[Protein]]/Tabla1[[#This Row],[Peso (Kg)]]</f>
        <v>0.28371955719557196</v>
      </c>
      <c r="X692" s="9">
        <f t="shared" si="3429"/>
        <v>0.27356698009920261</v>
      </c>
      <c r="Y692" s="6">
        <f t="shared" si="3522"/>
        <v>35.934600000000003</v>
      </c>
      <c r="Z692" s="6">
        <f t="shared" ref="Z692" si="3533">AVERAGE(E686:E692)</f>
        <v>82.078571428571422</v>
      </c>
      <c r="AA692" s="6">
        <f t="shared" ref="AA692" si="3534">AVERAGE(N686:N692)</f>
        <v>9.8980999999999995</v>
      </c>
      <c r="AB692" s="6">
        <f t="shared" ref="AB692" si="3535">AVERAGE(R686:R692)</f>
        <v>22.451185714285714</v>
      </c>
      <c r="AC692" s="6">
        <f t="shared" si="3526"/>
        <v>0.21962338797774095</v>
      </c>
      <c r="AD692" s="42">
        <f>Tabla1[[#This Row],[Avg Agua)]]/Tabla1[[#This Row],[Avg Musculo]]</f>
        <v>2.0546480841291865</v>
      </c>
    </row>
    <row r="693" spans="1:31" x14ac:dyDescent="0.3">
      <c r="A693" t="s">
        <v>199</v>
      </c>
      <c r="B693">
        <v>50</v>
      </c>
      <c r="C693" t="s">
        <v>22</v>
      </c>
      <c r="D693" s="4">
        <v>45995</v>
      </c>
      <c r="E693" s="6">
        <v>82.3</v>
      </c>
      <c r="F693" s="7">
        <f t="shared" ref="F693:F698" si="3536">E693/(1.88^2)</f>
        <v>23.285423268447261</v>
      </c>
      <c r="G693" s="9">
        <v>0.124</v>
      </c>
      <c r="H693" s="6">
        <f t="shared" ref="H693:H698" si="3537">E693-N693</f>
        <v>72.094799999999992</v>
      </c>
      <c r="I693" s="6">
        <f t="shared" ref="I693:I698" si="3538">E693-N693-O693-J693</f>
        <v>21.9953</v>
      </c>
      <c r="J693">
        <v>3.6</v>
      </c>
      <c r="K693" s="5">
        <v>0.06</v>
      </c>
      <c r="L693" s="17">
        <v>2063</v>
      </c>
      <c r="M693" s="5">
        <v>0.56499999999999995</v>
      </c>
      <c r="N693" s="6">
        <f t="shared" ref="N693:N698" si="3539">E693*G693</f>
        <v>10.2052</v>
      </c>
      <c r="O693" s="21">
        <f t="shared" ref="O693:O698" si="3540">M693*E693</f>
        <v>46.499499999999991</v>
      </c>
      <c r="P693" s="8">
        <f t="shared" si="3395"/>
        <v>46.187850000000005</v>
      </c>
      <c r="Q693" s="8">
        <f t="shared" ref="Q693:Q698" si="3541">E693-R693</f>
        <v>60.304699999999997</v>
      </c>
      <c r="R693" s="6">
        <f t="shared" ref="R693:R698" si="3542">I693</f>
        <v>21.9953</v>
      </c>
      <c r="S693" s="6">
        <f t="shared" ref="S693:S698" si="3543">K693*E693</f>
        <v>4.9379999999999997</v>
      </c>
      <c r="T693" s="6">
        <f t="shared" ref="T693:T698" si="3544">I693-I692</f>
        <v>-1.0711000000000013</v>
      </c>
      <c r="U693" s="6">
        <f t="shared" ref="U693:U698" si="3545">N693-N692</f>
        <v>0.93699999999999939</v>
      </c>
      <c r="V693" s="6">
        <f t="shared" ref="V693:V698" si="3546">E693-E692</f>
        <v>1</v>
      </c>
      <c r="W693" s="9">
        <f>Tabla1[[#This Row],[Protein]]/Tabla1[[#This Row],[Peso (Kg)]]</f>
        <v>0.26725759416767925</v>
      </c>
      <c r="X693" s="9">
        <f t="shared" si="3429"/>
        <v>0.27284132583103166</v>
      </c>
      <c r="Y693" s="6">
        <f t="shared" ref="Y693:Y698" si="3547">R693+N693+J693</f>
        <v>35.8005</v>
      </c>
      <c r="Z693" s="6">
        <f t="shared" ref="Z693:Z694" si="3548">AVERAGE(E687:E693)</f>
        <v>82.05714285714285</v>
      </c>
      <c r="AA693" s="6">
        <f t="shared" ref="AA693:AA694" si="3549">AVERAGE(N687:N693)</f>
        <v>9.8836642857142856</v>
      </c>
      <c r="AB693" s="6">
        <f t="shared" ref="AB693:AB694" si="3550">AVERAGE(R687:R693)</f>
        <v>22.385628571428565</v>
      </c>
      <c r="AC693" s="6">
        <f t="shared" ref="AC693:AC698" si="3551">100*(AB693/AB692-1)</f>
        <v>-0.29199857723075651</v>
      </c>
      <c r="AD693" s="42">
        <f>Tabla1[[#This Row],[Avg Agua)]]/Tabla1[[#This Row],[Avg Musculo]]</f>
        <v>2.0632813527046059</v>
      </c>
      <c r="AE693" t="s">
        <v>203</v>
      </c>
    </row>
    <row r="694" spans="1:31" x14ac:dyDescent="0.3">
      <c r="A694" t="s">
        <v>199</v>
      </c>
      <c r="B694">
        <v>50</v>
      </c>
      <c r="C694" t="s">
        <v>20</v>
      </c>
      <c r="D694" s="4">
        <v>45996</v>
      </c>
      <c r="E694" s="6">
        <v>81.8</v>
      </c>
      <c r="F694" s="7">
        <f t="shared" si="3536"/>
        <v>23.14395654142146</v>
      </c>
      <c r="G694" s="9">
        <v>0.115</v>
      </c>
      <c r="H694" s="6">
        <f t="shared" si="3537"/>
        <v>72.393000000000001</v>
      </c>
      <c r="I694" s="6">
        <f t="shared" si="3538"/>
        <v>22.248800000000003</v>
      </c>
      <c r="J694">
        <v>3.6</v>
      </c>
      <c r="K694" s="5">
        <v>5.5E-2</v>
      </c>
      <c r="L694" s="17">
        <v>2069</v>
      </c>
      <c r="M694" s="5">
        <v>0.56899999999999995</v>
      </c>
      <c r="N694" s="6">
        <f t="shared" si="3539"/>
        <v>9.407</v>
      </c>
      <c r="O694" s="21">
        <f t="shared" si="3540"/>
        <v>46.544199999999996</v>
      </c>
      <c r="P694" s="8">
        <f t="shared" si="3395"/>
        <v>46.253021428571422</v>
      </c>
      <c r="Q694" s="8">
        <f t="shared" si="3541"/>
        <v>59.551199999999994</v>
      </c>
      <c r="R694" s="6">
        <f t="shared" si="3542"/>
        <v>22.248800000000003</v>
      </c>
      <c r="S694" s="6">
        <f t="shared" si="3543"/>
        <v>4.4989999999999997</v>
      </c>
      <c r="T694" s="6">
        <f t="shared" si="3544"/>
        <v>0.2535000000000025</v>
      </c>
      <c r="U694" s="6">
        <f t="shared" si="3545"/>
        <v>-0.79819999999999958</v>
      </c>
      <c r="V694" s="6">
        <f t="shared" si="3546"/>
        <v>-0.5</v>
      </c>
      <c r="W694" s="9">
        <f>Tabla1[[#This Row],[Protein]]/Tabla1[[#This Row],[Peso (Kg)]]</f>
        <v>0.27199022004889978</v>
      </c>
      <c r="X694" s="9">
        <f t="shared" si="3429"/>
        <v>0.27251741524263462</v>
      </c>
      <c r="Y694" s="6">
        <f t="shared" si="3547"/>
        <v>35.255800000000001</v>
      </c>
      <c r="Z694" s="6">
        <f t="shared" si="3548"/>
        <v>81.98571428571428</v>
      </c>
      <c r="AA694" s="6">
        <f t="shared" si="3549"/>
        <v>9.7931499999999989</v>
      </c>
      <c r="AB694" s="6">
        <f t="shared" si="3550"/>
        <v>22.339542857142856</v>
      </c>
      <c r="AC694" s="6">
        <f t="shared" si="3551"/>
        <v>-0.20587187953493569</v>
      </c>
      <c r="AD694" s="42">
        <f>Tabla1[[#This Row],[Avg Agua)]]/Tabla1[[#This Row],[Avg Musculo]]</f>
        <v>2.070455144241345</v>
      </c>
    </row>
    <row r="695" spans="1:31" x14ac:dyDescent="0.3">
      <c r="A695" t="s">
        <v>199</v>
      </c>
      <c r="B695">
        <v>50</v>
      </c>
      <c r="C695" t="s">
        <v>121</v>
      </c>
      <c r="D695" s="4">
        <v>45997</v>
      </c>
      <c r="E695" s="6">
        <v>81.099999999999994</v>
      </c>
      <c r="F695" s="7">
        <f t="shared" si="3536"/>
        <v>22.945903123585332</v>
      </c>
      <c r="G695" s="9">
        <v>0.113</v>
      </c>
      <c r="H695" s="6">
        <f t="shared" si="3537"/>
        <v>71.935699999999997</v>
      </c>
      <c r="I695" s="6">
        <f t="shared" si="3538"/>
        <v>22.776400000000002</v>
      </c>
      <c r="J695">
        <v>3.5</v>
      </c>
      <c r="K695" s="5">
        <v>5.5E-2</v>
      </c>
      <c r="L695" s="17">
        <v>2052</v>
      </c>
      <c r="M695" s="5">
        <v>0.56299999999999994</v>
      </c>
      <c r="N695" s="6">
        <f t="shared" si="3539"/>
        <v>9.164299999999999</v>
      </c>
      <c r="O695" s="21">
        <f t="shared" si="3540"/>
        <v>45.659299999999995</v>
      </c>
      <c r="P695" s="8">
        <f t="shared" si="3395"/>
        <v>46.216085714285711</v>
      </c>
      <c r="Q695" s="8">
        <f t="shared" si="3541"/>
        <v>58.323599999999992</v>
      </c>
      <c r="R695" s="6">
        <f t="shared" si="3542"/>
        <v>22.776400000000002</v>
      </c>
      <c r="S695" s="6">
        <f t="shared" si="3543"/>
        <v>4.4604999999999997</v>
      </c>
      <c r="T695" s="6">
        <f t="shared" si="3544"/>
        <v>0.52759999999999962</v>
      </c>
      <c r="U695" s="6">
        <f t="shared" si="3545"/>
        <v>-0.24270000000000103</v>
      </c>
      <c r="V695" s="6">
        <f t="shared" si="3546"/>
        <v>-0.70000000000000284</v>
      </c>
      <c r="W695" s="9">
        <f>Tabla1[[#This Row],[Protein]]/Tabla1[[#This Row],[Peso (Kg)]]</f>
        <v>0.28084340320591866</v>
      </c>
      <c r="X695" s="9">
        <f t="shared" si="3429"/>
        <v>0.27306402934928342</v>
      </c>
      <c r="Y695" s="6">
        <f t="shared" si="3547"/>
        <v>35.4407</v>
      </c>
      <c r="Z695" s="6">
        <f t="shared" ref="Z695:Z696" si="3552">AVERAGE(E689:E695)</f>
        <v>81.878571428571448</v>
      </c>
      <c r="AA695" s="6">
        <f t="shared" ref="AA695:AA696" si="3553">AVERAGE(N689:N695)</f>
        <v>9.7225785714285706</v>
      </c>
      <c r="AB695" s="6">
        <f t="shared" ref="AB695:AB696" si="3554">AVERAGE(R689:R695)</f>
        <v>22.354192857142856</v>
      </c>
      <c r="AC695" s="6">
        <f t="shared" si="3551"/>
        <v>6.5578781507236172E-2</v>
      </c>
      <c r="AD695" s="42">
        <f>Tabla1[[#This Row],[Avg Agua)]]/Tabla1[[#This Row],[Avg Musculo]]</f>
        <v>2.0674459601218946</v>
      </c>
    </row>
    <row r="696" spans="1:31" x14ac:dyDescent="0.3">
      <c r="A696" t="s">
        <v>199</v>
      </c>
      <c r="B696">
        <v>50</v>
      </c>
      <c r="C696" t="s">
        <v>26</v>
      </c>
      <c r="D696" s="4">
        <v>45998</v>
      </c>
      <c r="E696" s="6">
        <v>81.05</v>
      </c>
      <c r="F696" s="7">
        <f t="shared" si="3536"/>
        <v>22.931756450882752</v>
      </c>
      <c r="G696" s="9">
        <v>0.111</v>
      </c>
      <c r="H696" s="6">
        <f t="shared" si="3537"/>
        <v>72.053449999999998</v>
      </c>
      <c r="I696" s="6">
        <f t="shared" si="3538"/>
        <v>22.903349999999996</v>
      </c>
      <c r="J696">
        <v>3.6</v>
      </c>
      <c r="K696" s="5">
        <v>5.5E-2</v>
      </c>
      <c r="L696" s="17">
        <v>2057</v>
      </c>
      <c r="M696" s="5">
        <v>0.56200000000000006</v>
      </c>
      <c r="N696" s="6">
        <f t="shared" si="3539"/>
        <v>8.9965499999999992</v>
      </c>
      <c r="O696" s="21">
        <f t="shared" si="3540"/>
        <v>45.5501</v>
      </c>
      <c r="P696" s="8">
        <f t="shared" si="3395"/>
        <v>45.969557142857134</v>
      </c>
      <c r="Q696" s="8">
        <f t="shared" si="3541"/>
        <v>58.146650000000001</v>
      </c>
      <c r="R696" s="6">
        <f t="shared" si="3542"/>
        <v>22.903349999999996</v>
      </c>
      <c r="S696" s="6">
        <f t="shared" si="3543"/>
        <v>4.4577499999999999</v>
      </c>
      <c r="T696" s="6">
        <f t="shared" si="3544"/>
        <v>0.12694999999999368</v>
      </c>
      <c r="U696" s="6">
        <f t="shared" si="3545"/>
        <v>-0.16774999999999984</v>
      </c>
      <c r="V696" s="6">
        <f t="shared" si="3546"/>
        <v>-4.9999999999997158E-2</v>
      </c>
      <c r="W696" s="9">
        <f>Tabla1[[#This Row],[Protein]]/Tabla1[[#This Row],[Peso (Kg)]]</f>
        <v>0.28258297347316469</v>
      </c>
      <c r="X696" s="9">
        <f t="shared" si="3429"/>
        <v>0.27665547824316822</v>
      </c>
      <c r="Y696" s="6">
        <f t="shared" si="3547"/>
        <v>35.499899999999997</v>
      </c>
      <c r="Z696" s="6">
        <f t="shared" si="3552"/>
        <v>81.649999999999991</v>
      </c>
      <c r="AA696" s="6">
        <f t="shared" si="3553"/>
        <v>9.5082928571428571</v>
      </c>
      <c r="AB696" s="6">
        <f t="shared" si="3554"/>
        <v>22.58643571428571</v>
      </c>
      <c r="AC696" s="6">
        <f t="shared" si="3551"/>
        <v>1.0389230272237038</v>
      </c>
      <c r="AD696" s="42">
        <f>Tabla1[[#This Row],[Avg Agua)]]/Tabla1[[#This Row],[Avg Musculo]]</f>
        <v>2.03527275061739</v>
      </c>
    </row>
    <row r="697" spans="1:31" x14ac:dyDescent="0.3">
      <c r="A697" t="s">
        <v>199</v>
      </c>
      <c r="B697">
        <v>51</v>
      </c>
      <c r="C697" t="s">
        <v>21</v>
      </c>
      <c r="D697" s="4">
        <v>45999</v>
      </c>
      <c r="E697" s="6">
        <v>81.05</v>
      </c>
      <c r="F697" s="7">
        <f t="shared" si="3536"/>
        <v>22.931756450882752</v>
      </c>
      <c r="G697" s="9">
        <v>0.112</v>
      </c>
      <c r="H697" s="6">
        <f t="shared" si="3537"/>
        <v>71.972399999999993</v>
      </c>
      <c r="I697" s="6">
        <f t="shared" si="3538"/>
        <v>22.417049999999996</v>
      </c>
      <c r="J697">
        <v>3.6</v>
      </c>
      <c r="K697" s="5">
        <v>5.5E-2</v>
      </c>
      <c r="L697" s="17">
        <v>2055</v>
      </c>
      <c r="M697" s="5">
        <v>0.56699999999999995</v>
      </c>
      <c r="N697" s="6">
        <f t="shared" si="3539"/>
        <v>9.0776000000000003</v>
      </c>
      <c r="O697" s="21">
        <f t="shared" si="3540"/>
        <v>45.955349999999996</v>
      </c>
      <c r="P697" s="8">
        <f t="shared" si="3395"/>
        <v>45.923378571428564</v>
      </c>
      <c r="Q697" s="8">
        <f t="shared" si="3541"/>
        <v>58.632950000000001</v>
      </c>
      <c r="R697" s="6">
        <f t="shared" si="3542"/>
        <v>22.417049999999996</v>
      </c>
      <c r="S697" s="6">
        <f t="shared" si="3543"/>
        <v>4.4577499999999999</v>
      </c>
      <c r="T697" s="6">
        <f t="shared" si="3544"/>
        <v>-0.48629999999999995</v>
      </c>
      <c r="U697" s="6">
        <f t="shared" si="3545"/>
        <v>8.1050000000001177E-2</v>
      </c>
      <c r="V697" s="6">
        <f t="shared" si="3546"/>
        <v>0</v>
      </c>
      <c r="W697" s="9">
        <f>Tabla1[[#This Row],[Protein]]/Tabla1[[#This Row],[Peso (Kg)]]</f>
        <v>0.27658297347316468</v>
      </c>
      <c r="X697" s="9">
        <f t="shared" si="3429"/>
        <v>0.27728099165904269</v>
      </c>
      <c r="Y697" s="6">
        <f t="shared" si="3547"/>
        <v>35.094649999999994</v>
      </c>
      <c r="Z697" s="6">
        <f t="shared" ref="Z697" si="3555">AVERAGE(E691:E697)</f>
        <v>81.48571428571428</v>
      </c>
      <c r="AA697" s="6">
        <f t="shared" ref="AA697" si="3556">AVERAGE(N691:N697)</f>
        <v>9.3842071428571412</v>
      </c>
      <c r="AB697" s="6">
        <f t="shared" ref="AB697" si="3557">AVERAGE(R691:R697)</f>
        <v>22.592414285714284</v>
      </c>
      <c r="AC697" s="6">
        <f t="shared" si="3551"/>
        <v>2.6469742743850944E-2</v>
      </c>
      <c r="AD697" s="42">
        <f>Tabla1[[#This Row],[Avg Agua)]]/Tabla1[[#This Row],[Avg Musculo]]</f>
        <v>2.0326901760325367</v>
      </c>
    </row>
    <row r="698" spans="1:31" x14ac:dyDescent="0.3">
      <c r="A698" t="s">
        <v>199</v>
      </c>
      <c r="B698">
        <v>51</v>
      </c>
      <c r="C698" t="s">
        <v>23</v>
      </c>
      <c r="D698" s="4">
        <v>46000</v>
      </c>
      <c r="E698" s="6">
        <v>81.400000000000006</v>
      </c>
      <c r="F698" s="7">
        <f t="shared" si="3536"/>
        <v>23.030783159800819</v>
      </c>
      <c r="G698" s="9">
        <v>0.115</v>
      </c>
      <c r="H698" s="6">
        <f t="shared" si="3537"/>
        <v>72.039000000000001</v>
      </c>
      <c r="I698" s="6">
        <f t="shared" si="3538"/>
        <v>22.366599999999998</v>
      </c>
      <c r="J698">
        <v>3.6</v>
      </c>
      <c r="K698" s="5">
        <v>5.5E-2</v>
      </c>
      <c r="L698" s="17">
        <v>2057</v>
      </c>
      <c r="M698" s="5">
        <v>0.56599999999999995</v>
      </c>
      <c r="N698" s="6">
        <f t="shared" si="3539"/>
        <v>9.3610000000000007</v>
      </c>
      <c r="O698" s="21">
        <f t="shared" si="3540"/>
        <v>46.072400000000002</v>
      </c>
      <c r="P698" s="8">
        <f t="shared" si="3395"/>
        <v>45.949464285714285</v>
      </c>
      <c r="Q698" s="8">
        <f t="shared" si="3541"/>
        <v>59.033400000000007</v>
      </c>
      <c r="R698" s="6">
        <f t="shared" si="3542"/>
        <v>22.366599999999998</v>
      </c>
      <c r="S698" s="6">
        <f t="shared" si="3543"/>
        <v>4.4770000000000003</v>
      </c>
      <c r="T698" s="6">
        <f t="shared" si="3544"/>
        <v>-5.0449999999997885E-2</v>
      </c>
      <c r="U698" s="6">
        <f t="shared" si="3545"/>
        <v>0.28340000000000032</v>
      </c>
      <c r="V698" s="6">
        <f t="shared" si="3546"/>
        <v>0.35000000000000853</v>
      </c>
      <c r="W698" s="9">
        <f>Tabla1[[#This Row],[Protein]]/Tabla1[[#This Row],[Peso (Kg)]]</f>
        <v>0.27477395577395575</v>
      </c>
      <c r="X698" s="9">
        <f t="shared" si="3429"/>
        <v>0.27682152533405063</v>
      </c>
      <c r="Y698" s="6">
        <f t="shared" si="3547"/>
        <v>35.327599999999997</v>
      </c>
      <c r="Z698" s="6">
        <f t="shared" ref="Z698" si="3558">AVERAGE(E692:E698)</f>
        <v>81.428571428571431</v>
      </c>
      <c r="AA698" s="6">
        <f t="shared" ref="AA698" si="3559">AVERAGE(N692:N698)</f>
        <v>9.3542642857142848</v>
      </c>
      <c r="AB698" s="6">
        <f t="shared" ref="AB698" si="3560">AVERAGE(R692:R698)</f>
        <v>22.53912857142857</v>
      </c>
      <c r="AC698" s="6">
        <f t="shared" si="3551"/>
        <v>-0.23585666238161718</v>
      </c>
      <c r="AD698" s="42">
        <f>Tabla1[[#This Row],[Avg Agua)]]/Tabla1[[#This Row],[Avg Musculo]]</f>
        <v>2.0386530978824764</v>
      </c>
    </row>
    <row r="699" spans="1:31" x14ac:dyDescent="0.3">
      <c r="A699" t="s">
        <v>199</v>
      </c>
      <c r="B699">
        <v>51</v>
      </c>
      <c r="C699" t="s">
        <v>24</v>
      </c>
      <c r="D699" s="4">
        <v>46001</v>
      </c>
      <c r="E699" s="6">
        <v>81</v>
      </c>
      <c r="F699" s="7">
        <f t="shared" ref="F699:F704" si="3561">E699/(1.88^2)</f>
        <v>22.917609778180175</v>
      </c>
      <c r="G699" s="9">
        <v>0.11600000000000001</v>
      </c>
      <c r="H699" s="6">
        <f t="shared" ref="H699:H704" si="3562">E699-N699</f>
        <v>71.603999999999999</v>
      </c>
      <c r="I699" s="6">
        <f t="shared" ref="I699:I704" si="3563">E699-N699-O699-J699</f>
        <v>22.177000000000007</v>
      </c>
      <c r="J699">
        <v>3.5</v>
      </c>
      <c r="K699" s="5">
        <v>5.5E-2</v>
      </c>
      <c r="L699" s="17">
        <v>2044</v>
      </c>
      <c r="M699" s="5">
        <v>0.56699999999999995</v>
      </c>
      <c r="N699" s="6">
        <f t="shared" ref="N699:N704" si="3564">E699*G699</f>
        <v>9.3960000000000008</v>
      </c>
      <c r="O699" s="21">
        <f t="shared" ref="O699:O704" si="3565">M699*E699</f>
        <v>45.926999999999992</v>
      </c>
      <c r="P699" s="8">
        <f t="shared" si="3395"/>
        <v>46.029692857142855</v>
      </c>
      <c r="Q699" s="8">
        <f t="shared" ref="Q699:Q704" si="3566">E699-R699</f>
        <v>58.822999999999993</v>
      </c>
      <c r="R699" s="6">
        <f t="shared" ref="R699:R704" si="3567">I699</f>
        <v>22.177000000000007</v>
      </c>
      <c r="S699" s="6">
        <f t="shared" ref="S699:S704" si="3568">K699*E699</f>
        <v>4.4550000000000001</v>
      </c>
      <c r="T699" s="6">
        <f t="shared" ref="T699:T704" si="3569">I699-I698</f>
        <v>-0.18959999999999155</v>
      </c>
      <c r="U699" s="6">
        <f t="shared" ref="U699:U704" si="3570">N699-N698</f>
        <v>3.5000000000000142E-2</v>
      </c>
      <c r="V699" s="6">
        <f t="shared" ref="V699:V704" si="3571">E699-E698</f>
        <v>-0.40000000000000568</v>
      </c>
      <c r="W699" s="9">
        <f>Tabla1[[#This Row],[Protein]]/Tabla1[[#This Row],[Peso (Kg)]]</f>
        <v>0.27379012345679021</v>
      </c>
      <c r="X699" s="9">
        <f t="shared" si="3429"/>
        <v>0.27540303479993894</v>
      </c>
      <c r="Y699" s="6">
        <f t="shared" ref="Y699:Y704" si="3572">R699+N699+J699</f>
        <v>35.073000000000008</v>
      </c>
      <c r="Z699" s="6">
        <f t="shared" ref="Z699" si="3573">AVERAGE(E693:E699)</f>
        <v>81.385714285714286</v>
      </c>
      <c r="AA699" s="6">
        <f t="shared" ref="AA699" si="3574">AVERAGE(N693:N699)</f>
        <v>9.3725214285714298</v>
      </c>
      <c r="AB699" s="6">
        <f t="shared" ref="AB699" si="3575">AVERAGE(R693:R699)</f>
        <v>22.41207142857143</v>
      </c>
      <c r="AC699" s="6">
        <f t="shared" ref="AC699:AC704" si="3576">100*(AB699/AB698-1)</f>
        <v>-0.56371808011336233</v>
      </c>
      <c r="AD699" s="42">
        <f>Tabla1[[#This Row],[Avg Agua)]]/Tabla1[[#This Row],[Avg Musculo]]</f>
        <v>2.0537902087204278</v>
      </c>
    </row>
    <row r="700" spans="1:31" x14ac:dyDescent="0.3">
      <c r="A700" t="s">
        <v>199</v>
      </c>
      <c r="B700">
        <v>51</v>
      </c>
      <c r="C700" t="s">
        <v>22</v>
      </c>
      <c r="D700" s="4">
        <v>46002</v>
      </c>
      <c r="E700" s="6">
        <v>80.95</v>
      </c>
      <c r="F700" s="7">
        <f t="shared" si="3561"/>
        <v>22.903463105477595</v>
      </c>
      <c r="G700" s="9">
        <v>0.108</v>
      </c>
      <c r="H700" s="6">
        <f t="shared" si="3562"/>
        <v>72.207400000000007</v>
      </c>
      <c r="I700" s="6">
        <f t="shared" si="3563"/>
        <v>22.627800000000008</v>
      </c>
      <c r="J700">
        <v>3.6</v>
      </c>
      <c r="K700" s="5">
        <v>5.5E-2</v>
      </c>
      <c r="L700" s="17">
        <v>2061</v>
      </c>
      <c r="M700" s="5">
        <v>0.56799999999999995</v>
      </c>
      <c r="N700" s="6">
        <f t="shared" si="3564"/>
        <v>8.7425999999999995</v>
      </c>
      <c r="O700" s="21">
        <f t="shared" si="3565"/>
        <v>45.979599999999998</v>
      </c>
      <c r="P700" s="8">
        <f t="shared" si="3395"/>
        <v>45.955421428571427</v>
      </c>
      <c r="Q700" s="8">
        <f t="shared" si="3566"/>
        <v>58.322199999999995</v>
      </c>
      <c r="R700" s="6">
        <f t="shared" si="3567"/>
        <v>22.627800000000008</v>
      </c>
      <c r="S700" s="6">
        <f t="shared" si="3568"/>
        <v>4.4522500000000003</v>
      </c>
      <c r="T700" s="6">
        <f t="shared" si="3569"/>
        <v>0.45080000000000098</v>
      </c>
      <c r="U700" s="6">
        <f t="shared" si="3570"/>
        <v>-0.65340000000000131</v>
      </c>
      <c r="V700" s="6">
        <f t="shared" si="3571"/>
        <v>-4.9999999999997158E-2</v>
      </c>
      <c r="W700" s="9">
        <f>Tabla1[[#This Row],[Protein]]/Tabla1[[#This Row],[Peso (Kg)]]</f>
        <v>0.27952810376775794</v>
      </c>
      <c r="X700" s="9">
        <f t="shared" si="3429"/>
        <v>0.2771559647428074</v>
      </c>
      <c r="Y700" s="6">
        <f t="shared" si="3572"/>
        <v>34.970400000000005</v>
      </c>
      <c r="Z700" s="6">
        <f t="shared" ref="Z700" si="3577">AVERAGE(E694:E700)</f>
        <v>81.19285714285715</v>
      </c>
      <c r="AA700" s="6">
        <f t="shared" ref="AA700" si="3578">AVERAGE(N694:N700)</f>
        <v>9.1635785714285714</v>
      </c>
      <c r="AB700" s="6">
        <f t="shared" ref="AB700" si="3579">AVERAGE(R694:R700)</f>
        <v>22.502428571428574</v>
      </c>
      <c r="AC700" s="6">
        <f t="shared" si="3576"/>
        <v>0.40316283635413175</v>
      </c>
      <c r="AD700" s="42">
        <f>Tabla1[[#This Row],[Avg Agua)]]/Tabla1[[#This Row],[Avg Musculo]]</f>
        <v>2.0422427420532383</v>
      </c>
    </row>
    <row r="701" spans="1:31" x14ac:dyDescent="0.3">
      <c r="A701" t="s">
        <v>199</v>
      </c>
      <c r="B701">
        <v>51</v>
      </c>
      <c r="C701" t="s">
        <v>205</v>
      </c>
      <c r="D701" s="4">
        <v>46003</v>
      </c>
      <c r="E701" s="6">
        <v>82.05</v>
      </c>
      <c r="F701" s="7">
        <f t="shared" si="3561"/>
        <v>23.21468990493436</v>
      </c>
      <c r="G701" s="9">
        <v>0.122</v>
      </c>
      <c r="H701" s="6">
        <f t="shared" si="3562"/>
        <v>72.039900000000003</v>
      </c>
      <c r="I701" s="6">
        <f t="shared" si="3563"/>
        <v>21.83550000000001</v>
      </c>
      <c r="J701">
        <v>3.6</v>
      </c>
      <c r="K701" s="5">
        <v>0.06</v>
      </c>
      <c r="L701" s="17">
        <v>2061</v>
      </c>
      <c r="M701" s="5">
        <v>0.56799999999999995</v>
      </c>
      <c r="N701" s="6">
        <f t="shared" si="3564"/>
        <v>10.0101</v>
      </c>
      <c r="O701" s="21">
        <f t="shared" si="3565"/>
        <v>46.604399999999991</v>
      </c>
      <c r="P701" s="8">
        <f t="shared" si="3395"/>
        <v>45.964021428571421</v>
      </c>
      <c r="Q701" s="8">
        <f t="shared" si="3566"/>
        <v>60.214499999999987</v>
      </c>
      <c r="R701" s="6">
        <f t="shared" si="3567"/>
        <v>21.83550000000001</v>
      </c>
      <c r="S701" s="6">
        <f t="shared" si="3568"/>
        <v>4.923</v>
      </c>
      <c r="T701" s="6">
        <f t="shared" si="3569"/>
        <v>-0.79229999999999734</v>
      </c>
      <c r="U701" s="6">
        <f t="shared" si="3570"/>
        <v>1.2675000000000001</v>
      </c>
      <c r="V701" s="6">
        <f t="shared" si="3571"/>
        <v>1.0999999999999943</v>
      </c>
      <c r="W701" s="9">
        <f>Tabla1[[#This Row],[Protein]]/Tabla1[[#This Row],[Peso (Kg)]]</f>
        <v>0.2661243144424133</v>
      </c>
      <c r="X701" s="9">
        <f t="shared" si="3429"/>
        <v>0.27631797822759502</v>
      </c>
      <c r="Y701" s="6">
        <f t="shared" si="3572"/>
        <v>35.445600000000013</v>
      </c>
      <c r="Z701" s="6">
        <f t="shared" ref="Z701" si="3580">AVERAGE(E695:E701)</f>
        <v>81.228571428571428</v>
      </c>
      <c r="AA701" s="6">
        <f t="shared" ref="AA701" si="3581">AVERAGE(N695:N701)</f>
        <v>9.2497357142857144</v>
      </c>
      <c r="AB701" s="6">
        <f t="shared" ref="AB701" si="3582">AVERAGE(R695:R701)</f>
        <v>22.443385714285721</v>
      </c>
      <c r="AC701" s="6">
        <f t="shared" si="3576"/>
        <v>-0.26238437755922162</v>
      </c>
      <c r="AD701" s="42">
        <f>Tabla1[[#This Row],[Avg Agua)]]/Tabla1[[#This Row],[Avg Musculo]]</f>
        <v>2.0479985512753669</v>
      </c>
      <c r="AE701" t="s">
        <v>204</v>
      </c>
    </row>
    <row r="702" spans="1:31" x14ac:dyDescent="0.3">
      <c r="A702" t="s">
        <v>199</v>
      </c>
      <c r="B702">
        <v>51</v>
      </c>
      <c r="C702" t="s">
        <v>121</v>
      </c>
      <c r="D702" s="4">
        <v>46004</v>
      </c>
      <c r="E702" s="6">
        <v>81.95</v>
      </c>
      <c r="F702" s="7">
        <f t="shared" si="3561"/>
        <v>23.1863965595292</v>
      </c>
      <c r="G702" s="9">
        <v>0.12</v>
      </c>
      <c r="H702" s="6">
        <f t="shared" si="3562"/>
        <v>72.116</v>
      </c>
      <c r="I702" s="6">
        <f t="shared" si="3563"/>
        <v>22.21425</v>
      </c>
      <c r="J702">
        <v>3.6</v>
      </c>
      <c r="K702" s="5">
        <v>0.06</v>
      </c>
      <c r="L702" s="17">
        <v>2062</v>
      </c>
      <c r="M702" s="5">
        <v>0.56499999999999995</v>
      </c>
      <c r="N702" s="6">
        <f t="shared" si="3564"/>
        <v>9.8339999999999996</v>
      </c>
      <c r="O702" s="21">
        <f t="shared" si="3565"/>
        <v>46.301749999999998</v>
      </c>
      <c r="P702" s="8">
        <f t="shared" si="3395"/>
        <v>46.055799999999991</v>
      </c>
      <c r="Q702" s="8">
        <f t="shared" si="3566"/>
        <v>59.735750000000003</v>
      </c>
      <c r="R702" s="6">
        <f t="shared" si="3567"/>
        <v>22.21425</v>
      </c>
      <c r="S702" s="6">
        <f t="shared" si="3568"/>
        <v>4.9169999999999998</v>
      </c>
      <c r="T702" s="6">
        <f t="shared" si="3569"/>
        <v>0.37874999999998948</v>
      </c>
      <c r="U702" s="6">
        <f t="shared" si="3570"/>
        <v>-0.17609999999999992</v>
      </c>
      <c r="V702" s="6">
        <f t="shared" si="3571"/>
        <v>-9.9999999999994316E-2</v>
      </c>
      <c r="W702" s="9">
        <f>Tabla1[[#This Row],[Protein]]/Tabla1[[#This Row],[Peso (Kg)]]</f>
        <v>0.27107077486272119</v>
      </c>
      <c r="X702" s="9">
        <f t="shared" si="3429"/>
        <v>0.27492188846428112</v>
      </c>
      <c r="Y702" s="6">
        <f t="shared" si="3572"/>
        <v>35.648249999999997</v>
      </c>
      <c r="Z702" s="6">
        <f t="shared" ref="Z702:Z703" si="3583">AVERAGE(E696:E702)</f>
        <v>81.350000000000009</v>
      </c>
      <c r="AA702" s="6">
        <f t="shared" ref="AA702:AA703" si="3584">AVERAGE(N696:N702)</f>
        <v>9.3454071428571428</v>
      </c>
      <c r="AB702" s="6">
        <f t="shared" ref="AB702:AB703" si="3585">AVERAGE(R696:R702)</f>
        <v>22.36307857142857</v>
      </c>
      <c r="AC702" s="6">
        <f t="shared" si="3576"/>
        <v>-0.35782098066440282</v>
      </c>
      <c r="AD702" s="42">
        <f>Tabla1[[#This Row],[Avg Agua)]]/Tabla1[[#This Row],[Avg Musculo]]</f>
        <v>2.0594570578865481</v>
      </c>
    </row>
    <row r="703" spans="1:31" x14ac:dyDescent="0.3">
      <c r="A703" t="s">
        <v>199</v>
      </c>
      <c r="B703">
        <v>52</v>
      </c>
      <c r="C703" t="s">
        <v>21</v>
      </c>
      <c r="D703" s="4">
        <v>46006</v>
      </c>
      <c r="E703" s="6">
        <v>81.75</v>
      </c>
      <c r="F703" s="7">
        <f t="shared" si="3561"/>
        <v>23.12980986871888</v>
      </c>
      <c r="G703" s="9">
        <v>0.11799999999999999</v>
      </c>
      <c r="H703" s="6">
        <f t="shared" si="3562"/>
        <v>72.103499999999997</v>
      </c>
      <c r="I703" s="6">
        <f t="shared" si="3563"/>
        <v>22.805249999999994</v>
      </c>
      <c r="J703">
        <v>3.6</v>
      </c>
      <c r="K703" s="5">
        <v>5.5E-2</v>
      </c>
      <c r="L703" s="17">
        <v>2062</v>
      </c>
      <c r="M703" s="5">
        <v>0.55900000000000005</v>
      </c>
      <c r="N703" s="6">
        <f t="shared" si="3564"/>
        <v>9.6464999999999996</v>
      </c>
      <c r="O703" s="21">
        <f t="shared" si="3565"/>
        <v>45.698250000000002</v>
      </c>
      <c r="P703" s="8">
        <f t="shared" si="3395"/>
        <v>46.07696428571429</v>
      </c>
      <c r="Q703" s="8">
        <f t="shared" si="3566"/>
        <v>58.944750000000006</v>
      </c>
      <c r="R703" s="6">
        <f t="shared" si="3567"/>
        <v>22.805249999999994</v>
      </c>
      <c r="S703" s="6">
        <f t="shared" si="3568"/>
        <v>4.4962499999999999</v>
      </c>
      <c r="T703" s="6">
        <f t="shared" si="3569"/>
        <v>0.59099999999999397</v>
      </c>
      <c r="U703" s="6">
        <f t="shared" si="3570"/>
        <v>-0.1875</v>
      </c>
      <c r="V703" s="6">
        <f t="shared" si="3571"/>
        <v>-0.20000000000000284</v>
      </c>
      <c r="W703" s="9">
        <f>Tabla1[[#This Row],[Protein]]/Tabla1[[#This Row],[Peso (Kg)]]</f>
        <v>0.27896330275229353</v>
      </c>
      <c r="X703" s="9">
        <f t="shared" si="3429"/>
        <v>0.27440479264701378</v>
      </c>
      <c r="Y703" s="6">
        <f t="shared" si="3572"/>
        <v>36.051749999999991</v>
      </c>
      <c r="Z703" s="6">
        <f t="shared" si="3583"/>
        <v>81.45</v>
      </c>
      <c r="AA703" s="6">
        <f t="shared" si="3584"/>
        <v>9.4382571428571431</v>
      </c>
      <c r="AB703" s="6">
        <f t="shared" si="3585"/>
        <v>22.349064285714288</v>
      </c>
      <c r="AC703" s="6">
        <f t="shared" si="3576"/>
        <v>-6.2667068263966286E-2</v>
      </c>
      <c r="AD703" s="42">
        <f>Tabla1[[#This Row],[Avg Agua)]]/Tabla1[[#This Row],[Avg Musculo]]</f>
        <v>2.0616954560897245</v>
      </c>
      <c r="AE703" t="s">
        <v>206</v>
      </c>
    </row>
    <row r="704" spans="1:31" x14ac:dyDescent="0.3">
      <c r="A704" t="s">
        <v>199</v>
      </c>
      <c r="B704">
        <v>52</v>
      </c>
      <c r="C704" t="s">
        <v>23</v>
      </c>
      <c r="D704" s="4">
        <v>46007</v>
      </c>
      <c r="E704" s="6">
        <v>80.900000000000006</v>
      </c>
      <c r="F704" s="7">
        <f t="shared" si="3561"/>
        <v>22.889316432775015</v>
      </c>
      <c r="G704" s="9">
        <v>0.106</v>
      </c>
      <c r="H704" s="6">
        <f t="shared" si="3562"/>
        <v>72.324600000000004</v>
      </c>
      <c r="I704" s="6">
        <f t="shared" si="3563"/>
        <v>23.339699999999993</v>
      </c>
      <c r="J704">
        <v>3.6</v>
      </c>
      <c r="K704" s="5">
        <v>5.5E-2</v>
      </c>
      <c r="L704" s="17">
        <v>2064</v>
      </c>
      <c r="M704" s="5">
        <v>0.56100000000000005</v>
      </c>
      <c r="N704" s="6">
        <f t="shared" si="3564"/>
        <v>8.5754000000000001</v>
      </c>
      <c r="O704" s="21">
        <f t="shared" si="3565"/>
        <v>45.384900000000009</v>
      </c>
      <c r="P704" s="8">
        <f t="shared" si="3395"/>
        <v>45.995471428571427</v>
      </c>
      <c r="Q704" s="8">
        <f t="shared" si="3566"/>
        <v>57.560300000000012</v>
      </c>
      <c r="R704" s="6">
        <f t="shared" si="3567"/>
        <v>23.339699999999993</v>
      </c>
      <c r="S704" s="6">
        <f t="shared" si="3568"/>
        <v>4.4495000000000005</v>
      </c>
      <c r="T704" s="6">
        <f t="shared" si="3569"/>
        <v>0.53444999999999965</v>
      </c>
      <c r="U704" s="6">
        <f t="shared" si="3570"/>
        <v>-1.0710999999999995</v>
      </c>
      <c r="V704" s="6">
        <f t="shared" si="3571"/>
        <v>-0.84999999999999432</v>
      </c>
      <c r="W704" s="9">
        <f>Tabla1[[#This Row],[Protein]]/Tabla1[[#This Row],[Peso (Kg)]]</f>
        <v>0.28850061804697147</v>
      </c>
      <c r="X704" s="9">
        <f t="shared" si="3429"/>
        <v>0.27610731330041477</v>
      </c>
      <c r="Y704" s="6">
        <f t="shared" si="3572"/>
        <v>35.515099999999997</v>
      </c>
      <c r="Z704" s="6">
        <f t="shared" ref="Z704" si="3586">AVERAGE(E698:E704)</f>
        <v>81.428571428571431</v>
      </c>
      <c r="AA704" s="6">
        <f t="shared" ref="AA704" si="3587">AVERAGE(N698:N704)</f>
        <v>9.3665142857142865</v>
      </c>
      <c r="AB704" s="6">
        <f t="shared" ref="AB704" si="3588">AVERAGE(R698:R704)</f>
        <v>22.48087142857143</v>
      </c>
      <c r="AC704" s="6">
        <f t="shared" si="3576"/>
        <v>0.58976582273018163</v>
      </c>
      <c r="AD704" s="42">
        <f>Tabla1[[#This Row],[Avg Agua)]]/Tabla1[[#This Row],[Avg Musculo]]</f>
        <v>2.0459825845591904</v>
      </c>
    </row>
    <row r="705" spans="1:31" x14ac:dyDescent="0.3">
      <c r="A705" t="s">
        <v>199</v>
      </c>
      <c r="B705">
        <v>53</v>
      </c>
      <c r="C705" t="s">
        <v>24</v>
      </c>
      <c r="D705" s="4">
        <v>46008</v>
      </c>
      <c r="E705" s="6">
        <v>81.2</v>
      </c>
      <c r="F705" s="7">
        <f t="shared" ref="F705:F710" si="3589">E705/(1.88^2)</f>
        <v>22.974196468990495</v>
      </c>
      <c r="G705" s="9">
        <v>0.111</v>
      </c>
      <c r="H705" s="6">
        <f t="shared" ref="H705:H710" si="3590">E705-N705</f>
        <v>72.186800000000005</v>
      </c>
      <c r="I705" s="6">
        <f t="shared" ref="I705:I710" si="3591">E705-N705-O705-J705</f>
        <v>22.790000000000006</v>
      </c>
      <c r="J705">
        <v>3.6</v>
      </c>
      <c r="K705" s="5">
        <v>5.5E-2</v>
      </c>
      <c r="L705" s="17">
        <v>2060</v>
      </c>
      <c r="M705" s="5">
        <v>0.56399999999999995</v>
      </c>
      <c r="N705" s="6">
        <f t="shared" ref="N705:N710" si="3592">E705*G705</f>
        <v>9.0132000000000012</v>
      </c>
      <c r="O705" s="21">
        <f t="shared" ref="O705:O710" si="3593">M705*E705</f>
        <v>45.796799999999998</v>
      </c>
      <c r="P705" s="8">
        <f t="shared" si="3395"/>
        <v>45.956099999999999</v>
      </c>
      <c r="Q705" s="8">
        <f t="shared" ref="Q705:Q710" si="3594">E705-R705</f>
        <v>58.41</v>
      </c>
      <c r="R705" s="6">
        <f t="shared" ref="R705:R710" si="3595">I705</f>
        <v>22.790000000000006</v>
      </c>
      <c r="S705" s="6">
        <f t="shared" ref="S705:S710" si="3596">K705*E705</f>
        <v>4.4660000000000002</v>
      </c>
      <c r="T705" s="6">
        <f t="shared" ref="T705:T710" si="3597">I705-I704</f>
        <v>-0.5496999999999872</v>
      </c>
      <c r="U705" s="6">
        <f t="shared" ref="U705:U710" si="3598">N705-N704</f>
        <v>0.43780000000000108</v>
      </c>
      <c r="V705" s="6">
        <f t="shared" ref="V705:V710" si="3599">E705-E704</f>
        <v>0.29999999999999716</v>
      </c>
      <c r="W705" s="9">
        <f>Tabla1[[#This Row],[Protein]]/Tabla1[[#This Row],[Peso (Kg)]]</f>
        <v>0.28066502463054194</v>
      </c>
      <c r="X705" s="9">
        <f t="shared" si="3429"/>
        <v>0.27694889456564142</v>
      </c>
      <c r="Y705" s="6">
        <f t="shared" ref="Y705:Y710" si="3600">R705+N705+J705</f>
        <v>35.403200000000005</v>
      </c>
      <c r="Z705" s="6">
        <f t="shared" ref="Z705" si="3601">AVERAGE(E699:E705)</f>
        <v>81.400000000000006</v>
      </c>
      <c r="AA705" s="6">
        <f t="shared" ref="AA705" si="3602">AVERAGE(N699:N705)</f>
        <v>9.3168285714285712</v>
      </c>
      <c r="AB705" s="6">
        <f t="shared" ref="AB705" si="3603">AVERAGE(R699:R705)</f>
        <v>22.541357142857148</v>
      </c>
      <c r="AC705" s="6">
        <f t="shared" ref="AC705:AC710" si="3604">100*(AB705/AB704-1)</f>
        <v>0.26905413554763058</v>
      </c>
      <c r="AD705" s="42">
        <f>Tabla1[[#This Row],[Avg Agua)]]/Tabla1[[#This Row],[Avg Musculo]]</f>
        <v>2.0387459241584511</v>
      </c>
    </row>
    <row r="706" spans="1:31" x14ac:dyDescent="0.3">
      <c r="A706" t="s">
        <v>199</v>
      </c>
      <c r="B706">
        <v>53</v>
      </c>
      <c r="C706" t="s">
        <v>22</v>
      </c>
      <c r="D706" s="4">
        <v>46009</v>
      </c>
      <c r="E706" s="6">
        <v>81.400000000000006</v>
      </c>
      <c r="F706" s="7">
        <f t="shared" si="3589"/>
        <v>23.030783159800819</v>
      </c>
      <c r="G706" s="9">
        <v>0.112</v>
      </c>
      <c r="H706" s="6">
        <f t="shared" si="3590"/>
        <v>72.283200000000008</v>
      </c>
      <c r="I706" s="6">
        <f t="shared" si="3591"/>
        <v>22.855000000000011</v>
      </c>
      <c r="J706">
        <v>3.6</v>
      </c>
      <c r="K706" s="5">
        <v>5.5E-2</v>
      </c>
      <c r="L706" s="17">
        <v>2063</v>
      </c>
      <c r="M706" s="5">
        <v>0.56299999999999994</v>
      </c>
      <c r="N706" s="6">
        <f t="shared" si="3592"/>
        <v>9.1168000000000013</v>
      </c>
      <c r="O706" s="21">
        <f t="shared" si="3593"/>
        <v>45.828199999999995</v>
      </c>
      <c r="P706" s="8">
        <f t="shared" si="3395"/>
        <v>45.941985714285707</v>
      </c>
      <c r="Q706" s="8">
        <f t="shared" si="3594"/>
        <v>58.544999999999995</v>
      </c>
      <c r="R706" s="6">
        <f t="shared" si="3595"/>
        <v>22.855000000000011</v>
      </c>
      <c r="S706" s="6">
        <f t="shared" si="3596"/>
        <v>4.4770000000000003</v>
      </c>
      <c r="T706" s="6">
        <f t="shared" si="3597"/>
        <v>6.5000000000004832E-2</v>
      </c>
      <c r="U706" s="6">
        <f t="shared" si="3598"/>
        <v>0.10360000000000014</v>
      </c>
      <c r="V706" s="6">
        <f t="shared" si="3599"/>
        <v>0.20000000000000284</v>
      </c>
      <c r="W706" s="9">
        <f>Tabla1[[#This Row],[Protein]]/Tabla1[[#This Row],[Peso (Kg)]]</f>
        <v>0.28077395577395586</v>
      </c>
      <c r="X706" s="9">
        <f t="shared" si="3429"/>
        <v>0.27794658489666502</v>
      </c>
      <c r="Y706" s="6">
        <f t="shared" si="3600"/>
        <v>35.57180000000001</v>
      </c>
      <c r="Z706" s="6">
        <f t="shared" ref="Z706" si="3605">AVERAGE(E700:E706)</f>
        <v>81.45714285714287</v>
      </c>
      <c r="AA706" s="6">
        <f t="shared" ref="AA706" si="3606">AVERAGE(N700:N706)</f>
        <v>9.2769428571428563</v>
      </c>
      <c r="AB706" s="6">
        <f t="shared" ref="AB706" si="3607">AVERAGE(R700:R706)</f>
        <v>22.638214285714291</v>
      </c>
      <c r="AC706" s="6">
        <f t="shared" si="3604"/>
        <v>0.42968638597624675</v>
      </c>
      <c r="AD706" s="42">
        <f>Tabla1[[#This Row],[Avg Agua)]]/Tabla1[[#This Row],[Avg Musculo]]</f>
        <v>2.0293997191853212</v>
      </c>
    </row>
    <row r="707" spans="1:31" x14ac:dyDescent="0.3">
      <c r="A707" t="s">
        <v>199</v>
      </c>
      <c r="B707">
        <v>53</v>
      </c>
      <c r="C707" t="s">
        <v>20</v>
      </c>
      <c r="D707" s="4">
        <v>46010</v>
      </c>
      <c r="E707" s="6">
        <v>81.900000000000006</v>
      </c>
      <c r="F707" s="7">
        <f t="shared" si="3589"/>
        <v>23.17224988682662</v>
      </c>
      <c r="G707" s="9">
        <v>0.127</v>
      </c>
      <c r="H707" s="6">
        <f t="shared" si="3590"/>
        <v>71.498699999999999</v>
      </c>
      <c r="I707" s="6">
        <f t="shared" si="3591"/>
        <v>21.397599999999997</v>
      </c>
      <c r="J707">
        <v>3.5</v>
      </c>
      <c r="K707" s="5">
        <v>0.06</v>
      </c>
      <c r="L707" s="17">
        <v>2045</v>
      </c>
      <c r="M707" s="5">
        <v>0.56899999999999995</v>
      </c>
      <c r="N707" s="6">
        <f t="shared" si="3592"/>
        <v>10.401300000000001</v>
      </c>
      <c r="O707" s="21">
        <f t="shared" si="3593"/>
        <v>46.601100000000002</v>
      </c>
      <c r="P707" s="8">
        <f t="shared" si="3395"/>
        <v>46.030771428571434</v>
      </c>
      <c r="Q707" s="8">
        <f t="shared" si="3594"/>
        <v>60.502400000000009</v>
      </c>
      <c r="R707" s="6">
        <f t="shared" si="3595"/>
        <v>21.397599999999997</v>
      </c>
      <c r="S707" s="6">
        <f t="shared" si="3596"/>
        <v>4.9140000000000006</v>
      </c>
      <c r="T707" s="6">
        <f t="shared" si="3597"/>
        <v>-1.457400000000014</v>
      </c>
      <c r="U707" s="6">
        <f t="shared" si="3598"/>
        <v>1.2844999999999995</v>
      </c>
      <c r="V707" s="6">
        <f t="shared" si="3599"/>
        <v>0.5</v>
      </c>
      <c r="W707" s="9">
        <f>Tabla1[[#This Row],[Protein]]/Tabla1[[#This Row],[Peso (Kg)]]</f>
        <v>0.26126495726495719</v>
      </c>
      <c r="X707" s="9">
        <f t="shared" si="3429"/>
        <v>0.27533756396769349</v>
      </c>
      <c r="Y707" s="6">
        <f t="shared" si="3600"/>
        <v>35.298899999999996</v>
      </c>
      <c r="Z707" s="6">
        <f t="shared" ref="Z707" si="3608">AVERAGE(E701:E707)</f>
        <v>81.592857142857142</v>
      </c>
      <c r="AA707" s="6">
        <f t="shared" ref="AA707" si="3609">AVERAGE(N701:N707)</f>
        <v>9.5139000000000014</v>
      </c>
      <c r="AB707" s="6">
        <f t="shared" ref="AB707" si="3610">AVERAGE(R701:R707)</f>
        <v>22.46247142857143</v>
      </c>
      <c r="AC707" s="6">
        <f t="shared" si="3604"/>
        <v>-0.77631059996531304</v>
      </c>
      <c r="AD707" s="42">
        <f>Tabla1[[#This Row],[Avg Agua)]]/Tabla1[[#This Row],[Avg Musculo]]</f>
        <v>2.0492300491041249</v>
      </c>
      <c r="AE707" t="s">
        <v>207</v>
      </c>
    </row>
    <row r="708" spans="1:31" x14ac:dyDescent="0.3">
      <c r="A708" t="s">
        <v>199</v>
      </c>
      <c r="B708">
        <v>53</v>
      </c>
      <c r="C708" t="s">
        <v>121</v>
      </c>
      <c r="D708" s="4">
        <v>46011</v>
      </c>
      <c r="E708" s="6">
        <v>82.1</v>
      </c>
      <c r="F708" s="7">
        <f t="shared" si="3589"/>
        <v>23.22883657763694</v>
      </c>
      <c r="G708" s="9">
        <v>0.124</v>
      </c>
      <c r="H708" s="6">
        <f t="shared" si="3590"/>
        <v>71.919600000000003</v>
      </c>
      <c r="I708" s="6">
        <f t="shared" si="3591"/>
        <v>21.851000000000006</v>
      </c>
      <c r="J708">
        <v>3.6</v>
      </c>
      <c r="K708" s="5">
        <v>0.06</v>
      </c>
      <c r="L708" s="17">
        <v>2058</v>
      </c>
      <c r="M708" s="5">
        <v>0.56599999999999995</v>
      </c>
      <c r="N708" s="6">
        <f t="shared" si="3592"/>
        <v>10.180399999999999</v>
      </c>
      <c r="O708" s="21">
        <f t="shared" si="3593"/>
        <v>46.468599999999995</v>
      </c>
      <c r="P708" s="8">
        <f t="shared" si="3395"/>
        <v>46.011371428571422</v>
      </c>
      <c r="Q708" s="8">
        <f t="shared" si="3594"/>
        <v>60.248999999999988</v>
      </c>
      <c r="R708" s="6">
        <f t="shared" si="3595"/>
        <v>21.851000000000006</v>
      </c>
      <c r="S708" s="6">
        <f t="shared" si="3596"/>
        <v>4.9259999999999993</v>
      </c>
      <c r="T708" s="6">
        <f t="shared" si="3597"/>
        <v>0.45340000000000913</v>
      </c>
      <c r="U708" s="6">
        <f t="shared" si="3598"/>
        <v>-0.22090000000000209</v>
      </c>
      <c r="V708" s="6">
        <f t="shared" si="3599"/>
        <v>0.19999999999998863</v>
      </c>
      <c r="W708" s="9">
        <f>Tabla1[[#This Row],[Protein]]/Tabla1[[#This Row],[Peso (Kg)]]</f>
        <v>0.26615103532277717</v>
      </c>
      <c r="X708" s="9">
        <f t="shared" si="3429"/>
        <v>0.27534138123631691</v>
      </c>
      <c r="Y708" s="6">
        <f t="shared" si="3600"/>
        <v>35.631400000000006</v>
      </c>
      <c r="Z708" s="6">
        <f t="shared" ref="Z708" si="3611">AVERAGE(E702:E708)</f>
        <v>81.600000000000009</v>
      </c>
      <c r="AA708" s="6">
        <f t="shared" ref="AA708" si="3612">AVERAGE(N702:N708)</f>
        <v>9.5382285714285722</v>
      </c>
      <c r="AB708" s="6">
        <f t="shared" ref="AB708" si="3613">AVERAGE(R702:R708)</f>
        <v>22.464685714285711</v>
      </c>
      <c r="AC708" s="6">
        <f t="shared" si="3604"/>
        <v>9.857711878780151E-3</v>
      </c>
      <c r="AD708" s="42">
        <f>Tabla1[[#This Row],[Avg Agua)]]/Tabla1[[#This Row],[Avg Musculo]]</f>
        <v>2.0481644841936042</v>
      </c>
    </row>
    <row r="709" spans="1:31" x14ac:dyDescent="0.3">
      <c r="A709" t="s">
        <v>199</v>
      </c>
      <c r="B709">
        <v>53</v>
      </c>
      <c r="C709" t="s">
        <v>26</v>
      </c>
      <c r="D709" s="4">
        <v>46012</v>
      </c>
      <c r="E709" s="6">
        <v>83.15</v>
      </c>
      <c r="F709" s="7">
        <f t="shared" si="3589"/>
        <v>23.525916704391129</v>
      </c>
      <c r="G709" s="9">
        <v>0.129</v>
      </c>
      <c r="H709" s="6">
        <f t="shared" si="3590"/>
        <v>72.423650000000009</v>
      </c>
      <c r="I709" s="6">
        <f t="shared" si="3591"/>
        <v>21.760750000000009</v>
      </c>
      <c r="J709">
        <v>3.6</v>
      </c>
      <c r="K709" s="5">
        <v>0.06</v>
      </c>
      <c r="L709" s="17">
        <v>2074</v>
      </c>
      <c r="M709" s="5">
        <v>0.56599999999999995</v>
      </c>
      <c r="N709" s="6">
        <f t="shared" si="3592"/>
        <v>10.726350000000002</v>
      </c>
      <c r="O709" s="21">
        <f t="shared" si="3593"/>
        <v>47.062899999999999</v>
      </c>
      <c r="P709" s="8">
        <f t="shared" si="3395"/>
        <v>46.120107142857144</v>
      </c>
      <c r="Q709" s="8">
        <f t="shared" si="3594"/>
        <v>61.389249999999997</v>
      </c>
      <c r="R709" s="6">
        <f t="shared" si="3595"/>
        <v>21.760750000000009</v>
      </c>
      <c r="S709" s="6">
        <f t="shared" si="3596"/>
        <v>4.9889999999999999</v>
      </c>
      <c r="T709" s="6">
        <f t="shared" si="3597"/>
        <v>-9.0249999999997499E-2</v>
      </c>
      <c r="U709" s="6">
        <f t="shared" si="3598"/>
        <v>0.54595000000000304</v>
      </c>
      <c r="V709" s="6">
        <f t="shared" si="3599"/>
        <v>1.0500000000000114</v>
      </c>
      <c r="W709" s="9">
        <f>Tabla1[[#This Row],[Protein]]/Tabla1[[#This Row],[Peso (Kg)]]</f>
        <v>0.26170475045099229</v>
      </c>
      <c r="X709" s="9">
        <f t="shared" si="3429"/>
        <v>0.27400337774892708</v>
      </c>
      <c r="Y709" s="6">
        <f t="shared" si="3600"/>
        <v>36.087100000000014</v>
      </c>
      <c r="Z709" s="6">
        <f t="shared" ref="Z709:Z710" si="3614">AVERAGE(E703:E709)</f>
        <v>81.771428571428572</v>
      </c>
      <c r="AA709" s="6">
        <f t="shared" ref="AA709:AA710" si="3615">AVERAGE(N703:N709)</f>
        <v>9.6657071428571424</v>
      </c>
      <c r="AB709" s="6">
        <f t="shared" ref="AB709:AB710" si="3616">AVERAGE(R703:R709)</f>
        <v>22.399900000000002</v>
      </c>
      <c r="AC709" s="6">
        <f t="shared" si="3604"/>
        <v>-0.28838914156057438</v>
      </c>
      <c r="AD709" s="42">
        <f>Tabla1[[#This Row],[Avg Agua)]]/Tabla1[[#This Row],[Avg Musculo]]</f>
        <v>2.0589425462996327</v>
      </c>
      <c r="AE709" t="s">
        <v>208</v>
      </c>
    </row>
    <row r="710" spans="1:31" x14ac:dyDescent="0.3">
      <c r="A710" t="s">
        <v>199</v>
      </c>
      <c r="B710">
        <v>54</v>
      </c>
      <c r="C710" t="s">
        <v>21</v>
      </c>
      <c r="D710" s="4">
        <v>46013</v>
      </c>
      <c r="E710" s="6">
        <v>82.05</v>
      </c>
      <c r="F710" s="7">
        <f t="shared" si="3589"/>
        <v>23.21468990493436</v>
      </c>
      <c r="G710" s="9">
        <v>0.11700000000000001</v>
      </c>
      <c r="H710" s="6">
        <f t="shared" si="3590"/>
        <v>72.450149999999994</v>
      </c>
      <c r="I710" s="6">
        <f t="shared" si="3591"/>
        <v>22.738049999999987</v>
      </c>
      <c r="J710">
        <v>3.6</v>
      </c>
      <c r="K710" s="5">
        <v>5.5E-2</v>
      </c>
      <c r="L710" s="17">
        <v>2070</v>
      </c>
      <c r="M710" s="5">
        <v>0.56200000000000006</v>
      </c>
      <c r="N710" s="6">
        <f t="shared" si="3592"/>
        <v>9.59985</v>
      </c>
      <c r="O710" s="21">
        <f t="shared" si="3593"/>
        <v>46.112100000000005</v>
      </c>
      <c r="P710" s="8">
        <f t="shared" si="3395"/>
        <v>46.179228571428574</v>
      </c>
      <c r="Q710" s="8">
        <f t="shared" si="3594"/>
        <v>59.31195000000001</v>
      </c>
      <c r="R710" s="6">
        <f t="shared" si="3595"/>
        <v>22.738049999999987</v>
      </c>
      <c r="S710" s="6">
        <f t="shared" si="3596"/>
        <v>4.5127499999999996</v>
      </c>
      <c r="T710" s="6">
        <f t="shared" si="3597"/>
        <v>0.9772999999999783</v>
      </c>
      <c r="U710" s="6">
        <f t="shared" si="3598"/>
        <v>-1.1265000000000018</v>
      </c>
      <c r="V710" s="6">
        <f t="shared" si="3599"/>
        <v>-1.1000000000000085</v>
      </c>
      <c r="W710" s="9">
        <f>Tabla1[[#This Row],[Protein]]/Tabla1[[#This Row],[Peso (Kg)]]</f>
        <v>0.27712431444241303</v>
      </c>
      <c r="X710" s="9">
        <f t="shared" si="3429"/>
        <v>0.27374066513322987</v>
      </c>
      <c r="Y710" s="6">
        <f t="shared" si="3600"/>
        <v>35.937899999999992</v>
      </c>
      <c r="Z710" s="6">
        <f t="shared" si="3614"/>
        <v>81.814285714285703</v>
      </c>
      <c r="AA710" s="6">
        <f t="shared" si="3615"/>
        <v>9.6590428571428593</v>
      </c>
      <c r="AB710" s="6">
        <f t="shared" si="3616"/>
        <v>22.3903</v>
      </c>
      <c r="AC710" s="6">
        <f t="shared" si="3604"/>
        <v>-4.285733418454285E-2</v>
      </c>
      <c r="AD710" s="42">
        <f>Tabla1[[#This Row],[Avg Agua)]]/Tabla1[[#This Row],[Avg Musculo]]</f>
        <v>2.0624658254435437</v>
      </c>
    </row>
    <row r="711" spans="1:31" x14ac:dyDescent="0.3">
      <c r="A711" t="s">
        <v>199</v>
      </c>
      <c r="B711">
        <v>54</v>
      </c>
      <c r="C711" t="s">
        <v>23</v>
      </c>
      <c r="D711" s="4">
        <v>46014</v>
      </c>
      <c r="E711" s="6">
        <v>80.95</v>
      </c>
      <c r="F711" s="7">
        <f t="shared" ref="F711:F717" si="3617">E711/(1.88^2)</f>
        <v>22.903463105477595</v>
      </c>
      <c r="G711" s="9">
        <v>0.112</v>
      </c>
      <c r="H711" s="6">
        <f t="shared" ref="H711:H717" si="3618">E711-N711</f>
        <v>71.883600000000001</v>
      </c>
      <c r="I711" s="6">
        <f t="shared" ref="I711:I717" si="3619">E711-N711-O711-J711</f>
        <v>23.213499999999996</v>
      </c>
      <c r="J711">
        <v>3.5</v>
      </c>
      <c r="K711" s="5">
        <v>5.5E-2</v>
      </c>
      <c r="L711" s="17">
        <v>2052</v>
      </c>
      <c r="M711" s="5">
        <v>0.55800000000000005</v>
      </c>
      <c r="N711" s="6">
        <f t="shared" ref="N711:N717" si="3620">E711*G711</f>
        <v>9.0663999999999998</v>
      </c>
      <c r="O711" s="21">
        <f t="shared" ref="O711:O717" si="3621">M711*E711</f>
        <v>45.170100000000005</v>
      </c>
      <c r="P711" s="8">
        <f t="shared" si="3395"/>
        <v>46.148542857142857</v>
      </c>
      <c r="Q711" s="8">
        <f t="shared" ref="Q711:Q717" si="3622">E711-R711</f>
        <v>57.736500000000007</v>
      </c>
      <c r="R711" s="6">
        <f t="shared" ref="R711:R717" si="3623">I711</f>
        <v>23.213499999999996</v>
      </c>
      <c r="S711" s="6">
        <f t="shared" ref="S711:S717" si="3624">K711*E711</f>
        <v>4.4522500000000003</v>
      </c>
      <c r="T711" s="6">
        <f t="shared" ref="T711:T717" si="3625">I711-I710</f>
        <v>0.47545000000000925</v>
      </c>
      <c r="U711" s="6">
        <f t="shared" ref="U711:U717" si="3626">N711-N710</f>
        <v>-0.5334500000000002</v>
      </c>
      <c r="V711" s="6">
        <f t="shared" ref="V711:V717" si="3627">E711-E710</f>
        <v>-1.0999999999999943</v>
      </c>
      <c r="W711" s="9">
        <f>Tabla1[[#This Row],[Protein]]/Tabla1[[#This Row],[Peso (Kg)]]</f>
        <v>0.28676343421865341</v>
      </c>
      <c r="X711" s="9">
        <f t="shared" si="3429"/>
        <v>0.27349249601489872</v>
      </c>
      <c r="Y711" s="6">
        <f t="shared" ref="Y711:Y717" si="3628">R711+N711+J711</f>
        <v>35.779899999999998</v>
      </c>
      <c r="Z711" s="6">
        <f t="shared" ref="Z711" si="3629">AVERAGE(E705:E711)</f>
        <v>81.821428571428569</v>
      </c>
      <c r="AA711" s="6">
        <f t="shared" ref="AA711" si="3630">AVERAGE(N705:N711)</f>
        <v>9.7291857142857161</v>
      </c>
      <c r="AB711" s="6">
        <f t="shared" ref="AB711" si="3631">AVERAGE(R705:R711)</f>
        <v>22.37227142857143</v>
      </c>
      <c r="AC711" s="6">
        <f t="shared" ref="AC711:AC717" si="3632">100*(AB711/AB710-1)</f>
        <v>-8.0519561723468858E-2</v>
      </c>
      <c r="AD711" s="42">
        <f>Tabla1[[#This Row],[Avg Agua)]]/Tabla1[[#This Row],[Avg Musculo]]</f>
        <v>2.062756256309628</v>
      </c>
    </row>
    <row r="712" spans="1:31" x14ac:dyDescent="0.3">
      <c r="A712" t="s">
        <v>199</v>
      </c>
      <c r="B712">
        <v>54</v>
      </c>
      <c r="C712" t="s">
        <v>24</v>
      </c>
      <c r="D712" s="4">
        <v>46015</v>
      </c>
      <c r="E712" s="6">
        <v>81.7</v>
      </c>
      <c r="F712" s="7">
        <f t="shared" si="3617"/>
        <v>23.1156631960163</v>
      </c>
      <c r="G712" s="9">
        <v>0.121</v>
      </c>
      <c r="H712" s="6">
        <f t="shared" si="3618"/>
        <v>71.814300000000003</v>
      </c>
      <c r="I712" s="6">
        <f t="shared" si="3619"/>
        <v>22.317200000000007</v>
      </c>
      <c r="J712">
        <v>3.5</v>
      </c>
      <c r="K712" s="5">
        <v>0.06</v>
      </c>
      <c r="L712" s="17">
        <v>2052</v>
      </c>
      <c r="M712" s="5">
        <v>0.56299999999999994</v>
      </c>
      <c r="N712" s="6">
        <f t="shared" si="3620"/>
        <v>9.8856999999999999</v>
      </c>
      <c r="O712" s="21">
        <f t="shared" si="3621"/>
        <v>45.997099999999996</v>
      </c>
      <c r="P712" s="8">
        <f t="shared" si="3395"/>
        <v>46.177157142857141</v>
      </c>
      <c r="Q712" s="8">
        <f t="shared" si="3622"/>
        <v>59.382799999999996</v>
      </c>
      <c r="R712" s="6">
        <f t="shared" si="3623"/>
        <v>22.317200000000007</v>
      </c>
      <c r="S712" s="6">
        <f t="shared" si="3624"/>
        <v>4.9020000000000001</v>
      </c>
      <c r="T712" s="6">
        <f t="shared" si="3625"/>
        <v>-0.89629999999998944</v>
      </c>
      <c r="U712" s="6">
        <f t="shared" si="3626"/>
        <v>0.81930000000000014</v>
      </c>
      <c r="V712" s="6">
        <f t="shared" si="3627"/>
        <v>0.75</v>
      </c>
      <c r="W712" s="9">
        <f>Tabla1[[#This Row],[Protein]]/Tabla1[[#This Row],[Peso (Kg)]]</f>
        <v>0.27316034271725831</v>
      </c>
      <c r="X712" s="9">
        <f t="shared" si="3429"/>
        <v>0.27242039859871531</v>
      </c>
      <c r="Y712" s="6">
        <f t="shared" si="3628"/>
        <v>35.702900000000007</v>
      </c>
      <c r="Z712" s="6">
        <f t="shared" ref="Z712" si="3633">AVERAGE(E706:E712)</f>
        <v>81.892857142857139</v>
      </c>
      <c r="AA712" s="6">
        <f t="shared" ref="AA712" si="3634">AVERAGE(N706:N712)</f>
        <v>9.8538285714285738</v>
      </c>
      <c r="AB712" s="6">
        <f t="shared" ref="AB712" si="3635">AVERAGE(R706:R712)</f>
        <v>22.304728571428573</v>
      </c>
      <c r="AC712" s="6">
        <f t="shared" si="3632"/>
        <v>-0.30190433438331832</v>
      </c>
      <c r="AD712" s="42">
        <f>Tabla1[[#This Row],[Avg Agua)]]/Tabla1[[#This Row],[Avg Musculo]]</f>
        <v>2.0702855448332222</v>
      </c>
      <c r="AE712" t="s">
        <v>209</v>
      </c>
    </row>
    <row r="713" spans="1:31" x14ac:dyDescent="0.3">
      <c r="A713" t="s">
        <v>199</v>
      </c>
      <c r="B713">
        <v>54</v>
      </c>
      <c r="C713" t="s">
        <v>22</v>
      </c>
      <c r="D713" s="4">
        <v>46016</v>
      </c>
      <c r="E713" s="6">
        <v>81.55</v>
      </c>
      <c r="F713" s="7">
        <f t="shared" si="3617"/>
        <v>23.073223177908556</v>
      </c>
      <c r="G713" s="9">
        <v>0.115</v>
      </c>
      <c r="H713" s="6">
        <f t="shared" si="3618"/>
        <v>72.171750000000003</v>
      </c>
      <c r="I713" s="6">
        <f t="shared" si="3619"/>
        <v>22.414450000000009</v>
      </c>
      <c r="J713">
        <v>3.6</v>
      </c>
      <c r="K713" s="5">
        <v>5.5E-2</v>
      </c>
      <c r="L713" s="17">
        <v>2063</v>
      </c>
      <c r="M713" s="5">
        <v>0.56599999999999995</v>
      </c>
      <c r="N713" s="6">
        <f t="shared" si="3620"/>
        <v>9.3782499999999995</v>
      </c>
      <c r="O713" s="21">
        <f t="shared" si="3621"/>
        <v>46.157299999999992</v>
      </c>
      <c r="P713" s="8">
        <f t="shared" si="3395"/>
        <v>46.224171428571431</v>
      </c>
      <c r="Q713" s="8">
        <f t="shared" si="3622"/>
        <v>59.135549999999988</v>
      </c>
      <c r="R713" s="6">
        <f t="shared" si="3623"/>
        <v>22.414450000000009</v>
      </c>
      <c r="S713" s="6">
        <f t="shared" si="3624"/>
        <v>4.4852499999999997</v>
      </c>
      <c r="T713" s="6">
        <f t="shared" si="3625"/>
        <v>9.7250000000002501E-2</v>
      </c>
      <c r="U713" s="6">
        <f t="shared" si="3626"/>
        <v>-0.5074500000000004</v>
      </c>
      <c r="V713" s="6">
        <f t="shared" si="3627"/>
        <v>-0.15000000000000568</v>
      </c>
      <c r="W713" s="9">
        <f>Tabla1[[#This Row],[Protein]]/Tabla1[[#This Row],[Peso (Kg)]]</f>
        <v>0.27485530349478859</v>
      </c>
      <c r="X713" s="9">
        <f t="shared" si="3429"/>
        <v>0.27157487684454856</v>
      </c>
      <c r="Y713" s="6">
        <f t="shared" si="3628"/>
        <v>35.392700000000012</v>
      </c>
      <c r="Z713" s="6">
        <f t="shared" ref="Z713" si="3636">AVERAGE(E707:E713)</f>
        <v>81.914285714285711</v>
      </c>
      <c r="AA713" s="6">
        <f t="shared" ref="AA713" si="3637">AVERAGE(N707:N713)</f>
        <v>9.8911785714285703</v>
      </c>
      <c r="AB713" s="6">
        <f t="shared" ref="AB713" si="3638">AVERAGE(R707:R713)</f>
        <v>22.241792857142858</v>
      </c>
      <c r="AC713" s="6">
        <f t="shared" si="3632"/>
        <v>-0.28216310314724824</v>
      </c>
      <c r="AD713" s="42">
        <f>Tabla1[[#This Row],[Avg Agua)]]/Tabla1[[#This Row],[Avg Musculo]]</f>
        <v>2.0782574374946008</v>
      </c>
      <c r="AE713" t="s">
        <v>125</v>
      </c>
    </row>
    <row r="714" spans="1:31" x14ac:dyDescent="0.3">
      <c r="A714" t="s">
        <v>199</v>
      </c>
      <c r="B714">
        <v>56</v>
      </c>
      <c r="C714" t="s">
        <v>24</v>
      </c>
      <c r="D714" s="4">
        <v>46022</v>
      </c>
      <c r="E714" s="6">
        <v>83</v>
      </c>
      <c r="F714" s="7">
        <f t="shared" si="3617"/>
        <v>23.483476686283389</v>
      </c>
      <c r="G714" s="9">
        <v>0.13400000000000001</v>
      </c>
      <c r="H714" s="6">
        <f t="shared" si="3618"/>
        <v>71.878</v>
      </c>
      <c r="I714" s="6">
        <f t="shared" si="3619"/>
        <v>21.814999999999998</v>
      </c>
      <c r="J714">
        <v>3.5</v>
      </c>
      <c r="K714" s="5">
        <v>6.5000000000000002E-2</v>
      </c>
      <c r="L714" s="17">
        <v>2058</v>
      </c>
      <c r="M714" s="5">
        <v>0.56100000000000005</v>
      </c>
      <c r="N714" s="6">
        <f t="shared" si="3620"/>
        <v>11.122</v>
      </c>
      <c r="O714" s="21">
        <f t="shared" si="3621"/>
        <v>46.563000000000002</v>
      </c>
      <c r="P714" s="8">
        <f t="shared" si="3395"/>
        <v>46.218728571428564</v>
      </c>
      <c r="Q714" s="8">
        <f t="shared" si="3622"/>
        <v>61.185000000000002</v>
      </c>
      <c r="R714" s="6">
        <f t="shared" si="3623"/>
        <v>21.814999999999998</v>
      </c>
      <c r="S714" s="6">
        <f t="shared" si="3624"/>
        <v>5.3950000000000005</v>
      </c>
      <c r="T714" s="6">
        <f t="shared" si="3625"/>
        <v>-0.59945000000001158</v>
      </c>
      <c r="U714" s="6">
        <f t="shared" si="3626"/>
        <v>1.7437500000000004</v>
      </c>
      <c r="V714" s="6">
        <f t="shared" si="3627"/>
        <v>1.4500000000000028</v>
      </c>
      <c r="W714" s="9">
        <f>Tabla1[[#This Row],[Protein]]/Tabla1[[#This Row],[Peso (Kg)]]</f>
        <v>0.26283132530120479</v>
      </c>
      <c r="X714" s="9">
        <f t="shared" si="3429"/>
        <v>0.27179864370686962</v>
      </c>
      <c r="Y714" s="6">
        <f t="shared" si="3628"/>
        <v>36.436999999999998</v>
      </c>
      <c r="Z714" s="6">
        <f t="shared" ref="Z714" si="3639">AVERAGE(E708:E714)</f>
        <v>82.071428571428569</v>
      </c>
      <c r="AA714" s="6">
        <f t="shared" ref="AA714" si="3640">AVERAGE(N708:N714)</f>
        <v>9.994135714285715</v>
      </c>
      <c r="AB714" s="6">
        <f t="shared" ref="AB714" si="3641">AVERAGE(R708:R714)</f>
        <v>22.301421428571434</v>
      </c>
      <c r="AC714" s="6">
        <f t="shared" si="3632"/>
        <v>0.26809246813674914</v>
      </c>
      <c r="AD714" s="42">
        <f>Tabla1[[#This Row],[Avg Agua)]]/Tabla1[[#This Row],[Avg Musculo]]</f>
        <v>2.0724566243215112</v>
      </c>
      <c r="AE714" t="s">
        <v>210</v>
      </c>
    </row>
    <row r="715" spans="1:31" x14ac:dyDescent="0.3">
      <c r="A715" t="s">
        <v>199</v>
      </c>
      <c r="B715">
        <v>1</v>
      </c>
      <c r="C715" t="s">
        <v>20</v>
      </c>
      <c r="D715" s="4">
        <v>46024</v>
      </c>
      <c r="E715" s="6">
        <v>82.9</v>
      </c>
      <c r="F715" s="7">
        <f t="shared" si="3617"/>
        <v>23.455183340878229</v>
      </c>
      <c r="G715" s="9">
        <v>0.128</v>
      </c>
      <c r="H715" s="6">
        <f t="shared" si="3618"/>
        <v>72.288800000000009</v>
      </c>
      <c r="I715" s="6">
        <f t="shared" si="3619"/>
        <v>22.430599999999998</v>
      </c>
      <c r="J715">
        <v>3.6</v>
      </c>
      <c r="K715" s="5">
        <v>0.06</v>
      </c>
      <c r="L715" s="17">
        <v>2070</v>
      </c>
      <c r="M715" s="5">
        <v>0.55800000000000005</v>
      </c>
      <c r="N715" s="6">
        <f t="shared" si="3620"/>
        <v>10.6112</v>
      </c>
      <c r="O715" s="21">
        <f t="shared" si="3621"/>
        <v>46.258200000000009</v>
      </c>
      <c r="P715" s="8">
        <f t="shared" si="3395"/>
        <v>46.188671428571425</v>
      </c>
      <c r="Q715" s="8">
        <f t="shared" si="3622"/>
        <v>60.469400000000007</v>
      </c>
      <c r="R715" s="6">
        <f t="shared" si="3623"/>
        <v>22.430599999999998</v>
      </c>
      <c r="S715" s="6">
        <f t="shared" si="3624"/>
        <v>4.9740000000000002</v>
      </c>
      <c r="T715" s="6">
        <f t="shared" si="3625"/>
        <v>0.61560000000000059</v>
      </c>
      <c r="U715" s="6">
        <f t="shared" si="3626"/>
        <v>-0.5107999999999997</v>
      </c>
      <c r="V715" s="6">
        <f t="shared" si="3627"/>
        <v>-9.9999999999994316E-2</v>
      </c>
      <c r="W715" s="9">
        <f>Tabla1[[#This Row],[Protein]]/Tabla1[[#This Row],[Peso (Kg)]]</f>
        <v>0.27057418576598308</v>
      </c>
      <c r="X715" s="9">
        <f t="shared" si="3429"/>
        <v>0.27243052234161336</v>
      </c>
      <c r="Y715" s="6">
        <f t="shared" si="3628"/>
        <v>36.641799999999996</v>
      </c>
      <c r="Z715" s="6">
        <f t="shared" ref="Z715" si="3642">AVERAGE(E709:E715)</f>
        <v>82.185714285714283</v>
      </c>
      <c r="AA715" s="6">
        <f t="shared" ref="AA715" si="3643">AVERAGE(N709:N715)</f>
        <v>10.055678571428572</v>
      </c>
      <c r="AB715" s="6">
        <f t="shared" ref="AB715" si="3644">AVERAGE(R709:R715)</f>
        <v>22.384221428571433</v>
      </c>
      <c r="AC715" s="6">
        <f t="shared" si="3632"/>
        <v>0.37127678280595156</v>
      </c>
      <c r="AD715" s="42">
        <f>Tabla1[[#This Row],[Avg Agua)]]/Tabla1[[#This Row],[Avg Musculo]]</f>
        <v>2.0634477538546756</v>
      </c>
      <c r="AE715" t="s">
        <v>212</v>
      </c>
    </row>
    <row r="716" spans="1:31" x14ac:dyDescent="0.3">
      <c r="A716" t="s">
        <v>199</v>
      </c>
      <c r="B716">
        <v>1</v>
      </c>
      <c r="C716" t="s">
        <v>121</v>
      </c>
      <c r="D716" s="4">
        <v>46025</v>
      </c>
      <c r="E716" s="6">
        <v>82.7</v>
      </c>
      <c r="F716" s="7">
        <f t="shared" si="3617"/>
        <v>23.398596650067905</v>
      </c>
      <c r="G716" s="9">
        <v>0.126</v>
      </c>
      <c r="H716" s="6">
        <f t="shared" si="3618"/>
        <v>72.279799999999994</v>
      </c>
      <c r="I716" s="6">
        <f t="shared" si="3619"/>
        <v>22.698599999999985</v>
      </c>
      <c r="J716">
        <v>3.6</v>
      </c>
      <c r="K716" s="5">
        <v>0.06</v>
      </c>
      <c r="L716" s="17">
        <v>2070</v>
      </c>
      <c r="M716" s="5">
        <v>0.55600000000000005</v>
      </c>
      <c r="N716" s="6">
        <f t="shared" si="3620"/>
        <v>10.420200000000001</v>
      </c>
      <c r="O716" s="21">
        <f t="shared" si="3621"/>
        <v>45.981200000000008</v>
      </c>
      <c r="P716" s="8">
        <f t="shared" si="3395"/>
        <v>46.034142857142854</v>
      </c>
      <c r="Q716" s="8">
        <f t="shared" si="3622"/>
        <v>60.001400000000018</v>
      </c>
      <c r="R716" s="6">
        <f t="shared" si="3623"/>
        <v>22.698599999999985</v>
      </c>
      <c r="S716" s="6">
        <f t="shared" si="3624"/>
        <v>4.9619999999999997</v>
      </c>
      <c r="T716" s="6">
        <f t="shared" si="3625"/>
        <v>0.26799999999998647</v>
      </c>
      <c r="U716" s="6">
        <f t="shared" si="3626"/>
        <v>-0.19099999999999895</v>
      </c>
      <c r="V716" s="6">
        <f t="shared" si="3627"/>
        <v>-0.20000000000000284</v>
      </c>
      <c r="W716" s="9">
        <f>Tabla1[[#This Row],[Protein]]/Tabla1[[#This Row],[Peso (Kg)]]</f>
        <v>0.27446916565900825</v>
      </c>
      <c r="X716" s="9">
        <f t="shared" si="3429"/>
        <v>0.27425401022847279</v>
      </c>
      <c r="Y716" s="6">
        <f t="shared" si="3628"/>
        <v>36.718799999999987</v>
      </c>
      <c r="Z716" s="6">
        <f t="shared" ref="Z716" si="3645">AVERAGE(E710:E716)</f>
        <v>82.121428571428581</v>
      </c>
      <c r="AA716" s="6">
        <f t="shared" ref="AA716" si="3646">AVERAGE(N710:N716)</f>
        <v>10.011942857142856</v>
      </c>
      <c r="AB716" s="6">
        <f t="shared" ref="AB716" si="3647">AVERAGE(R710:R716)</f>
        <v>22.518199999999997</v>
      </c>
      <c r="AC716" s="6">
        <f t="shared" si="3632"/>
        <v>0.59854023449550375</v>
      </c>
      <c r="AD716" s="42">
        <f>Tabla1[[#This Row],[Avg Agua)]]/Tabla1[[#This Row],[Avg Musculo]]</f>
        <v>2.0443082865034889</v>
      </c>
      <c r="AE716" t="s">
        <v>211</v>
      </c>
    </row>
    <row r="717" spans="1:31" x14ac:dyDescent="0.3">
      <c r="A717" t="s">
        <v>199</v>
      </c>
      <c r="B717">
        <v>1</v>
      </c>
      <c r="C717" t="s">
        <v>26</v>
      </c>
      <c r="D717" s="4">
        <v>46026</v>
      </c>
      <c r="E717" s="6">
        <v>82.05</v>
      </c>
      <c r="F717" s="7">
        <f t="shared" si="3617"/>
        <v>23.21468990493436</v>
      </c>
      <c r="G717" s="9">
        <v>0.121</v>
      </c>
      <c r="H717" s="6">
        <f t="shared" si="3618"/>
        <v>72.121949999999998</v>
      </c>
      <c r="I717" s="6">
        <f t="shared" si="3619"/>
        <v>23.476499999999994</v>
      </c>
      <c r="J717">
        <v>3.6</v>
      </c>
      <c r="K717" s="5">
        <v>0.06</v>
      </c>
      <c r="L717" s="17">
        <v>2062</v>
      </c>
      <c r="M717" s="5">
        <v>0.54900000000000004</v>
      </c>
      <c r="N717" s="6">
        <f t="shared" si="3620"/>
        <v>9.9280499999999989</v>
      </c>
      <c r="O717" s="21">
        <f t="shared" si="3621"/>
        <v>45.045450000000002</v>
      </c>
      <c r="P717" s="8">
        <f t="shared" si="3395"/>
        <v>45.88176428571429</v>
      </c>
      <c r="Q717" s="8">
        <f t="shared" si="3622"/>
        <v>58.573500000000003</v>
      </c>
      <c r="R717" s="6">
        <f t="shared" si="3623"/>
        <v>23.476499999999994</v>
      </c>
      <c r="S717" s="6">
        <f t="shared" si="3624"/>
        <v>4.923</v>
      </c>
      <c r="T717" s="6">
        <f t="shared" si="3625"/>
        <v>0.77790000000000958</v>
      </c>
      <c r="U717" s="6">
        <f t="shared" si="3626"/>
        <v>-0.49215000000000231</v>
      </c>
      <c r="V717" s="6">
        <f t="shared" si="3627"/>
        <v>-0.65000000000000568</v>
      </c>
      <c r="W717" s="9">
        <f>Tabla1[[#This Row],[Protein]]/Tabla1[[#This Row],[Peso (Kg)]]</f>
        <v>0.2861243144424131</v>
      </c>
      <c r="X717" s="9">
        <f t="shared" si="3429"/>
        <v>0.27553972451418707</v>
      </c>
      <c r="Y717" s="6">
        <f t="shared" si="3628"/>
        <v>37.004549999999995</v>
      </c>
      <c r="Z717" s="6">
        <f t="shared" ref="Z717" si="3648">AVERAGE(E711:E717)</f>
        <v>82.121428571428581</v>
      </c>
      <c r="AA717" s="6">
        <f t="shared" ref="AA717" si="3649">AVERAGE(N711:N717)</f>
        <v>10.058828571428572</v>
      </c>
      <c r="AB717" s="6">
        <f t="shared" ref="AB717" si="3650">AVERAGE(R711:R717)</f>
        <v>22.623692857142853</v>
      </c>
      <c r="AC717" s="6">
        <f t="shared" si="3632"/>
        <v>0.46847819604967089</v>
      </c>
      <c r="AD717" s="42">
        <f>Tabla1[[#This Row],[Avg Agua)]]/Tabla1[[#This Row],[Avg Musculo]]</f>
        <v>2.0280404519029833</v>
      </c>
    </row>
    <row r="718" spans="1:31" x14ac:dyDescent="0.3">
      <c r="A718" t="s">
        <v>199</v>
      </c>
      <c r="B718">
        <v>2</v>
      </c>
      <c r="C718" t="s">
        <v>21</v>
      </c>
      <c r="D718" s="4">
        <v>46027</v>
      </c>
      <c r="E718" s="6">
        <v>82.55</v>
      </c>
      <c r="F718" s="7">
        <f t="shared" ref="F718:F724" si="3651">E718/(1.88^2)</f>
        <v>23.356156631960165</v>
      </c>
      <c r="G718" s="9">
        <v>0.127</v>
      </c>
      <c r="H718" s="6">
        <f t="shared" ref="H718:H724" si="3652">E718-N718</f>
        <v>72.066149999999993</v>
      </c>
      <c r="I718" s="6">
        <f t="shared" ref="I718:I724" si="3653">E718-N718-O718-J718</f>
        <v>22.48579999999999</v>
      </c>
      <c r="J718">
        <v>3.6</v>
      </c>
      <c r="K718" s="5">
        <v>0.06</v>
      </c>
      <c r="L718" s="17">
        <v>2063</v>
      </c>
      <c r="M718" s="5">
        <v>0.55700000000000005</v>
      </c>
      <c r="N718" s="6">
        <f t="shared" ref="N718:N724" si="3654">E718*G718</f>
        <v>10.48385</v>
      </c>
      <c r="O718" s="21">
        <f t="shared" ref="O718:O724" si="3655">M718*E718</f>
        <v>45.980350000000001</v>
      </c>
      <c r="P718" s="8">
        <f t="shared" si="3395"/>
        <v>45.997514285714281</v>
      </c>
      <c r="Q718" s="8">
        <f t="shared" ref="Q718:Q724" si="3656">E718-R718</f>
        <v>60.064200000000007</v>
      </c>
      <c r="R718" s="6">
        <f t="shared" ref="R718:R724" si="3657">I718</f>
        <v>22.48579999999999</v>
      </c>
      <c r="S718" s="6">
        <f t="shared" ref="S718:S724" si="3658">K718*E718</f>
        <v>4.9529999999999994</v>
      </c>
      <c r="T718" s="6">
        <f t="shared" ref="T718:T724" si="3659">I718-I717</f>
        <v>-0.99070000000000391</v>
      </c>
      <c r="U718" s="6">
        <f t="shared" ref="U718:U724" si="3660">N718-N717</f>
        <v>0.5558000000000014</v>
      </c>
      <c r="V718" s="6">
        <f t="shared" ref="V718:V724" si="3661">E718-E717</f>
        <v>0.5</v>
      </c>
      <c r="W718" s="9">
        <f>Tabla1[[#This Row],[Protein]]/Tabla1[[#This Row],[Peso (Kg)]]</f>
        <v>0.27239006662628701</v>
      </c>
      <c r="X718" s="9">
        <f t="shared" si="3429"/>
        <v>0.27348638628670613</v>
      </c>
      <c r="Y718" s="6">
        <f t="shared" ref="Y718:Y724" si="3662">R718+N718+J718</f>
        <v>36.569649999999989</v>
      </c>
      <c r="Z718" s="6">
        <f t="shared" ref="Z718" si="3663">AVERAGE(E712:E718)</f>
        <v>82.35</v>
      </c>
      <c r="AA718" s="6">
        <f t="shared" ref="AA718" si="3664">AVERAGE(N712:N718)</f>
        <v>10.26132142857143</v>
      </c>
      <c r="AB718" s="6">
        <f t="shared" ref="AB718" si="3665">AVERAGE(R712:R718)</f>
        <v>22.519735714285709</v>
      </c>
      <c r="AC718" s="6">
        <f t="shared" ref="AC718:AC724" si="3666">100*(AB718/AB717-1)</f>
        <v>-0.4595056320538915</v>
      </c>
      <c r="AD718" s="42">
        <f>Tabla1[[#This Row],[Avg Agua)]]/Tabla1[[#This Row],[Avg Musculo]]</f>
        <v>2.0425423668065124</v>
      </c>
      <c r="AE718" t="s">
        <v>215</v>
      </c>
    </row>
    <row r="719" spans="1:31" x14ac:dyDescent="0.3">
      <c r="A719" t="s">
        <v>199</v>
      </c>
      <c r="B719">
        <v>2</v>
      </c>
      <c r="C719" t="s">
        <v>24</v>
      </c>
      <c r="D719" s="4">
        <v>46029</v>
      </c>
      <c r="E719" s="6">
        <v>82.75</v>
      </c>
      <c r="F719" s="7">
        <f t="shared" si="3651"/>
        <v>23.412743322770485</v>
      </c>
      <c r="G719" s="9">
        <v>0.127</v>
      </c>
      <c r="H719" s="6">
        <f t="shared" si="3652"/>
        <v>72.240750000000006</v>
      </c>
      <c r="I719" s="6">
        <f t="shared" si="3653"/>
        <v>22.300750000000001</v>
      </c>
      <c r="J719">
        <v>3.6</v>
      </c>
      <c r="K719" s="5">
        <v>0.06</v>
      </c>
      <c r="L719" s="17">
        <v>2069</v>
      </c>
      <c r="M719" s="5">
        <v>0.56000000000000005</v>
      </c>
      <c r="N719" s="6">
        <f t="shared" si="3654"/>
        <v>10.50925</v>
      </c>
      <c r="O719" s="21">
        <f t="shared" si="3655"/>
        <v>46.34</v>
      </c>
      <c r="P719" s="8">
        <f t="shared" si="3395"/>
        <v>46.046500000000002</v>
      </c>
      <c r="Q719" s="8">
        <f t="shared" si="3656"/>
        <v>60.449249999999999</v>
      </c>
      <c r="R719" s="6">
        <f t="shared" si="3657"/>
        <v>22.300750000000001</v>
      </c>
      <c r="S719" s="6">
        <f t="shared" si="3658"/>
        <v>4.9649999999999999</v>
      </c>
      <c r="T719" s="6">
        <f t="shared" si="3659"/>
        <v>-0.18504999999998972</v>
      </c>
      <c r="U719" s="6">
        <f t="shared" si="3660"/>
        <v>2.5399999999999423E-2</v>
      </c>
      <c r="V719" s="6">
        <f t="shared" si="3661"/>
        <v>0.20000000000000284</v>
      </c>
      <c r="W719" s="9">
        <f>Tabla1[[#This Row],[Protein]]/Tabla1[[#This Row],[Peso (Kg)]]</f>
        <v>0.26949546827794563</v>
      </c>
      <c r="X719" s="9">
        <f t="shared" si="3429"/>
        <v>0.27296283279537581</v>
      </c>
      <c r="Y719" s="6">
        <f t="shared" si="3662"/>
        <v>36.410000000000004</v>
      </c>
      <c r="Z719" s="6">
        <f t="shared" ref="Z719" si="3667">AVERAGE(E713:E719)</f>
        <v>82.5</v>
      </c>
      <c r="AA719" s="6">
        <f t="shared" ref="AA719" si="3668">AVERAGE(N713:N719)</f>
        <v>10.350399999999999</v>
      </c>
      <c r="AB719" s="6">
        <f t="shared" ref="AB719" si="3669">AVERAGE(R713:R719)</f>
        <v>22.517385714285712</v>
      </c>
      <c r="AC719" s="6">
        <f t="shared" si="3666"/>
        <v>-1.0435291203292341E-2</v>
      </c>
      <c r="AD719" s="42">
        <f>Tabla1[[#This Row],[Avg Agua)]]/Tabla1[[#This Row],[Avg Musculo]]</f>
        <v>2.044930996176288</v>
      </c>
    </row>
    <row r="720" spans="1:31" x14ac:dyDescent="0.3">
      <c r="A720" t="s">
        <v>199</v>
      </c>
      <c r="B720">
        <v>2</v>
      </c>
      <c r="C720" t="s">
        <v>22</v>
      </c>
      <c r="D720" s="4">
        <v>46030</v>
      </c>
      <c r="E720" s="6">
        <v>82.25</v>
      </c>
      <c r="F720" s="7">
        <f t="shared" si="3651"/>
        <v>23.271276595744684</v>
      </c>
      <c r="G720" s="9">
        <v>0.127</v>
      </c>
      <c r="H720" s="6">
        <f t="shared" si="3652"/>
        <v>71.804249999999996</v>
      </c>
      <c r="I720" s="6">
        <f t="shared" si="3653"/>
        <v>22.737749999999991</v>
      </c>
      <c r="J720">
        <v>3.5</v>
      </c>
      <c r="K720" s="5">
        <v>0.06</v>
      </c>
      <c r="L720" s="17">
        <v>2053</v>
      </c>
      <c r="M720" s="5">
        <v>0.55400000000000005</v>
      </c>
      <c r="N720" s="6">
        <f t="shared" si="3654"/>
        <v>10.44575</v>
      </c>
      <c r="O720" s="21">
        <f t="shared" si="3655"/>
        <v>45.566500000000005</v>
      </c>
      <c r="P720" s="8">
        <f t="shared" si="3395"/>
        <v>45.9621</v>
      </c>
      <c r="Q720" s="8">
        <f t="shared" si="3656"/>
        <v>59.512250000000009</v>
      </c>
      <c r="R720" s="6">
        <f t="shared" si="3657"/>
        <v>22.737749999999991</v>
      </c>
      <c r="S720" s="6">
        <f t="shared" si="3658"/>
        <v>4.9349999999999996</v>
      </c>
      <c r="T720" s="6">
        <f t="shared" si="3659"/>
        <v>0.43699999999999051</v>
      </c>
      <c r="U720" s="6">
        <f t="shared" si="3660"/>
        <v>-6.3499999999999446E-2</v>
      </c>
      <c r="V720" s="6">
        <f t="shared" si="3661"/>
        <v>-0.5</v>
      </c>
      <c r="W720" s="9">
        <f>Tabla1[[#This Row],[Protein]]/Tabla1[[#This Row],[Peso (Kg)]]</f>
        <v>0.27644680851063819</v>
      </c>
      <c r="X720" s="9">
        <f t="shared" si="3429"/>
        <v>0.27319019065478284</v>
      </c>
      <c r="Y720" s="6">
        <f t="shared" si="3662"/>
        <v>36.683499999999995</v>
      </c>
      <c r="Z720" s="6">
        <f t="shared" ref="Z720" si="3670">AVERAGE(E714:E720)</f>
        <v>82.600000000000009</v>
      </c>
      <c r="AA720" s="6">
        <f t="shared" ref="AA720" si="3671">AVERAGE(N714:N720)</f>
        <v>10.5029</v>
      </c>
      <c r="AB720" s="6">
        <f t="shared" ref="AB720" si="3672">AVERAGE(R714:R720)</f>
        <v>22.563571428571418</v>
      </c>
      <c r="AC720" s="6">
        <f t="shared" si="3666"/>
        <v>0.20511135205365516</v>
      </c>
      <c r="AD720" s="42">
        <f>Tabla1[[#This Row],[Avg Agua)]]/Tabla1[[#This Row],[Avg Musculo]]</f>
        <v>2.0370046535186308</v>
      </c>
    </row>
    <row r="721" spans="1:31" x14ac:dyDescent="0.3">
      <c r="A721" t="s">
        <v>199</v>
      </c>
      <c r="B721">
        <v>2</v>
      </c>
      <c r="C721" t="s">
        <v>20</v>
      </c>
      <c r="D721" s="4">
        <v>46031</v>
      </c>
      <c r="E721" s="6">
        <v>81.7</v>
      </c>
      <c r="F721" s="7">
        <f t="shared" si="3651"/>
        <v>23.1156631960163</v>
      </c>
      <c r="G721" s="9">
        <v>0.125</v>
      </c>
      <c r="H721" s="6">
        <f t="shared" si="3652"/>
        <v>71.487499999999997</v>
      </c>
      <c r="I721" s="6">
        <f t="shared" si="3653"/>
        <v>22.39889999999999</v>
      </c>
      <c r="J721">
        <v>3.5</v>
      </c>
      <c r="K721" s="5">
        <v>0.06</v>
      </c>
      <c r="L721" s="17">
        <v>2046</v>
      </c>
      <c r="M721" s="5">
        <v>0.55800000000000005</v>
      </c>
      <c r="N721" s="6">
        <f t="shared" si="3654"/>
        <v>10.2125</v>
      </c>
      <c r="O721" s="21">
        <f t="shared" si="3655"/>
        <v>45.588600000000007</v>
      </c>
      <c r="P721" s="8">
        <f t="shared" si="3395"/>
        <v>45.822899999999997</v>
      </c>
      <c r="Q721" s="8">
        <f t="shared" si="3656"/>
        <v>59.301100000000012</v>
      </c>
      <c r="R721" s="6">
        <f t="shared" si="3657"/>
        <v>22.39889999999999</v>
      </c>
      <c r="S721" s="6">
        <f t="shared" si="3658"/>
        <v>4.9020000000000001</v>
      </c>
      <c r="T721" s="6">
        <f t="shared" si="3659"/>
        <v>-0.33885000000000076</v>
      </c>
      <c r="U721" s="6">
        <f t="shared" si="3660"/>
        <v>-0.23324999999999996</v>
      </c>
      <c r="V721" s="6">
        <f t="shared" si="3661"/>
        <v>-0.54999999999999716</v>
      </c>
      <c r="W721" s="9">
        <f>Tabla1[[#This Row],[Protein]]/Tabla1[[#This Row],[Peso (Kg)]]</f>
        <v>0.27416034271725814</v>
      </c>
      <c r="X721" s="9">
        <f t="shared" si="3429"/>
        <v>0.27480862171421905</v>
      </c>
      <c r="Y721" s="6">
        <f t="shared" si="3662"/>
        <v>36.111399999999989</v>
      </c>
      <c r="Z721" s="6">
        <f t="shared" ref="Z721" si="3673">AVERAGE(E715:E721)</f>
        <v>82.414285714285725</v>
      </c>
      <c r="AA721" s="6">
        <f t="shared" ref="AA721" si="3674">AVERAGE(N715:N721)</f>
        <v>10.372971428571431</v>
      </c>
      <c r="AB721" s="6">
        <f t="shared" ref="AB721" si="3675">AVERAGE(R715:R721)</f>
        <v>22.646985714285705</v>
      </c>
      <c r="AC721" s="6">
        <f t="shared" si="3666"/>
        <v>0.36968565006807452</v>
      </c>
      <c r="AD721" s="42">
        <f>Tabla1[[#This Row],[Avg Agua)]]/Tabla1[[#This Row],[Avg Musculo]]</f>
        <v>2.0233553629653653</v>
      </c>
    </row>
    <row r="722" spans="1:31" x14ac:dyDescent="0.3">
      <c r="A722" t="s">
        <v>199</v>
      </c>
      <c r="B722">
        <v>2</v>
      </c>
      <c r="C722" t="s">
        <v>121</v>
      </c>
      <c r="D722" s="4">
        <v>46032</v>
      </c>
      <c r="E722" s="6">
        <v>82.15</v>
      </c>
      <c r="F722" s="7">
        <f t="shared" si="3651"/>
        <v>23.242983250339524</v>
      </c>
      <c r="G722" s="9">
        <v>0.126</v>
      </c>
      <c r="H722" s="6">
        <f t="shared" si="3652"/>
        <v>71.79910000000001</v>
      </c>
      <c r="I722" s="6">
        <f t="shared" si="3653"/>
        <v>22.459400000000002</v>
      </c>
      <c r="J722">
        <v>3.5</v>
      </c>
      <c r="K722" s="5">
        <v>0.06</v>
      </c>
      <c r="L722" s="17">
        <v>2054</v>
      </c>
      <c r="M722" s="5">
        <v>0.55800000000000005</v>
      </c>
      <c r="N722" s="6">
        <f t="shared" si="3654"/>
        <v>10.350900000000001</v>
      </c>
      <c r="O722" s="21">
        <f t="shared" si="3655"/>
        <v>45.839700000000008</v>
      </c>
      <c r="P722" s="8">
        <f t="shared" si="3395"/>
        <v>45.763114285714281</v>
      </c>
      <c r="Q722" s="8">
        <f t="shared" si="3656"/>
        <v>59.690600000000003</v>
      </c>
      <c r="R722" s="6">
        <f t="shared" si="3657"/>
        <v>22.459400000000002</v>
      </c>
      <c r="S722" s="6">
        <f t="shared" si="3658"/>
        <v>4.9290000000000003</v>
      </c>
      <c r="T722" s="6">
        <f t="shared" si="3659"/>
        <v>6.0500000000011767E-2</v>
      </c>
      <c r="U722" s="6">
        <f t="shared" si="3660"/>
        <v>0.13840000000000074</v>
      </c>
      <c r="V722" s="6">
        <f t="shared" si="3661"/>
        <v>0.45000000000000284</v>
      </c>
      <c r="W722" s="9">
        <f>Tabla1[[#This Row],[Protein]]/Tabla1[[#This Row],[Peso (Kg)]]</f>
        <v>0.27339500912964093</v>
      </c>
      <c r="X722" s="9">
        <f t="shared" si="3429"/>
        <v>0.2752115964804559</v>
      </c>
      <c r="Y722" s="6">
        <f t="shared" si="3662"/>
        <v>36.310300000000005</v>
      </c>
      <c r="Z722" s="6">
        <f t="shared" ref="Z722:Z724" si="3676">AVERAGE(E716:E722)</f>
        <v>82.30714285714285</v>
      </c>
      <c r="AA722" s="6">
        <f t="shared" ref="AA722:AA724" si="3677">AVERAGE(N716:N722)</f>
        <v>10.335785714285715</v>
      </c>
      <c r="AB722" s="6">
        <f t="shared" ref="AB722:AB724" si="3678">AVERAGE(R716:R722)</f>
        <v>22.651099999999992</v>
      </c>
      <c r="AC722" s="6">
        <f t="shared" si="3666"/>
        <v>1.8167034528104864E-2</v>
      </c>
      <c r="AD722" s="42">
        <f>Tabla1[[#This Row],[Avg Agua)]]/Tabla1[[#This Row],[Avg Musculo]]</f>
        <v>2.0203484283639335</v>
      </c>
    </row>
    <row r="723" spans="1:31" x14ac:dyDescent="0.3">
      <c r="A723" t="s">
        <v>199</v>
      </c>
      <c r="B723">
        <v>2</v>
      </c>
      <c r="C723" t="s">
        <v>26</v>
      </c>
      <c r="D723" s="4">
        <v>46033</v>
      </c>
      <c r="E723" s="6">
        <v>82.55</v>
      </c>
      <c r="F723" s="7">
        <f t="shared" si="3651"/>
        <v>23.356156631960165</v>
      </c>
      <c r="G723" s="9">
        <v>0.13100000000000001</v>
      </c>
      <c r="H723" s="6">
        <f t="shared" si="3652"/>
        <v>71.735950000000003</v>
      </c>
      <c r="I723" s="6">
        <f t="shared" si="3653"/>
        <v>21.760300000000008</v>
      </c>
      <c r="J723">
        <v>3.5</v>
      </c>
      <c r="K723" s="5">
        <v>0.06</v>
      </c>
      <c r="L723" s="17">
        <v>2055</v>
      </c>
      <c r="M723" s="5">
        <v>0.56299999999999994</v>
      </c>
      <c r="N723" s="6">
        <f t="shared" si="3654"/>
        <v>10.81405</v>
      </c>
      <c r="O723" s="21">
        <f t="shared" si="3655"/>
        <v>46.475649999999995</v>
      </c>
      <c r="P723" s="8">
        <f t="shared" ref="P723:P792" si="3679">AVERAGE(O717:O723)</f>
        <v>45.833750000000002</v>
      </c>
      <c r="Q723" s="8">
        <f t="shared" si="3656"/>
        <v>60.789699999999989</v>
      </c>
      <c r="R723" s="6">
        <f t="shared" si="3657"/>
        <v>21.760300000000008</v>
      </c>
      <c r="S723" s="6">
        <f t="shared" si="3658"/>
        <v>4.9529999999999994</v>
      </c>
      <c r="T723" s="6">
        <f t="shared" si="3659"/>
        <v>-0.69909999999999428</v>
      </c>
      <c r="U723" s="6">
        <f t="shared" si="3660"/>
        <v>0.46314999999999884</v>
      </c>
      <c r="V723" s="6">
        <f t="shared" si="3661"/>
        <v>0.39999999999999147</v>
      </c>
      <c r="W723" s="9">
        <f>Tabla1[[#This Row],[Protein]]/Tabla1[[#This Row],[Peso (Kg)]]</f>
        <v>0.26360145366444587</v>
      </c>
      <c r="X723" s="9">
        <f t="shared" si="3429"/>
        <v>0.27365906619551839</v>
      </c>
      <c r="Y723" s="6">
        <f t="shared" si="3662"/>
        <v>36.07435000000001</v>
      </c>
      <c r="Z723" s="6">
        <f t="shared" si="3676"/>
        <v>82.285714285714292</v>
      </c>
      <c r="AA723" s="6">
        <f t="shared" si="3677"/>
        <v>10.392049999999999</v>
      </c>
      <c r="AB723" s="6">
        <f t="shared" si="3678"/>
        <v>22.517057142857137</v>
      </c>
      <c r="AC723" s="6">
        <f t="shared" si="3666"/>
        <v>-0.59177195431062701</v>
      </c>
      <c r="AD723" s="42">
        <f>Tabla1[[#This Row],[Avg Agua)]]/Tabla1[[#This Row],[Avg Musculo]]</f>
        <v>2.0355124432652332</v>
      </c>
      <c r="AE723" t="s">
        <v>217</v>
      </c>
    </row>
    <row r="724" spans="1:31" x14ac:dyDescent="0.3">
      <c r="A724" t="s">
        <v>199</v>
      </c>
      <c r="B724">
        <v>3</v>
      </c>
      <c r="C724" t="s">
        <v>21</v>
      </c>
      <c r="D724" s="4">
        <v>46034</v>
      </c>
      <c r="E724" s="6">
        <v>82.75</v>
      </c>
      <c r="F724" s="7">
        <f t="shared" si="3651"/>
        <v>23.412743322770485</v>
      </c>
      <c r="G724" s="9">
        <v>0.128</v>
      </c>
      <c r="H724" s="6">
        <f t="shared" si="3652"/>
        <v>72.158000000000001</v>
      </c>
      <c r="I724" s="6">
        <f t="shared" si="3653"/>
        <v>22.217999999999996</v>
      </c>
      <c r="J724">
        <v>3.6</v>
      </c>
      <c r="K724" s="5">
        <v>0.06</v>
      </c>
      <c r="L724" s="17">
        <v>2067</v>
      </c>
      <c r="M724" s="5">
        <v>0.56000000000000005</v>
      </c>
      <c r="N724" s="6">
        <f t="shared" si="3654"/>
        <v>10.592000000000001</v>
      </c>
      <c r="O724" s="21">
        <f t="shared" si="3655"/>
        <v>46.34</v>
      </c>
      <c r="P724" s="8">
        <f t="shared" si="3679"/>
        <v>46.018685714285716</v>
      </c>
      <c r="Q724" s="8">
        <f t="shared" si="3656"/>
        <v>60.532000000000004</v>
      </c>
      <c r="R724" s="6">
        <f t="shared" si="3657"/>
        <v>22.217999999999996</v>
      </c>
      <c r="S724" s="6">
        <f t="shared" si="3658"/>
        <v>4.9649999999999999</v>
      </c>
      <c r="T724" s="6">
        <f t="shared" si="3659"/>
        <v>0.45769999999998845</v>
      </c>
      <c r="U724" s="6">
        <f t="shared" si="3660"/>
        <v>-0.22204999999999941</v>
      </c>
      <c r="V724" s="6">
        <f t="shared" si="3661"/>
        <v>0.20000000000000284</v>
      </c>
      <c r="W724" s="9">
        <f>Tabla1[[#This Row],[Protein]]/Tabla1[[#This Row],[Peso (Kg)]]</f>
        <v>0.26849546827794557</v>
      </c>
      <c r="X724" s="9">
        <f t="shared" si="3429"/>
        <v>0.27114065960059447</v>
      </c>
      <c r="Y724" s="6">
        <f t="shared" si="3662"/>
        <v>36.409999999999997</v>
      </c>
      <c r="Z724" s="6">
        <f t="shared" si="3676"/>
        <v>82.385714285714286</v>
      </c>
      <c r="AA724" s="6">
        <f t="shared" si="3677"/>
        <v>10.486900000000002</v>
      </c>
      <c r="AB724" s="6">
        <f t="shared" si="3678"/>
        <v>22.337271428571427</v>
      </c>
      <c r="AC724" s="6">
        <f t="shared" si="3666"/>
        <v>-0.79844232372409119</v>
      </c>
      <c r="AD724" s="42">
        <f>Tabla1[[#This Row],[Avg Agua)]]/Tabla1[[#This Row],[Avg Musculo]]</f>
        <v>2.0601748902698822</v>
      </c>
    </row>
    <row r="725" spans="1:31" x14ac:dyDescent="0.3">
      <c r="A725" t="s">
        <v>199</v>
      </c>
      <c r="B725">
        <v>3</v>
      </c>
      <c r="C725" t="s">
        <v>121</v>
      </c>
      <c r="D725" s="4">
        <v>46039</v>
      </c>
      <c r="E725" s="6">
        <v>82.15</v>
      </c>
      <c r="F725" s="7">
        <f t="shared" ref="F725:F732" si="3680">E725/(1.88^2)</f>
        <v>23.242983250339524</v>
      </c>
      <c r="G725" s="9">
        <v>0.113</v>
      </c>
      <c r="H725" s="6">
        <f t="shared" ref="H725:H732" si="3681">E725-N725</f>
        <v>72.867050000000006</v>
      </c>
      <c r="I725" s="6">
        <f t="shared" ref="I725:I732" si="3682">E725-N725-O725-J725</f>
        <v>23.920249999999996</v>
      </c>
      <c r="J725">
        <v>3.6</v>
      </c>
      <c r="K725" s="5">
        <v>5.5E-2</v>
      </c>
      <c r="L725" s="17">
        <v>2083</v>
      </c>
      <c r="M725" s="5">
        <v>0.55200000000000005</v>
      </c>
      <c r="N725" s="6">
        <f t="shared" ref="N725:N732" si="3683">E725*G725</f>
        <v>9.2829500000000014</v>
      </c>
      <c r="O725" s="21">
        <f t="shared" ref="O725:O732" si="3684">M725*E725</f>
        <v>45.346800000000009</v>
      </c>
      <c r="P725" s="8">
        <f t="shared" si="3679"/>
        <v>45.928178571428582</v>
      </c>
      <c r="Q725" s="8">
        <f t="shared" ref="Q725:Q732" si="3685">E725-R725</f>
        <v>58.22975000000001</v>
      </c>
      <c r="R725" s="6">
        <f t="shared" ref="R725:R732" si="3686">I725</f>
        <v>23.920249999999996</v>
      </c>
      <c r="S725" s="6">
        <f t="shared" ref="S725:S732" si="3687">K725*E725</f>
        <v>4.5182500000000001</v>
      </c>
      <c r="T725" s="6">
        <f t="shared" ref="T725:T732" si="3688">I725-I724</f>
        <v>1.7022499999999994</v>
      </c>
      <c r="U725" s="6">
        <f t="shared" ref="U725:U732" si="3689">N725-N724</f>
        <v>-1.3090499999999992</v>
      </c>
      <c r="V725" s="6">
        <f t="shared" ref="V725:V732" si="3690">E725-E724</f>
        <v>-0.59999999999999432</v>
      </c>
      <c r="W725" s="9">
        <f>Tabla1[[#This Row],[Protein]]/Tabla1[[#This Row],[Peso (Kg)]]</f>
        <v>0.29117772367620198</v>
      </c>
      <c r="X725" s="9">
        <f t="shared" si="3429"/>
        <v>0.27382461060772512</v>
      </c>
      <c r="Y725" s="6">
        <f t="shared" ref="Y725:Y732" si="3691">R725+N725+J725</f>
        <v>36.803199999999997</v>
      </c>
      <c r="Z725" s="6">
        <f t="shared" ref="Z725" si="3692">AVERAGE(E719:E725)</f>
        <v>82.328571428571436</v>
      </c>
      <c r="AA725" s="6">
        <f t="shared" ref="AA725" si="3693">AVERAGE(N719:N725)</f>
        <v>10.315342857142857</v>
      </c>
      <c r="AB725" s="6">
        <f t="shared" ref="AB725" si="3694">AVERAGE(R719:R725)</f>
        <v>22.542192857142854</v>
      </c>
      <c r="AC725" s="6">
        <f t="shared" ref="AC725:AC732" si="3695">100*(AB725/AB724-1)</f>
        <v>0.91739686839868995</v>
      </c>
      <c r="AD725" s="42">
        <f>Tabla1[[#This Row],[Avg Agua)]]/Tabla1[[#This Row],[Avg Musculo]]</f>
        <v>2.0374317113907354</v>
      </c>
    </row>
    <row r="726" spans="1:31" x14ac:dyDescent="0.3">
      <c r="A726" t="s">
        <v>199</v>
      </c>
      <c r="B726">
        <v>3</v>
      </c>
      <c r="C726" t="s">
        <v>26</v>
      </c>
      <c r="D726" s="4">
        <v>46040</v>
      </c>
      <c r="E726" s="6">
        <v>81.849999999999994</v>
      </c>
      <c r="F726" s="7">
        <f t="shared" si="3680"/>
        <v>23.158103214124036</v>
      </c>
      <c r="G726" s="9">
        <v>0.113</v>
      </c>
      <c r="H726" s="6">
        <f t="shared" si="3681"/>
        <v>72.600949999999997</v>
      </c>
      <c r="I726" s="6">
        <f t="shared" si="3682"/>
        <v>23.656049999999993</v>
      </c>
      <c r="J726">
        <v>3.6</v>
      </c>
      <c r="K726" s="5">
        <v>5.5E-2</v>
      </c>
      <c r="L726" s="17">
        <v>2075</v>
      </c>
      <c r="M726" s="5">
        <v>0.55400000000000005</v>
      </c>
      <c r="N726" s="6">
        <f t="shared" si="3683"/>
        <v>9.2490500000000004</v>
      </c>
      <c r="O726" s="21">
        <f t="shared" si="3684"/>
        <v>45.344900000000003</v>
      </c>
      <c r="P726" s="8">
        <f t="shared" si="3679"/>
        <v>45.786021428571431</v>
      </c>
      <c r="Q726" s="8">
        <f t="shared" si="3685"/>
        <v>58.193950000000001</v>
      </c>
      <c r="R726" s="6">
        <f t="shared" si="3686"/>
        <v>23.656049999999993</v>
      </c>
      <c r="S726" s="6">
        <f t="shared" si="3687"/>
        <v>4.5017499999999995</v>
      </c>
      <c r="T726" s="6">
        <f t="shared" si="3688"/>
        <v>-0.26420000000000243</v>
      </c>
      <c r="U726" s="6">
        <f t="shared" si="3689"/>
        <v>-3.3900000000000929E-2</v>
      </c>
      <c r="V726" s="6">
        <f t="shared" si="3690"/>
        <v>-0.30000000000001137</v>
      </c>
      <c r="W726" s="9">
        <f>Tabla1[[#This Row],[Protein]]/Tabla1[[#This Row],[Peso (Kg)]]</f>
        <v>0.28901710445937684</v>
      </c>
      <c r="X726" s="9">
        <f t="shared" si="3429"/>
        <v>0.27661341577650106</v>
      </c>
      <c r="Y726" s="6">
        <f t="shared" si="3691"/>
        <v>36.505099999999992</v>
      </c>
      <c r="Z726" s="6">
        <f t="shared" ref="Z726" si="3696">AVERAGE(E720:E726)</f>
        <v>82.2</v>
      </c>
      <c r="AA726" s="6">
        <f t="shared" ref="AA726" si="3697">AVERAGE(N720:N726)</f>
        <v>10.135314285714287</v>
      </c>
      <c r="AB726" s="6">
        <f t="shared" ref="AB726" si="3698">AVERAGE(R720:R726)</f>
        <v>22.735807142857141</v>
      </c>
      <c r="AC726" s="6">
        <f t="shared" si="3695"/>
        <v>0.85889729957189243</v>
      </c>
      <c r="AD726" s="42">
        <f>Tabla1[[#This Row],[Avg Agua)]]/Tabla1[[#This Row],[Avg Musculo]]</f>
        <v>2.0138287214032746</v>
      </c>
    </row>
    <row r="727" spans="1:31" x14ac:dyDescent="0.3">
      <c r="A727" t="s">
        <v>199</v>
      </c>
      <c r="B727">
        <v>4</v>
      </c>
      <c r="C727" t="s">
        <v>21</v>
      </c>
      <c r="D727" s="4">
        <v>46041</v>
      </c>
      <c r="E727" s="6">
        <v>82.55</v>
      </c>
      <c r="F727" s="7">
        <f t="shared" si="3680"/>
        <v>23.356156631960165</v>
      </c>
      <c r="G727" s="9">
        <v>0.125</v>
      </c>
      <c r="H727" s="6">
        <f t="shared" si="3681"/>
        <v>72.231250000000003</v>
      </c>
      <c r="I727" s="6">
        <f t="shared" si="3682"/>
        <v>22.733449999999998</v>
      </c>
      <c r="J727">
        <v>3.6</v>
      </c>
      <c r="K727" s="5">
        <v>0.06</v>
      </c>
      <c r="L727" s="17">
        <v>2067</v>
      </c>
      <c r="M727" s="5">
        <v>0.55600000000000005</v>
      </c>
      <c r="N727" s="6">
        <f t="shared" si="3683"/>
        <v>10.31875</v>
      </c>
      <c r="O727" s="21">
        <f t="shared" si="3684"/>
        <v>45.897800000000004</v>
      </c>
      <c r="P727" s="8">
        <f t="shared" si="3679"/>
        <v>45.833350000000003</v>
      </c>
      <c r="Q727" s="8">
        <f t="shared" si="3685"/>
        <v>59.816549999999999</v>
      </c>
      <c r="R727" s="6">
        <f t="shared" si="3686"/>
        <v>22.733449999999998</v>
      </c>
      <c r="S727" s="6">
        <f t="shared" si="3687"/>
        <v>4.9529999999999994</v>
      </c>
      <c r="T727" s="6">
        <f t="shared" si="3688"/>
        <v>-0.92259999999999565</v>
      </c>
      <c r="U727" s="6">
        <f t="shared" si="3689"/>
        <v>1.0696999999999992</v>
      </c>
      <c r="V727" s="6">
        <f t="shared" si="3690"/>
        <v>0.70000000000000284</v>
      </c>
      <c r="W727" s="9">
        <f>Tabla1[[#This Row],[Protein]]/Tabla1[[#This Row],[Peso (Kg)]]</f>
        <v>0.27539006662628707</v>
      </c>
      <c r="X727" s="9">
        <f t="shared" si="3429"/>
        <v>0.27646245265016522</v>
      </c>
      <c r="Y727" s="6">
        <f t="shared" si="3691"/>
        <v>36.652200000000001</v>
      </c>
      <c r="Z727" s="6">
        <f t="shared" ref="Z727" si="3699">AVERAGE(E721:E727)</f>
        <v>82.242857142857147</v>
      </c>
      <c r="AA727" s="6">
        <f t="shared" ref="AA727" si="3700">AVERAGE(N721:N727)</f>
        <v>10.117171428571428</v>
      </c>
      <c r="AB727" s="6">
        <f t="shared" ref="AB727" si="3701">AVERAGE(R721:R727)</f>
        <v>22.735192857142856</v>
      </c>
      <c r="AC727" s="6">
        <f t="shared" si="3695"/>
        <v>-2.7018425623692721E-3</v>
      </c>
      <c r="AD727" s="42">
        <f>Tabla1[[#This Row],[Avg Agua)]]/Tabla1[[#This Row],[Avg Musculo]]</f>
        <v>2.0159648650440305</v>
      </c>
      <c r="AE727" t="s">
        <v>218</v>
      </c>
    </row>
    <row r="728" spans="1:31" x14ac:dyDescent="0.3">
      <c r="A728" t="s">
        <v>199</v>
      </c>
      <c r="B728">
        <v>4</v>
      </c>
      <c r="C728" t="s">
        <v>23</v>
      </c>
      <c r="D728" s="4">
        <v>46042</v>
      </c>
      <c r="E728" s="6">
        <v>82.25</v>
      </c>
      <c r="F728" s="7">
        <f t="shared" si="3680"/>
        <v>23.271276595744684</v>
      </c>
      <c r="G728" s="9">
        <v>0.11899999999999999</v>
      </c>
      <c r="H728" s="6">
        <f t="shared" si="3681"/>
        <v>72.462249999999997</v>
      </c>
      <c r="I728" s="6">
        <f t="shared" si="3682"/>
        <v>22.719999999999992</v>
      </c>
      <c r="J728">
        <v>3.6</v>
      </c>
      <c r="K728" s="5">
        <v>0.06</v>
      </c>
      <c r="L728" s="17">
        <v>2073</v>
      </c>
      <c r="M728" s="5">
        <v>0.56100000000000005</v>
      </c>
      <c r="N728" s="6">
        <f t="shared" si="3683"/>
        <v>9.7877499999999991</v>
      </c>
      <c r="O728" s="21">
        <f t="shared" si="3684"/>
        <v>46.142250000000004</v>
      </c>
      <c r="P728" s="8">
        <f t="shared" si="3679"/>
        <v>45.912442857142857</v>
      </c>
      <c r="Q728" s="8">
        <f t="shared" si="3685"/>
        <v>59.530000000000008</v>
      </c>
      <c r="R728" s="6">
        <f t="shared" si="3686"/>
        <v>22.719999999999992</v>
      </c>
      <c r="S728" s="6">
        <f t="shared" si="3687"/>
        <v>4.9349999999999996</v>
      </c>
      <c r="T728" s="6">
        <f t="shared" si="3688"/>
        <v>-1.3450000000005957E-2</v>
      </c>
      <c r="U728" s="6">
        <f t="shared" si="3689"/>
        <v>-0.53100000000000058</v>
      </c>
      <c r="V728" s="6">
        <f t="shared" si="3690"/>
        <v>-0.29999999999999716</v>
      </c>
      <c r="W728" s="9">
        <f>Tabla1[[#This Row],[Protein]]/Tabla1[[#This Row],[Peso (Kg)]]</f>
        <v>0.27623100303951359</v>
      </c>
      <c r="X728" s="9">
        <f t="shared" si="3429"/>
        <v>0.27675826126763026</v>
      </c>
      <c r="Y728" s="6">
        <f t="shared" si="3691"/>
        <v>36.107749999999989</v>
      </c>
      <c r="Z728" s="6">
        <f t="shared" ref="Z728" si="3702">AVERAGE(E722:E728)</f>
        <v>82.321428571428569</v>
      </c>
      <c r="AA728" s="6">
        <f t="shared" ref="AA728" si="3703">AVERAGE(N722:N728)</f>
        <v>10.056492857142857</v>
      </c>
      <c r="AB728" s="6">
        <f t="shared" ref="AB728" si="3704">AVERAGE(R722:R728)</f>
        <v>22.781064285714283</v>
      </c>
      <c r="AC728" s="6">
        <f t="shared" si="3695"/>
        <v>0.20176397385174294</v>
      </c>
      <c r="AD728" s="42">
        <f>Tabla1[[#This Row],[Avg Agua)]]/Tabla1[[#This Row],[Avg Musculo]]</f>
        <v>2.0153774328240655</v>
      </c>
    </row>
    <row r="729" spans="1:31" x14ac:dyDescent="0.3">
      <c r="A729" t="s">
        <v>199</v>
      </c>
      <c r="B729">
        <v>4</v>
      </c>
      <c r="C729" t="s">
        <v>22</v>
      </c>
      <c r="D729" s="4">
        <v>46044</v>
      </c>
      <c r="E729" s="6">
        <v>82.4</v>
      </c>
      <c r="F729" s="7">
        <f t="shared" si="3680"/>
        <v>23.313716613852424</v>
      </c>
      <c r="G729" s="9">
        <v>0.13800000000000001</v>
      </c>
      <c r="H729" s="6">
        <f t="shared" si="3681"/>
        <v>71.028800000000004</v>
      </c>
      <c r="I729" s="6">
        <f t="shared" si="3682"/>
        <v>20.643200000000007</v>
      </c>
      <c r="J729">
        <v>3.5</v>
      </c>
      <c r="K729" s="5">
        <v>6.5000000000000002E-2</v>
      </c>
      <c r="L729" s="17">
        <v>2035</v>
      </c>
      <c r="M729" s="5">
        <v>0.56899999999999995</v>
      </c>
      <c r="N729" s="6">
        <f t="shared" si="3683"/>
        <v>11.371200000000002</v>
      </c>
      <c r="O729" s="21">
        <f t="shared" si="3684"/>
        <v>46.885599999999997</v>
      </c>
      <c r="P729" s="8">
        <f t="shared" si="3679"/>
        <v>46.061857142857143</v>
      </c>
      <c r="Q729" s="8">
        <f t="shared" si="3685"/>
        <v>61.756799999999998</v>
      </c>
      <c r="R729" s="6">
        <f t="shared" si="3686"/>
        <v>20.643200000000007</v>
      </c>
      <c r="S729" s="6">
        <f t="shared" si="3687"/>
        <v>5.3560000000000008</v>
      </c>
      <c r="T729" s="6">
        <f t="shared" si="3688"/>
        <v>-2.0767999999999844</v>
      </c>
      <c r="U729" s="6">
        <f t="shared" si="3689"/>
        <v>1.5834500000000027</v>
      </c>
      <c r="V729" s="6">
        <f t="shared" si="3690"/>
        <v>0.15000000000000568</v>
      </c>
      <c r="W729" s="9">
        <f>Tabla1[[#This Row],[Protein]]/Tabla1[[#This Row],[Peso (Kg)]]</f>
        <v>0.25052427184466025</v>
      </c>
      <c r="X729" s="9">
        <f t="shared" si="3429"/>
        <v>0.2734910130840616</v>
      </c>
      <c r="Y729" s="6">
        <f t="shared" si="3691"/>
        <v>35.514400000000009</v>
      </c>
      <c r="Z729" s="6">
        <f t="shared" ref="Z729" si="3705">AVERAGE(E723:E729)</f>
        <v>82.357142857142861</v>
      </c>
      <c r="AA729" s="6">
        <f t="shared" ref="AA729" si="3706">AVERAGE(N723:N729)</f>
        <v>10.202250000000001</v>
      </c>
      <c r="AB729" s="6">
        <f t="shared" ref="AB729" si="3707">AVERAGE(R723:R729)</f>
        <v>22.521607142857142</v>
      </c>
      <c r="AC729" s="6">
        <f t="shared" si="3695"/>
        <v>-1.1389158100916452</v>
      </c>
      <c r="AD729" s="42">
        <f>Tabla1[[#This Row],[Avg Agua)]]/Tabla1[[#This Row],[Avg Musculo]]</f>
        <v>2.0452295811165468</v>
      </c>
      <c r="AE729" t="s">
        <v>219</v>
      </c>
    </row>
    <row r="730" spans="1:31" x14ac:dyDescent="0.3">
      <c r="A730" t="s">
        <v>199</v>
      </c>
      <c r="B730">
        <v>4</v>
      </c>
      <c r="C730" t="s">
        <v>20</v>
      </c>
      <c r="D730" s="4">
        <v>46045</v>
      </c>
      <c r="E730" s="6">
        <v>82.95</v>
      </c>
      <c r="F730" s="7">
        <f t="shared" si="3680"/>
        <v>23.469330013580809</v>
      </c>
      <c r="G730" s="9">
        <v>0.13100000000000001</v>
      </c>
      <c r="H730" s="6">
        <f t="shared" si="3681"/>
        <v>72.083550000000002</v>
      </c>
      <c r="I730" s="6">
        <f t="shared" si="3682"/>
        <v>21.533850000000001</v>
      </c>
      <c r="J730">
        <v>3.6</v>
      </c>
      <c r="K730" s="5">
        <v>0.06</v>
      </c>
      <c r="L730" s="17">
        <v>2065</v>
      </c>
      <c r="M730" s="5">
        <v>0.56599999999999995</v>
      </c>
      <c r="N730" s="6">
        <f t="shared" si="3683"/>
        <v>10.86645</v>
      </c>
      <c r="O730" s="21">
        <f t="shared" si="3684"/>
        <v>46.9497</v>
      </c>
      <c r="P730" s="8">
        <f t="shared" si="3679"/>
        <v>46.129578571428574</v>
      </c>
      <c r="Q730" s="8">
        <f t="shared" si="3685"/>
        <v>61.416150000000002</v>
      </c>
      <c r="R730" s="6">
        <f t="shared" si="3686"/>
        <v>21.533850000000001</v>
      </c>
      <c r="S730" s="6">
        <f t="shared" si="3687"/>
        <v>4.9770000000000003</v>
      </c>
      <c r="T730" s="6">
        <f t="shared" si="3688"/>
        <v>0.89064999999999372</v>
      </c>
      <c r="U730" s="6">
        <f t="shared" si="3689"/>
        <v>-0.50475000000000136</v>
      </c>
      <c r="V730" s="6">
        <f t="shared" si="3690"/>
        <v>0.54999999999999716</v>
      </c>
      <c r="W730" s="9">
        <f>Tabla1[[#This Row],[Protein]]/Tabla1[[#This Row],[Peso (Kg)]]</f>
        <v>0.2596003616636528</v>
      </c>
      <c r="X730" s="9">
        <f t="shared" si="3429"/>
        <v>0.27291942851251971</v>
      </c>
      <c r="Y730" s="6">
        <f t="shared" si="3691"/>
        <v>36.000300000000003</v>
      </c>
      <c r="Z730" s="6">
        <f t="shared" ref="Z730" si="3708">AVERAGE(E724:E730)</f>
        <v>82.414285714285725</v>
      </c>
      <c r="AA730" s="6">
        <f t="shared" ref="AA730" si="3709">AVERAGE(N724:N730)</f>
        <v>10.209735714285715</v>
      </c>
      <c r="AB730" s="6">
        <f t="shared" ref="AB730" si="3710">AVERAGE(R724:R730)</f>
        <v>22.489257142857145</v>
      </c>
      <c r="AC730" s="6">
        <f t="shared" si="3695"/>
        <v>-0.14363983793340696</v>
      </c>
      <c r="AD730" s="42">
        <f>Tabla1[[#This Row],[Avg Agua)]]/Tabla1[[#This Row],[Avg Musculo]]</f>
        <v>2.0511828504784506</v>
      </c>
    </row>
    <row r="731" spans="1:31" x14ac:dyDescent="0.3">
      <c r="A731" t="s">
        <v>199</v>
      </c>
      <c r="B731">
        <v>4</v>
      </c>
      <c r="C731" t="s">
        <v>121</v>
      </c>
      <c r="D731" s="4">
        <v>46046</v>
      </c>
      <c r="E731" s="6">
        <v>82.9</v>
      </c>
      <c r="F731" s="7">
        <f t="shared" si="3680"/>
        <v>23.455183340878229</v>
      </c>
      <c r="G731" s="9">
        <v>0.13300000000000001</v>
      </c>
      <c r="H731" s="6">
        <f t="shared" si="3681"/>
        <v>71.874300000000005</v>
      </c>
      <c r="I731" s="6">
        <f t="shared" si="3682"/>
        <v>21.867399999999996</v>
      </c>
      <c r="J731">
        <v>3.5</v>
      </c>
      <c r="K731" s="5">
        <v>6.5000000000000002E-2</v>
      </c>
      <c r="L731" s="17">
        <v>2058</v>
      </c>
      <c r="M731" s="5">
        <v>0.56100000000000005</v>
      </c>
      <c r="N731" s="6">
        <f t="shared" si="3683"/>
        <v>11.025700000000001</v>
      </c>
      <c r="O731" s="21">
        <f t="shared" si="3684"/>
        <v>46.506900000000009</v>
      </c>
      <c r="P731" s="8">
        <f t="shared" si="3679"/>
        <v>46.153421428571441</v>
      </c>
      <c r="Q731" s="8">
        <f t="shared" si="3685"/>
        <v>61.032600000000009</v>
      </c>
      <c r="R731" s="6">
        <f t="shared" si="3686"/>
        <v>21.867399999999996</v>
      </c>
      <c r="S731" s="6">
        <f t="shared" si="3687"/>
        <v>5.3885000000000005</v>
      </c>
      <c r="T731" s="6">
        <f t="shared" si="3688"/>
        <v>0.33354999999999535</v>
      </c>
      <c r="U731" s="6">
        <f t="shared" si="3689"/>
        <v>0.15925000000000011</v>
      </c>
      <c r="V731" s="6">
        <f t="shared" si="3690"/>
        <v>-4.9999999999997158E-2</v>
      </c>
      <c r="W731" s="9">
        <f>Tabla1[[#This Row],[Protein]]/Tabla1[[#This Row],[Peso (Kg)]]</f>
        <v>0.26378045838359465</v>
      </c>
      <c r="X731" s="9">
        <f t="shared" si="3429"/>
        <v>0.27224585567046961</v>
      </c>
      <c r="Y731" s="6">
        <f t="shared" si="3691"/>
        <v>36.393099999999997</v>
      </c>
      <c r="Z731" s="6">
        <f t="shared" ref="Z731" si="3711">AVERAGE(E725:E731)</f>
        <v>82.435714285714297</v>
      </c>
      <c r="AA731" s="6">
        <f t="shared" ref="AA731" si="3712">AVERAGE(N725:N731)</f>
        <v>10.271692857142858</v>
      </c>
      <c r="AB731" s="6">
        <f t="shared" ref="AB731" si="3713">AVERAGE(R725:R731)</f>
        <v>22.439171428571427</v>
      </c>
      <c r="AC731" s="6">
        <f t="shared" si="3695"/>
        <v>-0.22270950955632918</v>
      </c>
      <c r="AD731" s="42">
        <f>Tabla1[[#This Row],[Avg Agua)]]/Tabla1[[#This Row],[Avg Musculo]]</f>
        <v>2.0568237813721164</v>
      </c>
    </row>
    <row r="732" spans="1:31" x14ac:dyDescent="0.3">
      <c r="A732" t="s">
        <v>199</v>
      </c>
      <c r="B732">
        <v>4</v>
      </c>
      <c r="C732" t="s">
        <v>26</v>
      </c>
      <c r="D732" s="4">
        <v>46047</v>
      </c>
      <c r="E732" s="6">
        <v>82.45</v>
      </c>
      <c r="F732" s="7">
        <f t="shared" si="3680"/>
        <v>23.327863286555004</v>
      </c>
      <c r="G732" s="9">
        <v>0.128</v>
      </c>
      <c r="H732" s="6">
        <f t="shared" si="3681"/>
        <v>71.8964</v>
      </c>
      <c r="I732" s="6">
        <f t="shared" si="3682"/>
        <v>22.306849999999997</v>
      </c>
      <c r="J732">
        <v>3.5</v>
      </c>
      <c r="K732" s="5">
        <v>6.5000000000000002E-2</v>
      </c>
      <c r="L732" s="17">
        <v>2058</v>
      </c>
      <c r="M732" s="5">
        <v>0.55900000000000005</v>
      </c>
      <c r="N732" s="6">
        <f t="shared" si="3683"/>
        <v>10.553600000000001</v>
      </c>
      <c r="O732" s="21">
        <f t="shared" si="3684"/>
        <v>46.089550000000003</v>
      </c>
      <c r="P732" s="8">
        <f t="shared" si="3679"/>
        <v>46.259528571428582</v>
      </c>
      <c r="Q732" s="8">
        <f t="shared" si="3685"/>
        <v>60.143150000000006</v>
      </c>
      <c r="R732" s="6">
        <f t="shared" si="3686"/>
        <v>22.306849999999997</v>
      </c>
      <c r="S732" s="6">
        <f t="shared" si="3687"/>
        <v>5.3592500000000003</v>
      </c>
      <c r="T732" s="6">
        <f t="shared" si="3688"/>
        <v>0.43945000000000078</v>
      </c>
      <c r="U732" s="6">
        <f t="shared" si="3689"/>
        <v>-0.4720999999999993</v>
      </c>
      <c r="V732" s="6">
        <f t="shared" si="3690"/>
        <v>-0.45000000000000284</v>
      </c>
      <c r="W732" s="9">
        <f>Tabla1[[#This Row],[Protein]]/Tabla1[[#This Row],[Peso (Kg)]]</f>
        <v>0.27055003032140684</v>
      </c>
      <c r="X732" s="9">
        <f t="shared" si="3429"/>
        <v>0.26929904233407032</v>
      </c>
      <c r="Y732" s="6">
        <f t="shared" si="3691"/>
        <v>36.36045</v>
      </c>
      <c r="Z732" s="6">
        <f t="shared" ref="Z732" si="3714">AVERAGE(E726:E732)</f>
        <v>82.478571428571428</v>
      </c>
      <c r="AA732" s="6">
        <f t="shared" ref="AA732" si="3715">AVERAGE(N726:N732)</f>
        <v>10.453214285714285</v>
      </c>
      <c r="AB732" s="6">
        <f t="shared" ref="AB732" si="3716">AVERAGE(R726:R732)</f>
        <v>22.208685714285711</v>
      </c>
      <c r="AC732" s="6">
        <f t="shared" si="3695"/>
        <v>-1.0271578655183466</v>
      </c>
      <c r="AD732" s="42">
        <f>Tabla1[[#This Row],[Avg Agua)]]/Tabla1[[#This Row],[Avg Musculo]]</f>
        <v>2.0829475983656338</v>
      </c>
      <c r="AE732" t="s">
        <v>220</v>
      </c>
    </row>
    <row r="733" spans="1:31" x14ac:dyDescent="0.3">
      <c r="A733" t="s">
        <v>199</v>
      </c>
      <c r="B733">
        <v>5</v>
      </c>
      <c r="C733" t="s">
        <v>26</v>
      </c>
      <c r="D733" s="4">
        <v>46054</v>
      </c>
      <c r="E733" s="6">
        <v>84.2</v>
      </c>
      <c r="F733" s="7">
        <f t="shared" ref="F733:F739" si="3717">E733/(1.88^2)</f>
        <v>23.822996831145318</v>
      </c>
      <c r="G733" s="9">
        <v>0.14699999999999999</v>
      </c>
      <c r="H733" s="6">
        <f t="shared" ref="H733:H739" si="3718">E733-N733</f>
        <v>71.822600000000008</v>
      </c>
      <c r="I733" s="6">
        <f t="shared" ref="I733:I739" si="3719">E733-N733-O733-J733</f>
        <v>21.928400000000003</v>
      </c>
      <c r="J733">
        <v>3.5</v>
      </c>
      <c r="K733" s="5">
        <v>7.0000000000000007E-2</v>
      </c>
      <c r="L733" s="17">
        <v>2062</v>
      </c>
      <c r="M733" s="5">
        <v>0.55100000000000005</v>
      </c>
      <c r="N733" s="6">
        <f t="shared" ref="N733:N739" si="3720">E733*G733</f>
        <v>12.3774</v>
      </c>
      <c r="O733" s="21">
        <f t="shared" ref="O733:O739" si="3721">M733*E733</f>
        <v>46.394200000000005</v>
      </c>
      <c r="P733" s="8">
        <f t="shared" si="3679"/>
        <v>46.409428571428577</v>
      </c>
      <c r="Q733" s="8">
        <f t="shared" ref="Q733:Q739" si="3722">E733-R733</f>
        <v>62.271599999999999</v>
      </c>
      <c r="R733" s="6">
        <f t="shared" ref="R733:R739" si="3723">I733</f>
        <v>21.928400000000003</v>
      </c>
      <c r="S733" s="6">
        <f t="shared" ref="S733:S739" si="3724">K733*E733</f>
        <v>5.894000000000001</v>
      </c>
      <c r="T733" s="6">
        <f t="shared" ref="T733:T739" si="3725">I733-I732</f>
        <v>-0.37844999999999374</v>
      </c>
      <c r="U733" s="6">
        <f t="shared" ref="U733:U739" si="3726">N733-N732</f>
        <v>1.8237999999999985</v>
      </c>
      <c r="V733" s="6">
        <f t="shared" ref="V733:V739" si="3727">E733-E732</f>
        <v>1.75</v>
      </c>
      <c r="W733" s="9">
        <f>Tabla1[[#This Row],[Protein]]/Tabla1[[#This Row],[Peso (Kg)]]</f>
        <v>0.26043230403800477</v>
      </c>
      <c r="X733" s="9">
        <f t="shared" si="3429"/>
        <v>0.26521549941673145</v>
      </c>
      <c r="Y733" s="6">
        <f t="shared" ref="Y733:Y739" si="3728">R733+N733+J733</f>
        <v>37.805800000000005</v>
      </c>
      <c r="Z733" s="6">
        <f t="shared" ref="Z733" si="3729">AVERAGE(E727:E733)</f>
        <v>82.814285714285717</v>
      </c>
      <c r="AA733" s="6">
        <f t="shared" ref="AA733" si="3730">AVERAGE(N727:N733)</f>
        <v>10.900121428571428</v>
      </c>
      <c r="AB733" s="6">
        <f t="shared" ref="AB733" si="3731">AVERAGE(R727:R733)</f>
        <v>21.961878571428571</v>
      </c>
      <c r="AC733" s="6">
        <f t="shared" ref="AC733:AC739" si="3732">100*(AB733/AB732-1)</f>
        <v>-1.111309088850676</v>
      </c>
      <c r="AD733" s="42">
        <f>Tabla1[[#This Row],[Avg Agua)]]/Tabla1[[#This Row],[Avg Musculo]]</f>
        <v>2.1131811844094788</v>
      </c>
      <c r="AE733" t="s">
        <v>221</v>
      </c>
    </row>
    <row r="734" spans="1:31" x14ac:dyDescent="0.3">
      <c r="A734" t="s">
        <v>199</v>
      </c>
      <c r="B734">
        <v>5</v>
      </c>
      <c r="C734" t="s">
        <v>21</v>
      </c>
      <c r="D734" s="4">
        <v>46055</v>
      </c>
      <c r="E734" s="6">
        <v>83.9</v>
      </c>
      <c r="F734" s="7">
        <f t="shared" si="3717"/>
        <v>23.738116794929837</v>
      </c>
      <c r="G734" s="9">
        <v>0.14199999999999999</v>
      </c>
      <c r="H734" s="6">
        <f t="shared" si="3718"/>
        <v>71.986200000000011</v>
      </c>
      <c r="I734" s="6">
        <f t="shared" si="3719"/>
        <v>22.409000000000006</v>
      </c>
      <c r="J734">
        <v>3.6</v>
      </c>
      <c r="K734" s="5">
        <v>6.5000000000000002E-2</v>
      </c>
      <c r="L734" s="17">
        <v>2064</v>
      </c>
      <c r="M734" s="5">
        <v>0.54800000000000004</v>
      </c>
      <c r="N734" s="6">
        <f t="shared" si="3720"/>
        <v>11.9138</v>
      </c>
      <c r="O734" s="21">
        <f t="shared" si="3721"/>
        <v>45.977200000000003</v>
      </c>
      <c r="P734" s="8">
        <f t="shared" si="3679"/>
        <v>46.420771428571427</v>
      </c>
      <c r="Q734" s="8">
        <f t="shared" si="3722"/>
        <v>61.491</v>
      </c>
      <c r="R734" s="6">
        <f t="shared" si="3723"/>
        <v>22.409000000000006</v>
      </c>
      <c r="S734" s="6">
        <f t="shared" si="3724"/>
        <v>5.4535000000000009</v>
      </c>
      <c r="T734" s="6">
        <f t="shared" si="3725"/>
        <v>0.48060000000000258</v>
      </c>
      <c r="U734" s="6">
        <f t="shared" si="3726"/>
        <v>-0.46359999999999957</v>
      </c>
      <c r="V734" s="6">
        <f t="shared" si="3727"/>
        <v>-0.29999999999999716</v>
      </c>
      <c r="W734" s="9">
        <f>Tabla1[[#This Row],[Protein]]/Tabla1[[#This Row],[Peso (Kg)]]</f>
        <v>0.26709177592371874</v>
      </c>
      <c r="X734" s="9">
        <f t="shared" si="3429"/>
        <v>0.26403002931636449</v>
      </c>
      <c r="Y734" s="6">
        <f t="shared" si="3728"/>
        <v>37.922800000000009</v>
      </c>
      <c r="Z734" s="6">
        <f t="shared" ref="Z734" si="3733">AVERAGE(E728:E734)</f>
        <v>83.007142857142853</v>
      </c>
      <c r="AA734" s="6">
        <f t="shared" ref="AA734" si="3734">AVERAGE(N728:N734)</f>
        <v>11.127985714285714</v>
      </c>
      <c r="AB734" s="6">
        <f t="shared" ref="AB734" si="3735">AVERAGE(R728:R734)</f>
        <v>21.915528571428574</v>
      </c>
      <c r="AC734" s="6">
        <f t="shared" si="3732"/>
        <v>-0.21104751967937485</v>
      </c>
      <c r="AD734" s="42">
        <f>Tabla1[[#This Row],[Avg Agua)]]/Tabla1[[#This Row],[Avg Musculo]]</f>
        <v>2.118168004813286</v>
      </c>
    </row>
    <row r="735" spans="1:31" x14ac:dyDescent="0.3">
      <c r="A735" t="s">
        <v>199</v>
      </c>
      <c r="B735">
        <v>5</v>
      </c>
      <c r="C735" t="s">
        <v>23</v>
      </c>
      <c r="D735" s="4">
        <v>46056</v>
      </c>
      <c r="E735" s="6">
        <v>83.65</v>
      </c>
      <c r="F735" s="7">
        <f t="shared" si="3717"/>
        <v>23.667383431416933</v>
      </c>
      <c r="G735" s="9">
        <v>0.14000000000000001</v>
      </c>
      <c r="H735" s="6">
        <f t="shared" si="3718"/>
        <v>71.939000000000007</v>
      </c>
      <c r="I735" s="6">
        <f t="shared" si="3719"/>
        <v>22.498799999999996</v>
      </c>
      <c r="J735">
        <v>3.6</v>
      </c>
      <c r="K735" s="5">
        <v>6.5000000000000002E-2</v>
      </c>
      <c r="L735" s="17">
        <v>2064</v>
      </c>
      <c r="M735" s="5">
        <v>0.54800000000000004</v>
      </c>
      <c r="N735" s="6">
        <f t="shared" si="3720"/>
        <v>11.711000000000002</v>
      </c>
      <c r="O735" s="21">
        <f t="shared" si="3721"/>
        <v>45.84020000000001</v>
      </c>
      <c r="P735" s="8">
        <f t="shared" si="3679"/>
        <v>46.377621428571437</v>
      </c>
      <c r="Q735" s="8">
        <f t="shared" si="3722"/>
        <v>61.15120000000001</v>
      </c>
      <c r="R735" s="6">
        <f t="shared" si="3723"/>
        <v>22.498799999999996</v>
      </c>
      <c r="S735" s="6">
        <f t="shared" si="3724"/>
        <v>5.4372500000000006</v>
      </c>
      <c r="T735" s="6">
        <f t="shared" si="3725"/>
        <v>8.9799999999989666E-2</v>
      </c>
      <c r="U735" s="6">
        <f t="shared" si="3726"/>
        <v>-0.20279999999999809</v>
      </c>
      <c r="V735" s="6">
        <f t="shared" si="3727"/>
        <v>-0.25</v>
      </c>
      <c r="W735" s="9">
        <f>Tabla1[[#This Row],[Protein]]/Tabla1[[#This Row],[Peso (Kg)]]</f>
        <v>0.26896353855349664</v>
      </c>
      <c r="X735" s="9">
        <f t="shared" si="3429"/>
        <v>0.26299182010407635</v>
      </c>
      <c r="Y735" s="6">
        <f t="shared" si="3728"/>
        <v>37.809800000000003</v>
      </c>
      <c r="Z735" s="6">
        <f t="shared" ref="Z735" si="3736">AVERAGE(E729:E735)</f>
        <v>83.20714285714287</v>
      </c>
      <c r="AA735" s="6">
        <f t="shared" ref="AA735" si="3737">AVERAGE(N729:N735)</f>
        <v>11.402735714285715</v>
      </c>
      <c r="AB735" s="6">
        <f t="shared" ref="AB735" si="3738">AVERAGE(R729:R735)</f>
        <v>21.883928571428577</v>
      </c>
      <c r="AC735" s="6">
        <f t="shared" si="3732"/>
        <v>-0.14418999704709501</v>
      </c>
      <c r="AD735" s="42">
        <f>Tabla1[[#This Row],[Avg Agua)]]/Tabla1[[#This Row],[Avg Musculo]]</f>
        <v>2.119254834761322</v>
      </c>
    </row>
    <row r="736" spans="1:31" x14ac:dyDescent="0.3">
      <c r="A736" t="s">
        <v>199</v>
      </c>
      <c r="B736">
        <v>5</v>
      </c>
      <c r="C736" t="s">
        <v>24</v>
      </c>
      <c r="D736" s="4">
        <v>46057</v>
      </c>
      <c r="E736" s="6">
        <v>84.4</v>
      </c>
      <c r="F736" s="7">
        <f t="shared" si="3717"/>
        <v>23.879583521955638</v>
      </c>
      <c r="G736" s="9">
        <v>0.14699999999999999</v>
      </c>
      <c r="H736" s="6">
        <f t="shared" si="3718"/>
        <v>71.993200000000002</v>
      </c>
      <c r="I736" s="6">
        <f t="shared" si="3719"/>
        <v>21.719999999999992</v>
      </c>
      <c r="J736">
        <v>3.6</v>
      </c>
      <c r="K736" s="5">
        <v>7.0000000000000007E-2</v>
      </c>
      <c r="L736" s="17">
        <v>2069</v>
      </c>
      <c r="M736" s="5">
        <v>0.55300000000000005</v>
      </c>
      <c r="N736" s="6">
        <f t="shared" si="3720"/>
        <v>12.4068</v>
      </c>
      <c r="O736" s="21">
        <f t="shared" si="3721"/>
        <v>46.673200000000008</v>
      </c>
      <c r="P736" s="8">
        <f t="shared" si="3679"/>
        <v>46.347278571428582</v>
      </c>
      <c r="Q736" s="8">
        <f t="shared" si="3722"/>
        <v>62.680000000000014</v>
      </c>
      <c r="R736" s="6">
        <f t="shared" si="3723"/>
        <v>21.719999999999992</v>
      </c>
      <c r="S736" s="6">
        <f t="shared" si="3724"/>
        <v>5.9080000000000013</v>
      </c>
      <c r="T736" s="6">
        <f t="shared" si="3725"/>
        <v>-0.77880000000000393</v>
      </c>
      <c r="U736" s="6">
        <f t="shared" si="3726"/>
        <v>0.69579999999999842</v>
      </c>
      <c r="V736" s="6">
        <f t="shared" si="3727"/>
        <v>0.75</v>
      </c>
      <c r="W736" s="9">
        <f>Tabla1[[#This Row],[Protein]]/Tabla1[[#This Row],[Peso (Kg)]]</f>
        <v>0.25734597156398092</v>
      </c>
      <c r="X736" s="9">
        <f t="shared" si="3429"/>
        <v>0.26396634863540791</v>
      </c>
      <c r="Y736" s="6">
        <f t="shared" si="3728"/>
        <v>37.72679999999999</v>
      </c>
      <c r="Z736" s="6">
        <f t="shared" ref="Z736" si="3739">AVERAGE(E730:E736)</f>
        <v>83.492857142857133</v>
      </c>
      <c r="AA736" s="6">
        <f t="shared" ref="AA736" si="3740">AVERAGE(N730:N736)</f>
        <v>11.550678571428573</v>
      </c>
      <c r="AB736" s="6">
        <f t="shared" ref="AB736" si="3741">AVERAGE(R730:R736)</f>
        <v>22.037757142857146</v>
      </c>
      <c r="AC736" s="6">
        <f t="shared" si="3732"/>
        <v>0.70292941656466823</v>
      </c>
      <c r="AD736" s="42">
        <f>Tabla1[[#This Row],[Avg Agua)]]/Tabla1[[#This Row],[Avg Musculo]]</f>
        <v>2.1030850948664082</v>
      </c>
    </row>
    <row r="737" spans="1:31" x14ac:dyDescent="0.3">
      <c r="A737" t="s">
        <v>199</v>
      </c>
      <c r="B737">
        <v>5</v>
      </c>
      <c r="C737" t="s">
        <v>22</v>
      </c>
      <c r="D737" s="4">
        <v>46058</v>
      </c>
      <c r="E737" s="6">
        <v>83.55</v>
      </c>
      <c r="F737" s="7">
        <f t="shared" si="3717"/>
        <v>23.63909008601177</v>
      </c>
      <c r="G737" s="9">
        <v>0.13600000000000001</v>
      </c>
      <c r="H737" s="6">
        <f t="shared" si="3718"/>
        <v>72.18719999999999</v>
      </c>
      <c r="I737" s="6">
        <f t="shared" si="3719"/>
        <v>22.300499999999985</v>
      </c>
      <c r="J737">
        <v>3.6</v>
      </c>
      <c r="K737" s="5">
        <v>6.5000000000000002E-2</v>
      </c>
      <c r="L737" s="17">
        <v>2070</v>
      </c>
      <c r="M737" s="5">
        <v>0.55400000000000005</v>
      </c>
      <c r="N737" s="6">
        <f t="shared" si="3720"/>
        <v>11.3628</v>
      </c>
      <c r="O737" s="21">
        <f t="shared" si="3721"/>
        <v>46.286700000000003</v>
      </c>
      <c r="P737" s="8">
        <f t="shared" si="3679"/>
        <v>46.252564285714293</v>
      </c>
      <c r="Q737" s="8">
        <f t="shared" si="3722"/>
        <v>61.249500000000012</v>
      </c>
      <c r="R737" s="6">
        <f t="shared" si="3723"/>
        <v>22.300499999999985</v>
      </c>
      <c r="S737" s="6">
        <f t="shared" si="3724"/>
        <v>5.4307499999999997</v>
      </c>
      <c r="T737" s="6">
        <f t="shared" si="3725"/>
        <v>0.58049999999999358</v>
      </c>
      <c r="U737" s="6">
        <f t="shared" si="3726"/>
        <v>-1.0440000000000005</v>
      </c>
      <c r="V737" s="6">
        <f t="shared" si="3727"/>
        <v>-0.85000000000000853</v>
      </c>
      <c r="W737" s="9">
        <f>Tabla1[[#This Row],[Protein]]/Tabla1[[#This Row],[Peso (Kg)]]</f>
        <v>0.266912028725314</v>
      </c>
      <c r="X737" s="9">
        <f t="shared" si="3429"/>
        <v>0.26501087250135952</v>
      </c>
      <c r="Y737" s="6">
        <f t="shared" si="3728"/>
        <v>37.263299999999987</v>
      </c>
      <c r="Z737" s="6">
        <f t="shared" ref="Z737" si="3742">AVERAGE(E731:E737)</f>
        <v>83.578571428571422</v>
      </c>
      <c r="AA737" s="6">
        <f t="shared" ref="AA737" si="3743">AVERAGE(N731:N737)</f>
        <v>11.621585714285715</v>
      </c>
      <c r="AB737" s="6">
        <f t="shared" ref="AB737" si="3744">AVERAGE(R731:R737)</f>
        <v>22.147278571428565</v>
      </c>
      <c r="AC737" s="6">
        <f t="shared" si="3732"/>
        <v>0.49697175561678186</v>
      </c>
      <c r="AD737" s="42">
        <f>Tabla1[[#This Row],[Avg Agua)]]/Tabla1[[#This Row],[Avg Musculo]]</f>
        <v>2.0884084758559509</v>
      </c>
    </row>
    <row r="738" spans="1:31" x14ac:dyDescent="0.3">
      <c r="A738" t="s">
        <v>199</v>
      </c>
      <c r="B738">
        <v>5</v>
      </c>
      <c r="C738" t="s">
        <v>20</v>
      </c>
      <c r="D738" s="4">
        <v>46059</v>
      </c>
      <c r="E738" s="6">
        <v>83.35</v>
      </c>
      <c r="F738" s="7">
        <f t="shared" si="3717"/>
        <v>23.582503395201449</v>
      </c>
      <c r="G738" s="9">
        <v>0.13200000000000001</v>
      </c>
      <c r="H738" s="6">
        <f t="shared" si="3718"/>
        <v>72.347799999999992</v>
      </c>
      <c r="I738" s="6">
        <f t="shared" si="3719"/>
        <v>22.821949999999987</v>
      </c>
      <c r="J738">
        <v>3.6</v>
      </c>
      <c r="K738" s="5">
        <v>6.5000000000000002E-2</v>
      </c>
      <c r="L738" s="17">
        <v>2073</v>
      </c>
      <c r="M738" s="5">
        <v>0.55100000000000005</v>
      </c>
      <c r="N738" s="6">
        <f t="shared" si="3720"/>
        <v>11.0022</v>
      </c>
      <c r="O738" s="21">
        <f t="shared" si="3721"/>
        <v>45.925850000000004</v>
      </c>
      <c r="P738" s="8">
        <f t="shared" si="3679"/>
        <v>46.169557142857158</v>
      </c>
      <c r="Q738" s="8">
        <f t="shared" si="3722"/>
        <v>60.528050000000007</v>
      </c>
      <c r="R738" s="6">
        <f t="shared" si="3723"/>
        <v>22.821949999999987</v>
      </c>
      <c r="S738" s="6">
        <f t="shared" si="3724"/>
        <v>5.4177499999999998</v>
      </c>
      <c r="T738" s="6">
        <f t="shared" si="3725"/>
        <v>0.52145000000000152</v>
      </c>
      <c r="U738" s="6">
        <f t="shared" si="3726"/>
        <v>-0.36059999999999981</v>
      </c>
      <c r="V738" s="6">
        <f t="shared" si="3727"/>
        <v>-0.20000000000000284</v>
      </c>
      <c r="W738" s="9">
        <f>Tabla1[[#This Row],[Protein]]/Tabla1[[#This Row],[Peso (Kg)]]</f>
        <v>0.27380863827234542</v>
      </c>
      <c r="X738" s="9">
        <f t="shared" si="3429"/>
        <v>0.26644346962832394</v>
      </c>
      <c r="Y738" s="6">
        <f t="shared" si="3728"/>
        <v>37.42414999999999</v>
      </c>
      <c r="Z738" s="6">
        <f t="shared" ref="Z738" si="3745">AVERAGE(E732:E738)</f>
        <v>83.642857142857139</v>
      </c>
      <c r="AA738" s="6">
        <f t="shared" ref="AA738" si="3746">AVERAGE(N732:N738)</f>
        <v>11.618228571428572</v>
      </c>
      <c r="AB738" s="6">
        <f t="shared" ref="AB738" si="3747">AVERAGE(R732:R738)</f>
        <v>22.283642857142855</v>
      </c>
      <c r="AC738" s="6">
        <f t="shared" si="3732"/>
        <v>0.61571576514238835</v>
      </c>
      <c r="AD738" s="42">
        <f>Tabla1[[#This Row],[Avg Agua)]]/Tabla1[[#This Row],[Avg Musculo]]</f>
        <v>2.0719034782079113</v>
      </c>
    </row>
    <row r="739" spans="1:31" x14ac:dyDescent="0.3">
      <c r="A739" t="s">
        <v>199</v>
      </c>
      <c r="B739">
        <v>5</v>
      </c>
      <c r="C739" t="s">
        <v>121</v>
      </c>
      <c r="D739" s="4">
        <v>46060</v>
      </c>
      <c r="E739" s="6">
        <v>82.65</v>
      </c>
      <c r="F739" s="7">
        <f t="shared" si="3717"/>
        <v>23.384449977365328</v>
      </c>
      <c r="G739" s="9">
        <v>0.129</v>
      </c>
      <c r="H739" s="6">
        <f t="shared" si="3718"/>
        <v>71.988150000000005</v>
      </c>
      <c r="I739" s="6">
        <f t="shared" si="3719"/>
        <v>22.847999999999999</v>
      </c>
      <c r="J739">
        <v>3.6</v>
      </c>
      <c r="K739" s="5">
        <v>0.06</v>
      </c>
      <c r="L739" s="17">
        <v>2062</v>
      </c>
      <c r="M739" s="5">
        <v>0.55100000000000005</v>
      </c>
      <c r="N739" s="6">
        <f t="shared" si="3720"/>
        <v>10.661850000000001</v>
      </c>
      <c r="O739" s="21">
        <f t="shared" si="3721"/>
        <v>45.540150000000004</v>
      </c>
      <c r="P739" s="8">
        <f t="shared" si="3679"/>
        <v>46.091071428571432</v>
      </c>
      <c r="Q739" s="8">
        <f t="shared" si="3722"/>
        <v>59.802000000000007</v>
      </c>
      <c r="R739" s="6">
        <f t="shared" si="3723"/>
        <v>22.847999999999999</v>
      </c>
      <c r="S739" s="6">
        <f t="shared" si="3724"/>
        <v>4.9590000000000005</v>
      </c>
      <c r="T739" s="6">
        <f t="shared" si="3725"/>
        <v>2.6050000000012119E-2</v>
      </c>
      <c r="U739" s="6">
        <f t="shared" si="3726"/>
        <v>-0.34034999999999904</v>
      </c>
      <c r="V739" s="6">
        <f t="shared" si="3727"/>
        <v>-0.69999999999998863</v>
      </c>
      <c r="W739" s="9">
        <f>Tabla1[[#This Row],[Protein]]/Tabla1[[#This Row],[Peso (Kg)]]</f>
        <v>0.27644283121597091</v>
      </c>
      <c r="X739" s="9">
        <f t="shared" si="3429"/>
        <v>0.26728529832754733</v>
      </c>
      <c r="Y739" s="6">
        <f t="shared" si="3728"/>
        <v>37.109850000000002</v>
      </c>
      <c r="Z739" s="6">
        <f t="shared" ref="Z739" si="3748">AVERAGE(E733:E739)</f>
        <v>83.671428571428578</v>
      </c>
      <c r="AA739" s="6">
        <f t="shared" ref="AA739" si="3749">AVERAGE(N733:N739)</f>
        <v>11.633692857142858</v>
      </c>
      <c r="AB739" s="6">
        <f t="shared" ref="AB739" si="3750">AVERAGE(R733:R739)</f>
        <v>22.360949999999995</v>
      </c>
      <c r="AC739" s="6">
        <f t="shared" si="3732"/>
        <v>0.34692327171435</v>
      </c>
      <c r="AD739" s="42">
        <f>Tabla1[[#This Row],[Avg Agua)]]/Tabla1[[#This Row],[Avg Musculo]]</f>
        <v>2.0612304677829627</v>
      </c>
    </row>
    <row r="740" spans="1:31" x14ac:dyDescent="0.3">
      <c r="A740" t="s">
        <v>199</v>
      </c>
      <c r="B740">
        <v>5</v>
      </c>
      <c r="C740" t="s">
        <v>26</v>
      </c>
      <c r="D740" s="4">
        <v>46061</v>
      </c>
      <c r="E740" s="6">
        <v>82.9</v>
      </c>
      <c r="F740" s="7">
        <f t="shared" ref="F740:F745" si="3751">E740/(1.88^2)</f>
        <v>23.455183340878229</v>
      </c>
      <c r="G740" s="9">
        <v>0.129</v>
      </c>
      <c r="H740" s="6">
        <f t="shared" ref="H740:H745" si="3752">E740-N740</f>
        <v>72.2059</v>
      </c>
      <c r="I740" s="6">
        <f t="shared" ref="I740:I745" si="3753">E740-N740-O740-J740</f>
        <v>23.093799999999995</v>
      </c>
      <c r="J740">
        <v>3.6</v>
      </c>
      <c r="K740" s="5">
        <v>0.06</v>
      </c>
      <c r="L740" s="17">
        <v>2068</v>
      </c>
      <c r="M740" s="5">
        <v>0.54900000000000004</v>
      </c>
      <c r="N740" s="6">
        <f t="shared" ref="N740:N745" si="3754">E740*G740</f>
        <v>10.694100000000001</v>
      </c>
      <c r="O740" s="21">
        <f t="shared" ref="O740:O745" si="3755">M740*E740</f>
        <v>45.512100000000004</v>
      </c>
      <c r="P740" s="8">
        <f t="shared" si="3679"/>
        <v>45.965057142857141</v>
      </c>
      <c r="Q740" s="8">
        <f t="shared" ref="Q740:Q745" si="3756">E740-R740</f>
        <v>59.806200000000011</v>
      </c>
      <c r="R740" s="6">
        <f t="shared" ref="R740:R745" si="3757">I740</f>
        <v>23.093799999999995</v>
      </c>
      <c r="S740" s="6">
        <f t="shared" ref="S740:S745" si="3758">K740*E740</f>
        <v>4.9740000000000002</v>
      </c>
      <c r="T740" s="6">
        <f t="shared" ref="T740:T745" si="3759">I740-I739</f>
        <v>0.24579999999999558</v>
      </c>
      <c r="U740" s="6">
        <f t="shared" ref="U740:U745" si="3760">N740-N739</f>
        <v>3.2249999999999446E-2</v>
      </c>
      <c r="V740" s="6">
        <f t="shared" ref="V740:V745" si="3761">E740-E739</f>
        <v>0.25</v>
      </c>
      <c r="W740" s="9">
        <f>Tabla1[[#This Row],[Protein]]/Tabla1[[#This Row],[Peso (Kg)]]</f>
        <v>0.27857418576598303</v>
      </c>
      <c r="X740" s="9">
        <f t="shared" si="3429"/>
        <v>0.26987699571725848</v>
      </c>
      <c r="Y740" s="6">
        <f t="shared" ref="Y740:Y745" si="3762">R740+N740+J740</f>
        <v>37.387899999999995</v>
      </c>
      <c r="Z740" s="6">
        <f t="shared" ref="Z740" si="3763">AVERAGE(E734:E740)</f>
        <v>83.48571428571428</v>
      </c>
      <c r="AA740" s="6">
        <f t="shared" ref="AA740" si="3764">AVERAGE(N734:N740)</f>
        <v>11.393221428571428</v>
      </c>
      <c r="AB740" s="6">
        <f t="shared" ref="AB740" si="3765">AVERAGE(R734:R740)</f>
        <v>22.527435714285705</v>
      </c>
      <c r="AC740" s="6">
        <f t="shared" ref="AC740:AC745" si="3766">100*(AB740/AB739-1)</f>
        <v>0.74453775123914934</v>
      </c>
      <c r="AD740" s="42">
        <f>Tabla1[[#This Row],[Avg Agua)]]/Tabla1[[#This Row],[Avg Musculo]]</f>
        <v>2.0404034318787798</v>
      </c>
    </row>
    <row r="741" spans="1:31" x14ac:dyDescent="0.3">
      <c r="A741" t="s">
        <v>223</v>
      </c>
      <c r="B741">
        <v>6</v>
      </c>
      <c r="C741" t="s">
        <v>21</v>
      </c>
      <c r="D741" s="4">
        <v>46062</v>
      </c>
      <c r="E741" s="6">
        <v>83.25</v>
      </c>
      <c r="F741" s="7">
        <f t="shared" si="3751"/>
        <v>23.554210049796289</v>
      </c>
      <c r="G741" s="9">
        <v>0.13900000000000001</v>
      </c>
      <c r="H741" s="6">
        <f t="shared" si="3752"/>
        <v>71.678249999999991</v>
      </c>
      <c r="I741" s="6">
        <f t="shared" si="3753"/>
        <v>22.057749999999984</v>
      </c>
      <c r="J741">
        <v>3.5</v>
      </c>
      <c r="K741" s="5">
        <v>6.5000000000000002E-2</v>
      </c>
      <c r="L741" s="17">
        <v>2056</v>
      </c>
      <c r="M741" s="5">
        <v>0.55400000000000005</v>
      </c>
      <c r="N741" s="6">
        <f t="shared" si="3754"/>
        <v>11.571750000000002</v>
      </c>
      <c r="O741" s="21">
        <f t="shared" si="3755"/>
        <v>46.120500000000007</v>
      </c>
      <c r="P741" s="8">
        <f t="shared" si="3679"/>
        <v>45.985528571428574</v>
      </c>
      <c r="Q741" s="8">
        <f t="shared" si="3756"/>
        <v>61.192250000000016</v>
      </c>
      <c r="R741" s="6">
        <f t="shared" si="3757"/>
        <v>22.057749999999984</v>
      </c>
      <c r="S741" s="6">
        <f t="shared" si="3758"/>
        <v>5.4112499999999999</v>
      </c>
      <c r="T741" s="6">
        <f t="shared" si="3759"/>
        <v>-1.0360500000000101</v>
      </c>
      <c r="U741" s="6">
        <f t="shared" si="3760"/>
        <v>0.87765000000000093</v>
      </c>
      <c r="V741" s="6">
        <f t="shared" si="3761"/>
        <v>0.34999999999999432</v>
      </c>
      <c r="W741" s="9">
        <f>Tabla1[[#This Row],[Protein]]/Tabla1[[#This Row],[Peso (Kg)]]</f>
        <v>0.26495795795795779</v>
      </c>
      <c r="X741" s="9">
        <f t="shared" si="3429"/>
        <v>0.26957216457929262</v>
      </c>
      <c r="Y741" s="6">
        <f t="shared" si="3762"/>
        <v>37.129499999999986</v>
      </c>
      <c r="Z741" s="6">
        <f t="shared" ref="Z741:Z742" si="3767">AVERAGE(E735:E741)</f>
        <v>83.392857142857139</v>
      </c>
      <c r="AA741" s="6">
        <f t="shared" ref="AA741:AA742" si="3768">AVERAGE(N735:N741)</f>
        <v>11.344357142857145</v>
      </c>
      <c r="AB741" s="6">
        <f t="shared" ref="AB741:AB742" si="3769">AVERAGE(R735:R741)</f>
        <v>22.477257142857134</v>
      </c>
      <c r="AC741" s="6">
        <f t="shared" si="3766"/>
        <v>-0.22274426643574818</v>
      </c>
      <c r="AD741" s="42">
        <f>Tabla1[[#This Row],[Avg Agua)]]/Tabla1[[#This Row],[Avg Musculo]]</f>
        <v>2.0458692214606775</v>
      </c>
    </row>
    <row r="742" spans="1:31" x14ac:dyDescent="0.3">
      <c r="A742" t="s">
        <v>223</v>
      </c>
      <c r="B742">
        <v>6</v>
      </c>
      <c r="C742" t="s">
        <v>23</v>
      </c>
      <c r="D742" s="4">
        <v>46063</v>
      </c>
      <c r="E742" s="6">
        <v>83.7</v>
      </c>
      <c r="F742" s="7">
        <f t="shared" si="3751"/>
        <v>23.681530104119513</v>
      </c>
      <c r="G742" s="9">
        <v>0.14000000000000001</v>
      </c>
      <c r="H742" s="6">
        <f t="shared" si="3752"/>
        <v>71.981999999999999</v>
      </c>
      <c r="I742" s="6">
        <f t="shared" si="3753"/>
        <v>21.844799999999992</v>
      </c>
      <c r="J742">
        <v>3.6</v>
      </c>
      <c r="K742" s="5">
        <v>6.5000000000000002E-2</v>
      </c>
      <c r="L742" s="17">
        <v>2064</v>
      </c>
      <c r="M742" s="5">
        <v>0.55600000000000005</v>
      </c>
      <c r="N742" s="6">
        <f t="shared" si="3754"/>
        <v>11.718000000000002</v>
      </c>
      <c r="O742" s="21">
        <f t="shared" si="3755"/>
        <v>46.537200000000006</v>
      </c>
      <c r="P742" s="8">
        <f t="shared" si="3679"/>
        <v>46.085100000000004</v>
      </c>
      <c r="Q742" s="8">
        <f t="shared" si="3756"/>
        <v>61.855200000000011</v>
      </c>
      <c r="R742" s="6">
        <f t="shared" si="3757"/>
        <v>21.844799999999992</v>
      </c>
      <c r="S742" s="6">
        <f t="shared" si="3758"/>
        <v>5.4405000000000001</v>
      </c>
      <c r="T742" s="6">
        <f t="shared" si="3759"/>
        <v>-0.2129499999999922</v>
      </c>
      <c r="U742" s="6">
        <f t="shared" si="3760"/>
        <v>0.14625000000000021</v>
      </c>
      <c r="V742" s="6">
        <f t="shared" si="3761"/>
        <v>0.45000000000000284</v>
      </c>
      <c r="W742" s="9">
        <f>Tabla1[[#This Row],[Protein]]/Tabla1[[#This Row],[Peso (Kg)]]</f>
        <v>0.26098924731182788</v>
      </c>
      <c r="X742" s="9">
        <f t="shared" ref="X742:X798" si="3770">AVERAGE(W736:W742)</f>
        <v>0.26843298011619715</v>
      </c>
      <c r="Y742" s="6">
        <f t="shared" si="3762"/>
        <v>37.162799999999997</v>
      </c>
      <c r="Z742" s="6">
        <f t="shared" si="3767"/>
        <v>83.4</v>
      </c>
      <c r="AA742" s="6">
        <f t="shared" si="3768"/>
        <v>11.345357142857143</v>
      </c>
      <c r="AB742" s="6">
        <f t="shared" si="3769"/>
        <v>22.383828571428559</v>
      </c>
      <c r="AC742" s="6">
        <f t="shared" si="3766"/>
        <v>-0.41565823994794693</v>
      </c>
      <c r="AD742" s="42">
        <f>Tabla1[[#This Row],[Avg Agua)]]/Tabla1[[#This Row],[Avg Musculo]]</f>
        <v>2.0588569043467619</v>
      </c>
    </row>
    <row r="743" spans="1:31" x14ac:dyDescent="0.3">
      <c r="A743" t="s">
        <v>223</v>
      </c>
      <c r="B743">
        <v>6</v>
      </c>
      <c r="C743" t="s">
        <v>205</v>
      </c>
      <c r="D743" s="4">
        <v>46066</v>
      </c>
      <c r="E743" s="6">
        <v>84.05</v>
      </c>
      <c r="F743" s="7">
        <f t="shared" si="3751"/>
        <v>23.780556813037574</v>
      </c>
      <c r="G743" s="9">
        <v>0.14099999999999999</v>
      </c>
      <c r="H743" s="6">
        <f t="shared" si="3752"/>
        <v>72.198949999999996</v>
      </c>
      <c r="I743" s="6">
        <f t="shared" si="3753"/>
        <v>21.699049999999993</v>
      </c>
      <c r="J743">
        <v>3.6</v>
      </c>
      <c r="K743" s="5">
        <v>6.5000000000000002E-2</v>
      </c>
      <c r="L743" s="17">
        <v>2073</v>
      </c>
      <c r="M743" s="5">
        <v>0.55800000000000005</v>
      </c>
      <c r="N743" s="6">
        <f t="shared" si="3754"/>
        <v>11.851049999999999</v>
      </c>
      <c r="O743" s="21">
        <f t="shared" si="3755"/>
        <v>46.899900000000002</v>
      </c>
      <c r="P743" s="8">
        <f t="shared" si="3679"/>
        <v>46.117485714285714</v>
      </c>
      <c r="Q743" s="8">
        <f t="shared" si="3756"/>
        <v>62.350950000000005</v>
      </c>
      <c r="R743" s="6">
        <f t="shared" si="3757"/>
        <v>21.699049999999993</v>
      </c>
      <c r="S743" s="6">
        <f t="shared" si="3758"/>
        <v>5.4632500000000004</v>
      </c>
      <c r="T743" s="6">
        <f t="shared" si="3759"/>
        <v>-0.1457499999999996</v>
      </c>
      <c r="U743" s="6">
        <f t="shared" si="3760"/>
        <v>0.13304999999999723</v>
      </c>
      <c r="V743" s="6">
        <f t="shared" si="3761"/>
        <v>0.34999999999999432</v>
      </c>
      <c r="W743" s="9">
        <f>Tabla1[[#This Row],[Protein]]/Tabla1[[#This Row],[Peso (Kg)]]</f>
        <v>0.2581683521713265</v>
      </c>
      <c r="X743" s="9">
        <f t="shared" si="3770"/>
        <v>0.26855046306010361</v>
      </c>
      <c r="Y743" s="6">
        <f t="shared" si="3762"/>
        <v>37.150099999999995</v>
      </c>
      <c r="Z743" s="6">
        <f t="shared" ref="Z743" si="3771">AVERAGE(E737:E743)</f>
        <v>83.35</v>
      </c>
      <c r="AA743" s="6">
        <f t="shared" ref="AA743" si="3772">AVERAGE(N737:N743)</f>
        <v>11.265964285714286</v>
      </c>
      <c r="AB743" s="6">
        <f t="shared" ref="AB743" si="3773">AVERAGE(R737:R743)</f>
        <v>22.380835714285702</v>
      </c>
      <c r="AC743" s="6">
        <f t="shared" si="3766"/>
        <v>-1.33706221583485E-2</v>
      </c>
      <c r="AD743" s="42">
        <f>Tabla1[[#This Row],[Avg Agua)]]/Tabla1[[#This Row],[Avg Musculo]]</f>
        <v>2.060579251955676</v>
      </c>
      <c r="AE743" t="s">
        <v>224</v>
      </c>
    </row>
    <row r="744" spans="1:31" x14ac:dyDescent="0.3">
      <c r="A744" t="s">
        <v>223</v>
      </c>
      <c r="B744">
        <v>6</v>
      </c>
      <c r="C744" t="s">
        <v>121</v>
      </c>
      <c r="D744" s="4">
        <v>46067</v>
      </c>
      <c r="E744" s="6">
        <v>82.95</v>
      </c>
      <c r="F744" s="7">
        <f t="shared" si="3751"/>
        <v>23.469330013580809</v>
      </c>
      <c r="G744" s="9">
        <v>0.13400000000000001</v>
      </c>
      <c r="H744" s="6">
        <f t="shared" si="3752"/>
        <v>71.834699999999998</v>
      </c>
      <c r="I744" s="6">
        <f t="shared" si="3753"/>
        <v>22.214499999999994</v>
      </c>
      <c r="J744">
        <v>3.5</v>
      </c>
      <c r="K744" s="5">
        <v>6.5000000000000002E-2</v>
      </c>
      <c r="L744" s="17">
        <v>2057</v>
      </c>
      <c r="M744" s="5">
        <v>0.55600000000000005</v>
      </c>
      <c r="N744" s="6">
        <f t="shared" si="3754"/>
        <v>11.115300000000001</v>
      </c>
      <c r="O744" s="21">
        <f t="shared" si="3755"/>
        <v>46.120200000000004</v>
      </c>
      <c r="P744" s="8">
        <f t="shared" si="3679"/>
        <v>46.093700000000005</v>
      </c>
      <c r="Q744" s="8">
        <f t="shared" si="3756"/>
        <v>60.735500000000009</v>
      </c>
      <c r="R744" s="6">
        <f t="shared" si="3757"/>
        <v>22.214499999999994</v>
      </c>
      <c r="S744" s="6">
        <f t="shared" si="3758"/>
        <v>5.39175</v>
      </c>
      <c r="T744" s="6">
        <f t="shared" si="3759"/>
        <v>0.5154500000000013</v>
      </c>
      <c r="U744" s="6">
        <f t="shared" si="3760"/>
        <v>-0.73574999999999768</v>
      </c>
      <c r="V744" s="6">
        <f t="shared" si="3761"/>
        <v>-1.0999999999999943</v>
      </c>
      <c r="W744" s="9">
        <f>Tabla1[[#This Row],[Protein]]/Tabla1[[#This Row],[Peso (Kg)]]</f>
        <v>0.26780590717299568</v>
      </c>
      <c r="X744" s="9">
        <f t="shared" si="3770"/>
        <v>0.26867815998120104</v>
      </c>
      <c r="Y744" s="6">
        <f t="shared" si="3762"/>
        <v>36.829799999999992</v>
      </c>
      <c r="Z744" s="6">
        <f t="shared" ref="Z744" si="3774">AVERAGE(E738:E744)</f>
        <v>83.26428571428572</v>
      </c>
      <c r="AA744" s="6">
        <f t="shared" ref="AA744" si="3775">AVERAGE(N738:N744)</f>
        <v>11.230607142857144</v>
      </c>
      <c r="AB744" s="6">
        <f t="shared" ref="AB744" si="3776">AVERAGE(R738:R744)</f>
        <v>22.368549999999992</v>
      </c>
      <c r="AC744" s="6">
        <f t="shared" si="3766"/>
        <v>-5.4893903170327718E-2</v>
      </c>
      <c r="AD744" s="42">
        <f>Tabla1[[#This Row],[Avg Agua)]]/Tabla1[[#This Row],[Avg Musculo]]</f>
        <v>2.060647650384134</v>
      </c>
    </row>
    <row r="745" spans="1:31" x14ac:dyDescent="0.3">
      <c r="A745" t="s">
        <v>223</v>
      </c>
      <c r="B745">
        <v>6</v>
      </c>
      <c r="C745" t="s">
        <v>26</v>
      </c>
      <c r="D745" s="4">
        <v>46068</v>
      </c>
      <c r="E745" s="6">
        <v>82.75</v>
      </c>
      <c r="F745" s="7">
        <f t="shared" si="3751"/>
        <v>23.412743322770485</v>
      </c>
      <c r="G745" s="9">
        <v>0.13</v>
      </c>
      <c r="H745" s="6">
        <f t="shared" si="3752"/>
        <v>71.992500000000007</v>
      </c>
      <c r="I745" s="6">
        <f t="shared" si="3753"/>
        <v>22.714500000000001</v>
      </c>
      <c r="J745">
        <v>3.6</v>
      </c>
      <c r="K745" s="5">
        <v>0.06</v>
      </c>
      <c r="L745" s="17">
        <v>2062</v>
      </c>
      <c r="M745" s="5">
        <v>0.55200000000000005</v>
      </c>
      <c r="N745" s="6">
        <f t="shared" si="3754"/>
        <v>10.7575</v>
      </c>
      <c r="O745" s="21">
        <f t="shared" si="3755"/>
        <v>45.678000000000004</v>
      </c>
      <c r="P745" s="8">
        <f t="shared" si="3679"/>
        <v>46.05829285714286</v>
      </c>
      <c r="Q745" s="8">
        <f t="shared" si="3756"/>
        <v>60.035499999999999</v>
      </c>
      <c r="R745" s="6">
        <f t="shared" si="3757"/>
        <v>22.714500000000001</v>
      </c>
      <c r="S745" s="6">
        <f t="shared" si="3758"/>
        <v>4.9649999999999999</v>
      </c>
      <c r="T745" s="6">
        <f t="shared" si="3759"/>
        <v>0.50000000000000711</v>
      </c>
      <c r="U745" s="6">
        <f t="shared" si="3760"/>
        <v>-0.35780000000000101</v>
      </c>
      <c r="V745" s="6">
        <f t="shared" si="3761"/>
        <v>-0.20000000000000284</v>
      </c>
      <c r="W745" s="9">
        <f>Tabla1[[#This Row],[Protein]]/Tabla1[[#This Row],[Peso (Kg)]]</f>
        <v>0.27449546827794563</v>
      </c>
      <c r="X745" s="9">
        <f t="shared" si="3770"/>
        <v>0.26877627855342962</v>
      </c>
      <c r="Y745" s="6">
        <f t="shared" si="3762"/>
        <v>37.072000000000003</v>
      </c>
      <c r="Z745" s="6">
        <f t="shared" ref="Z745:Z753" si="3777">AVERAGE(E739:E745)</f>
        <v>83.178571428571431</v>
      </c>
      <c r="AA745" s="6">
        <f t="shared" ref="AA745" si="3778">AVERAGE(N739:N745)</f>
        <v>11.195650000000001</v>
      </c>
      <c r="AB745" s="6">
        <f t="shared" ref="AB745" si="3779">AVERAGE(R739:R745)</f>
        <v>22.35319999999999</v>
      </c>
      <c r="AC745" s="6">
        <f t="shared" si="3766"/>
        <v>-6.8623133819589732E-2</v>
      </c>
      <c r="AD745" s="42">
        <f>Tabla1[[#This Row],[Avg Agua)]]/Tabla1[[#This Row],[Avg Musculo]]</f>
        <v>2.0604787170133529</v>
      </c>
    </row>
    <row r="746" spans="1:31" x14ac:dyDescent="0.3">
      <c r="A746" t="s">
        <v>223</v>
      </c>
      <c r="B746">
        <v>7</v>
      </c>
      <c r="C746" t="s">
        <v>21</v>
      </c>
      <c r="D746" s="4">
        <v>46069</v>
      </c>
      <c r="E746" s="6">
        <v>83.1</v>
      </c>
      <c r="F746" s="7">
        <f t="shared" ref="F746:F753" si="3780">E746/(1.88^2)</f>
        <v>23.511770031688545</v>
      </c>
      <c r="G746" s="9">
        <v>0.13800000000000001</v>
      </c>
      <c r="H746" s="6">
        <f t="shared" ref="H746:H753" si="3781">E746-N746</f>
        <v>71.632199999999997</v>
      </c>
      <c r="I746" s="6">
        <f t="shared" ref="I746:I753" si="3782">E746-N746-O746-J746</f>
        <v>22.260999999999996</v>
      </c>
      <c r="J746">
        <v>3.5</v>
      </c>
      <c r="K746" s="5">
        <v>6.5000000000000002E-2</v>
      </c>
      <c r="L746" s="17">
        <v>2053</v>
      </c>
      <c r="M746" s="5">
        <v>0.55200000000000005</v>
      </c>
      <c r="N746" s="6">
        <f t="shared" ref="N746:N753" si="3783">E746*G746</f>
        <v>11.4678</v>
      </c>
      <c r="O746" s="21">
        <f t="shared" ref="O746:O753" si="3784">M746*E746</f>
        <v>45.871200000000002</v>
      </c>
      <c r="P746" s="8">
        <f t="shared" si="3679"/>
        <v>46.105585714285716</v>
      </c>
      <c r="Q746" s="8">
        <f t="shared" ref="Q746:Q753" si="3785">E746-R746</f>
        <v>60.838999999999999</v>
      </c>
      <c r="R746" s="6">
        <f t="shared" ref="R746:R753" si="3786">I746</f>
        <v>22.260999999999996</v>
      </c>
      <c r="S746" s="6">
        <f t="shared" ref="S746:S753" si="3787">K746*E746</f>
        <v>5.4014999999999995</v>
      </c>
      <c r="T746" s="6">
        <f t="shared" ref="T746:T753" si="3788">I746-I745</f>
        <v>-0.45350000000000534</v>
      </c>
      <c r="U746" s="6">
        <f t="shared" ref="U746:U753" si="3789">N746-N745</f>
        <v>0.71030000000000015</v>
      </c>
      <c r="V746" s="6">
        <f t="shared" ref="V746:V753" si="3790">E746-E745</f>
        <v>0.34999999999999432</v>
      </c>
      <c r="W746" s="9">
        <f>Tabla1[[#This Row],[Protein]]/Tabla1[[#This Row],[Peso (Kg)]]</f>
        <v>0.26788206979542717</v>
      </c>
      <c r="X746" s="9">
        <f t="shared" si="3770"/>
        <v>0.26755331263620913</v>
      </c>
      <c r="Y746" s="6">
        <f t="shared" ref="Y746:Y753" si="3791">R746+N746+J746</f>
        <v>37.228799999999993</v>
      </c>
      <c r="Z746" s="6">
        <f t="shared" si="3777"/>
        <v>83.242857142857147</v>
      </c>
      <c r="AA746" s="6">
        <f t="shared" ref="AA746" si="3792">AVERAGE(N740:N746)</f>
        <v>11.310785714285716</v>
      </c>
      <c r="AB746" s="6">
        <f t="shared" ref="AB746" si="3793">AVERAGE(R740:R746)</f>
        <v>22.269342857142853</v>
      </c>
      <c r="AC746" s="6">
        <f t="shared" ref="AC746:AC753" si="3794">100*(AB746/AB745-1)</f>
        <v>-0.37514603214366948</v>
      </c>
      <c r="AD746" s="42">
        <f>Tabla1[[#This Row],[Avg Agua)]]/Tabla1[[#This Row],[Avg Musculo]]</f>
        <v>2.0703613038809285</v>
      </c>
    </row>
    <row r="747" spans="1:31" x14ac:dyDescent="0.3">
      <c r="A747" t="s">
        <v>223</v>
      </c>
      <c r="B747">
        <v>7</v>
      </c>
      <c r="C747" t="s">
        <v>23</v>
      </c>
      <c r="D747" s="4">
        <v>46070</v>
      </c>
      <c r="E747" s="6">
        <v>84.2</v>
      </c>
      <c r="F747" s="7">
        <f t="shared" si="3780"/>
        <v>23.822996831145318</v>
      </c>
      <c r="G747" s="9">
        <v>0.14799999999999999</v>
      </c>
      <c r="H747" s="6">
        <f t="shared" si="3781"/>
        <v>71.738399999999999</v>
      </c>
      <c r="I747" s="6">
        <f t="shared" si="3782"/>
        <v>20.917999999999992</v>
      </c>
      <c r="J747">
        <v>3.5</v>
      </c>
      <c r="K747" s="5">
        <v>7.0000000000000007E-2</v>
      </c>
      <c r="L747" s="17">
        <v>2060</v>
      </c>
      <c r="M747" s="5">
        <v>0.56200000000000006</v>
      </c>
      <c r="N747" s="6">
        <f t="shared" si="3783"/>
        <v>12.461600000000001</v>
      </c>
      <c r="O747" s="21">
        <f t="shared" si="3784"/>
        <v>47.320400000000006</v>
      </c>
      <c r="P747" s="8">
        <f t="shared" si="3679"/>
        <v>46.363914285714294</v>
      </c>
      <c r="Q747" s="8">
        <f t="shared" si="3785"/>
        <v>63.282000000000011</v>
      </c>
      <c r="R747" s="6">
        <f t="shared" si="3786"/>
        <v>20.917999999999992</v>
      </c>
      <c r="S747" s="6">
        <f t="shared" si="3787"/>
        <v>5.894000000000001</v>
      </c>
      <c r="T747" s="6">
        <f t="shared" si="3788"/>
        <v>-1.3430000000000035</v>
      </c>
      <c r="U747" s="6">
        <f t="shared" si="3789"/>
        <v>0.99380000000000024</v>
      </c>
      <c r="V747" s="6">
        <f t="shared" si="3790"/>
        <v>1.1000000000000085</v>
      </c>
      <c r="W747" s="9">
        <f>Tabla1[[#This Row],[Protein]]/Tabla1[[#This Row],[Peso (Kg)]]</f>
        <v>0.24843230403800465</v>
      </c>
      <c r="X747" s="9">
        <f t="shared" si="3770"/>
        <v>0.26324732953221214</v>
      </c>
      <c r="Y747" s="6">
        <f t="shared" si="3791"/>
        <v>36.879599999999996</v>
      </c>
      <c r="Z747" s="6">
        <f t="shared" si="3777"/>
        <v>83.428571428571431</v>
      </c>
      <c r="AA747" s="6">
        <f t="shared" ref="AA747" si="3795">AVERAGE(N741:N747)</f>
        <v>11.563285714285715</v>
      </c>
      <c r="AB747" s="6">
        <f t="shared" ref="AB747" si="3796">AVERAGE(R741:R747)</f>
        <v>21.95851428571428</v>
      </c>
      <c r="AC747" s="6">
        <f t="shared" si="3794"/>
        <v>-1.3957689430825537</v>
      </c>
      <c r="AD747" s="42">
        <f>Tabla1[[#This Row],[Avg Agua)]]/Tabla1[[#This Row],[Avg Musculo]]</f>
        <v>2.1114322072271356</v>
      </c>
      <c r="AE747" t="s">
        <v>225</v>
      </c>
    </row>
    <row r="748" spans="1:31" x14ac:dyDescent="0.3">
      <c r="A748" t="s">
        <v>223</v>
      </c>
      <c r="B748">
        <v>7</v>
      </c>
      <c r="C748" t="s">
        <v>24</v>
      </c>
      <c r="D748" s="4">
        <v>46071</v>
      </c>
      <c r="E748" s="6">
        <v>83.6</v>
      </c>
      <c r="F748" s="7">
        <f t="shared" si="3780"/>
        <v>23.65323675871435</v>
      </c>
      <c r="G748" s="9">
        <v>0.14099999999999999</v>
      </c>
      <c r="H748" s="6">
        <f t="shared" si="3781"/>
        <v>71.812399999999997</v>
      </c>
      <c r="I748" s="6">
        <f t="shared" si="3782"/>
        <v>21.997999999999998</v>
      </c>
      <c r="J748">
        <v>3.5</v>
      </c>
      <c r="K748" s="5">
        <v>6.5000000000000002E-2</v>
      </c>
      <c r="L748" s="17">
        <v>2061</v>
      </c>
      <c r="M748" s="5">
        <v>0.55400000000000005</v>
      </c>
      <c r="N748" s="6">
        <f t="shared" si="3783"/>
        <v>11.787599999999998</v>
      </c>
      <c r="O748" s="21">
        <f t="shared" si="3784"/>
        <v>46.314399999999999</v>
      </c>
      <c r="P748" s="8">
        <f t="shared" si="3679"/>
        <v>46.39161428571429</v>
      </c>
      <c r="Q748" s="8">
        <f t="shared" si="3785"/>
        <v>61.601999999999997</v>
      </c>
      <c r="R748" s="6">
        <f t="shared" si="3786"/>
        <v>21.997999999999998</v>
      </c>
      <c r="S748" s="6">
        <f t="shared" si="3787"/>
        <v>5.4340000000000002</v>
      </c>
      <c r="T748" s="6">
        <f t="shared" si="3788"/>
        <v>1.0800000000000054</v>
      </c>
      <c r="U748" s="6">
        <f t="shared" si="3789"/>
        <v>-0.67400000000000304</v>
      </c>
      <c r="V748" s="6">
        <f t="shared" si="3790"/>
        <v>-0.60000000000000853</v>
      </c>
      <c r="W748" s="9">
        <f>Tabla1[[#This Row],[Protein]]/Tabla1[[#This Row],[Peso (Kg)]]</f>
        <v>0.263133971291866</v>
      </c>
      <c r="X748" s="9">
        <f t="shared" si="3770"/>
        <v>0.26298676000848475</v>
      </c>
      <c r="Y748" s="6">
        <f t="shared" si="3791"/>
        <v>37.285599999999995</v>
      </c>
      <c r="Z748" s="6">
        <f t="shared" si="3777"/>
        <v>83.478571428571414</v>
      </c>
      <c r="AA748" s="6">
        <f t="shared" ref="AA748:AA749" si="3797">AVERAGE(N742:N748)</f>
        <v>11.594121428571428</v>
      </c>
      <c r="AB748" s="6">
        <f t="shared" ref="AB748:AB749" si="3798">AVERAGE(R742:R748)</f>
        <v>21.949978571428566</v>
      </c>
      <c r="AC748" s="6">
        <f t="shared" si="3794"/>
        <v>-3.8872002789669402E-2</v>
      </c>
      <c r="AD748" s="42">
        <f>Tabla1[[#This Row],[Avg Agua)]]/Tabla1[[#This Row],[Avg Musculo]]</f>
        <v>2.1135152426116921</v>
      </c>
    </row>
    <row r="749" spans="1:31" x14ac:dyDescent="0.3">
      <c r="A749" t="s">
        <v>223</v>
      </c>
      <c r="B749">
        <v>7</v>
      </c>
      <c r="C749" t="s">
        <v>22</v>
      </c>
      <c r="D749" s="4">
        <v>46072</v>
      </c>
      <c r="E749" s="6">
        <v>84.35</v>
      </c>
      <c r="F749" s="7">
        <f t="shared" si="3780"/>
        <v>23.865436849253054</v>
      </c>
      <c r="G749" s="9">
        <v>0.14599999999999999</v>
      </c>
      <c r="H749" s="6">
        <f t="shared" si="3781"/>
        <v>72.034899999999993</v>
      </c>
      <c r="I749" s="6">
        <f t="shared" si="3782"/>
        <v>21.789349999999992</v>
      </c>
      <c r="J749">
        <v>3.6</v>
      </c>
      <c r="K749" s="5">
        <v>6.5000000000000002E-2</v>
      </c>
      <c r="L749" s="17">
        <v>2069</v>
      </c>
      <c r="M749" s="5">
        <v>0.55300000000000005</v>
      </c>
      <c r="N749" s="6">
        <f t="shared" si="3783"/>
        <v>12.315099999999999</v>
      </c>
      <c r="O749" s="21">
        <f t="shared" si="3784"/>
        <v>46.64555</v>
      </c>
      <c r="P749" s="8">
        <f t="shared" si="3679"/>
        <v>46.407092857142857</v>
      </c>
      <c r="Q749" s="8">
        <f t="shared" si="3785"/>
        <v>62.560650000000003</v>
      </c>
      <c r="R749" s="6">
        <f t="shared" si="3786"/>
        <v>21.789349999999992</v>
      </c>
      <c r="S749" s="6">
        <f t="shared" si="3787"/>
        <v>5.4827500000000002</v>
      </c>
      <c r="T749" s="6">
        <f t="shared" si="3788"/>
        <v>-0.20865000000000578</v>
      </c>
      <c r="U749" s="6">
        <f t="shared" si="3789"/>
        <v>0.52750000000000163</v>
      </c>
      <c r="V749" s="6">
        <f t="shared" si="3790"/>
        <v>0.75</v>
      </c>
      <c r="W749" s="9">
        <f>Tabla1[[#This Row],[Protein]]/Tabla1[[#This Row],[Peso (Kg)]]</f>
        <v>0.25832068761114396</v>
      </c>
      <c r="X749" s="9">
        <f t="shared" si="3770"/>
        <v>0.26260553719410135</v>
      </c>
      <c r="Y749" s="6">
        <f t="shared" si="3791"/>
        <v>37.704449999999994</v>
      </c>
      <c r="Z749" s="6">
        <f t="shared" si="3777"/>
        <v>83.571428571428569</v>
      </c>
      <c r="AA749" s="6">
        <f t="shared" si="3797"/>
        <v>11.679421428571429</v>
      </c>
      <c r="AB749" s="6">
        <f t="shared" si="3798"/>
        <v>21.942057142857134</v>
      </c>
      <c r="AC749" s="6">
        <f t="shared" si="3794"/>
        <v>-3.6088548085155825E-2</v>
      </c>
      <c r="AD749" s="42">
        <f>Tabla1[[#This Row],[Avg Agua)]]/Tabla1[[#This Row],[Avg Musculo]]</f>
        <v>2.114983684300991</v>
      </c>
      <c r="AE749" t="s">
        <v>226</v>
      </c>
    </row>
    <row r="750" spans="1:31" x14ac:dyDescent="0.3">
      <c r="A750" t="s">
        <v>223</v>
      </c>
      <c r="B750">
        <v>7</v>
      </c>
      <c r="C750" t="s">
        <v>20</v>
      </c>
      <c r="D750" s="4">
        <v>46073</v>
      </c>
      <c r="E750" s="6">
        <v>83.35</v>
      </c>
      <c r="F750" s="7">
        <f t="shared" si="3780"/>
        <v>23.582503395201449</v>
      </c>
      <c r="G750" s="9">
        <v>0.13400000000000001</v>
      </c>
      <c r="H750" s="6">
        <f t="shared" si="3781"/>
        <v>72.181099999999986</v>
      </c>
      <c r="I750" s="6">
        <f t="shared" si="3782"/>
        <v>22.655249999999981</v>
      </c>
      <c r="J750">
        <v>3.6</v>
      </c>
      <c r="K750" s="5">
        <v>6.5000000000000002E-2</v>
      </c>
      <c r="L750" s="17">
        <v>2068</v>
      </c>
      <c r="M750" s="5">
        <v>0.55100000000000005</v>
      </c>
      <c r="N750" s="6">
        <f t="shared" si="3783"/>
        <v>11.168900000000001</v>
      </c>
      <c r="O750" s="21">
        <f t="shared" si="3784"/>
        <v>45.925850000000004</v>
      </c>
      <c r="P750" s="8">
        <f t="shared" si="3679"/>
        <v>46.267942857142863</v>
      </c>
      <c r="Q750" s="8">
        <f t="shared" si="3785"/>
        <v>60.694750000000013</v>
      </c>
      <c r="R750" s="6">
        <f t="shared" si="3786"/>
        <v>22.655249999999981</v>
      </c>
      <c r="S750" s="6">
        <f t="shared" si="3787"/>
        <v>5.4177499999999998</v>
      </c>
      <c r="T750" s="6">
        <f t="shared" si="3788"/>
        <v>0.86589999999998923</v>
      </c>
      <c r="U750" s="6">
        <f t="shared" si="3789"/>
        <v>-1.1461999999999986</v>
      </c>
      <c r="V750" s="6">
        <f t="shared" si="3790"/>
        <v>-1</v>
      </c>
      <c r="W750" s="9">
        <f>Tabla1[[#This Row],[Protein]]/Tabla1[[#This Row],[Peso (Kg)]]</f>
        <v>0.2718086382723453</v>
      </c>
      <c r="X750" s="9">
        <f t="shared" si="3770"/>
        <v>0.26455414949424688</v>
      </c>
      <c r="Y750" s="6">
        <f t="shared" si="3791"/>
        <v>37.424149999999983</v>
      </c>
      <c r="Z750" s="6">
        <f t="shared" si="3777"/>
        <v>83.471428571428575</v>
      </c>
      <c r="AA750" s="6">
        <f t="shared" ref="AA750" si="3799">AVERAGE(N744:N750)</f>
        <v>11.58197142857143</v>
      </c>
      <c r="AB750" s="6">
        <f t="shared" ref="AB750" si="3800">AVERAGE(R744:R750)</f>
        <v>22.078657142857139</v>
      </c>
      <c r="AC750" s="6">
        <f t="shared" si="3794"/>
        <v>0.62254873875611239</v>
      </c>
      <c r="AD750" s="42">
        <f>Tabla1[[#This Row],[Avg Agua)]]/Tabla1[[#This Row],[Avg Musculo]]</f>
        <v>2.0955958760431863</v>
      </c>
    </row>
    <row r="751" spans="1:31" x14ac:dyDescent="0.3">
      <c r="A751" t="s">
        <v>223</v>
      </c>
      <c r="B751">
        <v>7</v>
      </c>
      <c r="C751" t="s">
        <v>121</v>
      </c>
      <c r="D751" s="4">
        <v>46074</v>
      </c>
      <c r="E751" s="6">
        <v>82.95</v>
      </c>
      <c r="F751" s="7">
        <f t="shared" si="3780"/>
        <v>23.469330013580809</v>
      </c>
      <c r="G751" s="9">
        <v>0.13700000000000001</v>
      </c>
      <c r="H751" s="6">
        <f t="shared" si="3781"/>
        <v>71.585850000000008</v>
      </c>
      <c r="I751" s="6">
        <f t="shared" si="3782"/>
        <v>22.878100000000003</v>
      </c>
      <c r="J751">
        <v>3.5</v>
      </c>
      <c r="K751" s="5">
        <v>6.5000000000000002E-2</v>
      </c>
      <c r="L751" s="17">
        <v>2052</v>
      </c>
      <c r="M751" s="5">
        <v>0.54500000000000004</v>
      </c>
      <c r="N751" s="6">
        <f t="shared" si="3783"/>
        <v>11.36415</v>
      </c>
      <c r="O751" s="21">
        <f t="shared" si="3784"/>
        <v>45.207750000000004</v>
      </c>
      <c r="P751" s="8">
        <f t="shared" si="3679"/>
        <v>46.137592857142863</v>
      </c>
      <c r="Q751" s="8">
        <f t="shared" si="3785"/>
        <v>60.071899999999999</v>
      </c>
      <c r="R751" s="6">
        <f t="shared" si="3786"/>
        <v>22.878100000000003</v>
      </c>
      <c r="S751" s="6">
        <f t="shared" si="3787"/>
        <v>5.39175</v>
      </c>
      <c r="T751" s="6">
        <f t="shared" si="3788"/>
        <v>0.22285000000002242</v>
      </c>
      <c r="U751" s="6">
        <f t="shared" si="3789"/>
        <v>0.1952499999999997</v>
      </c>
      <c r="V751" s="6">
        <f t="shared" si="3790"/>
        <v>-0.39999999999999147</v>
      </c>
      <c r="W751" s="9">
        <f>Tabla1[[#This Row],[Protein]]/Tabla1[[#This Row],[Peso (Kg)]]</f>
        <v>0.2758059071729958</v>
      </c>
      <c r="X751" s="9">
        <f t="shared" si="3770"/>
        <v>0.26569700663710405</v>
      </c>
      <c r="Y751" s="6">
        <f t="shared" si="3791"/>
        <v>37.742250000000006</v>
      </c>
      <c r="Z751" s="6">
        <f t="shared" si="3777"/>
        <v>83.471428571428575</v>
      </c>
      <c r="AA751" s="6">
        <f t="shared" ref="AA751" si="3801">AVERAGE(N745:N751)</f>
        <v>11.617521428571427</v>
      </c>
      <c r="AB751" s="6">
        <f t="shared" ref="AB751" si="3802">AVERAGE(R745:R751)</f>
        <v>22.173457142857135</v>
      </c>
      <c r="AC751" s="6">
        <f t="shared" si="3794"/>
        <v>0.42937393966764326</v>
      </c>
      <c r="AD751" s="42">
        <f>Tabla1[[#This Row],[Avg Agua)]]/Tabla1[[#This Row],[Avg Musculo]]</f>
        <v>2.080757752834471</v>
      </c>
    </row>
    <row r="752" spans="1:31" x14ac:dyDescent="0.3">
      <c r="A752" t="s">
        <v>223</v>
      </c>
      <c r="B752">
        <v>7</v>
      </c>
      <c r="C752" t="s">
        <v>26</v>
      </c>
      <c r="D752" s="4">
        <v>46075</v>
      </c>
      <c r="E752" s="6">
        <v>82.75</v>
      </c>
      <c r="F752" s="7">
        <f t="shared" si="3780"/>
        <v>23.412743322770485</v>
      </c>
      <c r="G752" s="9">
        <v>0.13300000000000001</v>
      </c>
      <c r="H752" s="6">
        <f t="shared" si="3781"/>
        <v>71.744249999999994</v>
      </c>
      <c r="I752" s="6">
        <f t="shared" si="3782"/>
        <v>22.483499999999992</v>
      </c>
      <c r="J752">
        <v>3.5</v>
      </c>
      <c r="K752" s="5">
        <v>6.5000000000000002E-2</v>
      </c>
      <c r="L752" s="17">
        <v>2054</v>
      </c>
      <c r="M752" s="5">
        <v>0.55300000000000005</v>
      </c>
      <c r="N752" s="6">
        <f t="shared" si="3783"/>
        <v>11.005750000000001</v>
      </c>
      <c r="O752" s="21">
        <f t="shared" si="3784"/>
        <v>45.760750000000002</v>
      </c>
      <c r="P752" s="8">
        <f t="shared" si="3679"/>
        <v>46.149414285714279</v>
      </c>
      <c r="Q752" s="8">
        <f t="shared" si="3785"/>
        <v>60.266500000000008</v>
      </c>
      <c r="R752" s="6">
        <f t="shared" si="3786"/>
        <v>22.483499999999992</v>
      </c>
      <c r="S752" s="6">
        <f t="shared" si="3787"/>
        <v>5.3787500000000001</v>
      </c>
      <c r="T752" s="6">
        <f t="shared" si="3788"/>
        <v>-0.39460000000001116</v>
      </c>
      <c r="U752" s="6">
        <f t="shared" si="3789"/>
        <v>-0.35839999999999961</v>
      </c>
      <c r="V752" s="6">
        <f t="shared" si="3790"/>
        <v>-0.20000000000000284</v>
      </c>
      <c r="W752" s="9">
        <f>Tabla1[[#This Row],[Protein]]/Tabla1[[#This Row],[Peso (Kg)]]</f>
        <v>0.27170392749244704</v>
      </c>
      <c r="X752" s="9">
        <f t="shared" si="3770"/>
        <v>0.26529821509631851</v>
      </c>
      <c r="Y752" s="6">
        <f t="shared" si="3791"/>
        <v>36.989249999999991</v>
      </c>
      <c r="Z752" s="6">
        <f t="shared" si="3777"/>
        <v>83.471428571428561</v>
      </c>
      <c r="AA752" s="6">
        <f t="shared" ref="AA752" si="3803">AVERAGE(N746:N752)</f>
        <v>11.652985714285716</v>
      </c>
      <c r="AB752" s="6">
        <f t="shared" ref="AB752" si="3804">AVERAGE(R746:R752)</f>
        <v>22.140457142857137</v>
      </c>
      <c r="AC752" s="6">
        <f t="shared" si="3794"/>
        <v>-0.14882658931978376</v>
      </c>
      <c r="AD752" s="42">
        <f>Tabla1[[#This Row],[Avg Agua)]]/Tabla1[[#This Row],[Avg Musculo]]</f>
        <v>2.0843930180819599</v>
      </c>
    </row>
    <row r="753" spans="1:31" x14ac:dyDescent="0.3">
      <c r="A753" t="s">
        <v>223</v>
      </c>
      <c r="B753">
        <v>8</v>
      </c>
      <c r="C753" t="s">
        <v>21</v>
      </c>
      <c r="D753" s="4">
        <v>46076</v>
      </c>
      <c r="E753" s="6">
        <v>83.1</v>
      </c>
      <c r="F753" s="7">
        <f t="shared" si="3780"/>
        <v>23.511770031688545</v>
      </c>
      <c r="G753" s="9">
        <v>0.13500000000000001</v>
      </c>
      <c r="H753" s="6">
        <f t="shared" si="3781"/>
        <v>71.881499999999988</v>
      </c>
      <c r="I753" s="6">
        <f t="shared" si="3782"/>
        <v>21.845499999999987</v>
      </c>
      <c r="J753">
        <v>3.5</v>
      </c>
      <c r="K753" s="5">
        <v>6.5000000000000002E-2</v>
      </c>
      <c r="L753" s="17">
        <v>2060</v>
      </c>
      <c r="M753" s="5">
        <v>0.56000000000000005</v>
      </c>
      <c r="N753" s="6">
        <f t="shared" si="3783"/>
        <v>11.218500000000001</v>
      </c>
      <c r="O753" s="21">
        <f t="shared" si="3784"/>
        <v>46.536000000000001</v>
      </c>
      <c r="P753" s="8">
        <f t="shared" si="3679"/>
        <v>46.24438571428572</v>
      </c>
      <c r="Q753" s="8">
        <f t="shared" si="3785"/>
        <v>61.254500000000007</v>
      </c>
      <c r="R753" s="6">
        <f t="shared" si="3786"/>
        <v>21.845499999999987</v>
      </c>
      <c r="S753" s="6">
        <f t="shared" si="3787"/>
        <v>5.4014999999999995</v>
      </c>
      <c r="T753" s="6">
        <f t="shared" si="3788"/>
        <v>-0.63800000000000523</v>
      </c>
      <c r="U753" s="6">
        <f t="shared" si="3789"/>
        <v>0.21274999999999977</v>
      </c>
      <c r="V753" s="6">
        <f t="shared" si="3790"/>
        <v>0.34999999999999432</v>
      </c>
      <c r="W753" s="9">
        <f>Tabla1[[#This Row],[Protein]]/Tabla1[[#This Row],[Peso (Kg)]]</f>
        <v>0.26288206979542705</v>
      </c>
      <c r="X753" s="9">
        <f t="shared" si="3770"/>
        <v>0.26458392938203285</v>
      </c>
      <c r="Y753" s="6">
        <f t="shared" si="3791"/>
        <v>36.563999999999986</v>
      </c>
      <c r="Z753" s="6">
        <f t="shared" si="3777"/>
        <v>83.471428571428561</v>
      </c>
      <c r="AA753" s="6">
        <f t="shared" ref="AA753" si="3805">AVERAGE(N747:N753)</f>
        <v>11.617371428571429</v>
      </c>
      <c r="AB753" s="6">
        <f t="shared" ref="AB753" si="3806">AVERAGE(R747:R753)</f>
        <v>22.081099999999992</v>
      </c>
      <c r="AC753" s="6">
        <f t="shared" si="3794"/>
        <v>-0.26809357401319511</v>
      </c>
      <c r="AD753" s="42">
        <f>Tabla1[[#This Row],[Avg Agua)]]/Tabla1[[#This Row],[Avg Musculo]]</f>
        <v>2.0942971914572071</v>
      </c>
    </row>
    <row r="754" spans="1:31" x14ac:dyDescent="0.3">
      <c r="A754" t="s">
        <v>223</v>
      </c>
      <c r="B754">
        <v>8</v>
      </c>
      <c r="C754" t="s">
        <v>22</v>
      </c>
      <c r="D754" s="4">
        <v>46079</v>
      </c>
      <c r="E754" s="6">
        <v>84.1</v>
      </c>
      <c r="F754" s="7">
        <f t="shared" ref="F754:F759" si="3807">E754/(1.88^2)</f>
        <v>23.794703485740154</v>
      </c>
      <c r="G754" s="9">
        <v>0.14399999999999999</v>
      </c>
      <c r="H754" s="6">
        <f t="shared" ref="H754:H759" si="3808">E754-N754</f>
        <v>71.989599999999996</v>
      </c>
      <c r="I754" s="6">
        <f t="shared" ref="I754:I759" si="3809">E754-N754-O754-J754</f>
        <v>21.545899999999996</v>
      </c>
      <c r="J754">
        <v>3.6</v>
      </c>
      <c r="K754" s="5">
        <v>6.5000000000000002E-2</v>
      </c>
      <c r="L754" s="17">
        <v>2064</v>
      </c>
      <c r="M754" s="5">
        <v>0.55700000000000005</v>
      </c>
      <c r="N754" s="6">
        <f t="shared" ref="N754:N759" si="3810">E754*G754</f>
        <v>12.110399999999998</v>
      </c>
      <c r="O754" s="21">
        <f t="shared" ref="O754:O759" si="3811">M754*E754</f>
        <v>46.843699999999998</v>
      </c>
      <c r="P754" s="8">
        <f t="shared" si="3679"/>
        <v>46.176285714285719</v>
      </c>
      <c r="Q754" s="8">
        <f t="shared" ref="Q754:Q759" si="3812">E754-R754</f>
        <v>62.554099999999998</v>
      </c>
      <c r="R754" s="6">
        <f t="shared" ref="R754:R759" si="3813">I754</f>
        <v>21.545899999999996</v>
      </c>
      <c r="S754" s="6">
        <f>K754*E754</f>
        <v>5.4664999999999999</v>
      </c>
      <c r="T754" s="6">
        <f t="shared" ref="T754:T759" si="3814">I754-I753</f>
        <v>-0.29959999999999098</v>
      </c>
      <c r="U754" s="6">
        <f t="shared" ref="U754:U759" si="3815">N754-N753</f>
        <v>0.89189999999999792</v>
      </c>
      <c r="V754" s="6">
        <f t="shared" ref="V754:V759" si="3816">E754-E753</f>
        <v>1</v>
      </c>
      <c r="W754" s="9">
        <f>Tabla1[[#This Row],[Protein]]/Tabla1[[#This Row],[Peso (Kg)]]</f>
        <v>0.25619381688466109</v>
      </c>
      <c r="X754" s="9">
        <f t="shared" si="3770"/>
        <v>0.26569271693155516</v>
      </c>
      <c r="Y754" s="6">
        <f t="shared" ref="Y754:Y759" si="3817">R754+N754+J754</f>
        <v>37.256299999999996</v>
      </c>
      <c r="Z754" s="6">
        <f t="shared" ref="Z754" si="3818">AVERAGE(E748:E754)</f>
        <v>83.45714285714287</v>
      </c>
      <c r="AA754" s="6">
        <f t="shared" ref="AA754" si="3819">AVERAGE(N748:N754)</f>
        <v>11.5672</v>
      </c>
      <c r="AB754" s="6">
        <f t="shared" ref="AB754" si="3820">AVERAGE(R748:R754)</f>
        <v>22.170799999999989</v>
      </c>
      <c r="AC754" s="6">
        <f t="shared" ref="AC754:AC759" si="3821">100*(AB754/AB753-1)</f>
        <v>0.40622976210422657</v>
      </c>
      <c r="AD754" s="42">
        <f>Tabla1[[#This Row],[Avg Agua)]]/Tabla1[[#This Row],[Avg Musculo]]</f>
        <v>2.0827523460716684</v>
      </c>
      <c r="AE754" t="s">
        <v>228</v>
      </c>
    </row>
    <row r="755" spans="1:31" x14ac:dyDescent="0.3">
      <c r="A755" t="s">
        <v>223</v>
      </c>
      <c r="B755">
        <v>8</v>
      </c>
      <c r="C755" t="s">
        <v>205</v>
      </c>
      <c r="D755" s="4">
        <v>46080</v>
      </c>
      <c r="E755" s="6">
        <v>83.6</v>
      </c>
      <c r="F755" s="7">
        <f t="shared" si="3807"/>
        <v>23.65323675871435</v>
      </c>
      <c r="G755" s="9">
        <v>0.13900000000000001</v>
      </c>
      <c r="H755" s="6">
        <f t="shared" si="3808"/>
        <v>71.979599999999991</v>
      </c>
      <c r="I755" s="6">
        <f t="shared" si="3809"/>
        <v>22.566799999999986</v>
      </c>
      <c r="J755">
        <v>3.6</v>
      </c>
      <c r="K755" s="5">
        <v>6.5000000000000002E-2</v>
      </c>
      <c r="L755" s="17">
        <v>2065</v>
      </c>
      <c r="M755" s="5">
        <v>0.54800000000000004</v>
      </c>
      <c r="N755" s="6">
        <f t="shared" si="3810"/>
        <v>11.6204</v>
      </c>
      <c r="O755" s="21">
        <f t="shared" si="3811"/>
        <v>45.812800000000003</v>
      </c>
      <c r="P755" s="8">
        <f t="shared" si="3679"/>
        <v>46.10462857142857</v>
      </c>
      <c r="Q755" s="8">
        <f t="shared" si="3812"/>
        <v>61.033200000000008</v>
      </c>
      <c r="R755" s="6">
        <f t="shared" si="3813"/>
        <v>22.566799999999986</v>
      </c>
      <c r="S755" s="6">
        <f>K755*E755</f>
        <v>5.4340000000000002</v>
      </c>
      <c r="T755" s="6">
        <f t="shared" si="3814"/>
        <v>1.0208999999999904</v>
      </c>
      <c r="U755" s="6">
        <f t="shared" si="3815"/>
        <v>-0.48999999999999844</v>
      </c>
      <c r="V755" s="6">
        <f t="shared" si="3816"/>
        <v>-0.5</v>
      </c>
      <c r="W755" s="9">
        <f>Tabla1[[#This Row],[Protein]]/Tabla1[[#This Row],[Peso (Kg)]]</f>
        <v>0.26993779904306203</v>
      </c>
      <c r="X755" s="9">
        <f t="shared" si="3770"/>
        <v>0.26666469232458317</v>
      </c>
      <c r="Y755" s="6">
        <f t="shared" si="3817"/>
        <v>37.787199999999991</v>
      </c>
      <c r="Z755" s="6">
        <f t="shared" ref="Z755" si="3822">AVERAGE(E749:E755)</f>
        <v>83.45714285714287</v>
      </c>
      <c r="AA755" s="6">
        <f t="shared" ref="AA755" si="3823">AVERAGE(N749:N755)</f>
        <v>11.543314285714287</v>
      </c>
      <c r="AB755" s="6">
        <f t="shared" ref="AB755" si="3824">AVERAGE(R749:R755)</f>
        <v>22.252057142857129</v>
      </c>
      <c r="AC755" s="6">
        <f t="shared" si="3821"/>
        <v>0.36650523597316909</v>
      </c>
      <c r="AD755" s="42">
        <f>Tabla1[[#This Row],[Avg Agua)]]/Tabla1[[#This Row],[Avg Musculo]]</f>
        <v>2.0719265762908612</v>
      </c>
    </row>
    <row r="756" spans="1:31" x14ac:dyDescent="0.3">
      <c r="A756" t="s">
        <v>223</v>
      </c>
      <c r="B756">
        <v>8</v>
      </c>
      <c r="C756" t="s">
        <v>121</v>
      </c>
      <c r="D756" s="4">
        <v>46081</v>
      </c>
      <c r="E756" s="6">
        <v>83.35</v>
      </c>
      <c r="F756" s="7">
        <f t="shared" si="3807"/>
        <v>23.582503395201449</v>
      </c>
      <c r="G756" s="9">
        <v>0.13</v>
      </c>
      <c r="H756" s="6">
        <f t="shared" si="3808"/>
        <v>72.514499999999998</v>
      </c>
      <c r="I756" s="6">
        <f t="shared" si="3809"/>
        <v>23.488749999999996</v>
      </c>
      <c r="J756">
        <v>3.6</v>
      </c>
      <c r="K756" s="5">
        <v>0.06</v>
      </c>
      <c r="L756" s="17">
        <v>2077</v>
      </c>
      <c r="M756" s="5">
        <v>0.54500000000000004</v>
      </c>
      <c r="N756" s="6">
        <f t="shared" si="3810"/>
        <v>10.8355</v>
      </c>
      <c r="O756" s="21">
        <f t="shared" si="3811"/>
        <v>45.425750000000001</v>
      </c>
      <c r="P756" s="8">
        <f t="shared" si="3679"/>
        <v>45.930371428571426</v>
      </c>
      <c r="Q756" s="8">
        <f t="shared" si="3812"/>
        <v>59.861249999999998</v>
      </c>
      <c r="R756" s="6">
        <f t="shared" si="3813"/>
        <v>23.488749999999996</v>
      </c>
      <c r="S756" s="6">
        <f>K756*E756</f>
        <v>5.0009999999999994</v>
      </c>
      <c r="T756" s="6">
        <f t="shared" si="3814"/>
        <v>0.9219500000000096</v>
      </c>
      <c r="U756" s="6">
        <f t="shared" si="3815"/>
        <v>-0.78490000000000038</v>
      </c>
      <c r="V756" s="6">
        <f t="shared" si="3816"/>
        <v>-0.25</v>
      </c>
      <c r="W756" s="9">
        <f>Tabla1[[#This Row],[Protein]]/Tabla1[[#This Row],[Peso (Kg)]]</f>
        <v>0.28180863827234548</v>
      </c>
      <c r="X756" s="9">
        <f t="shared" si="3770"/>
        <v>0.27002011384761199</v>
      </c>
      <c r="Y756" s="6">
        <f t="shared" si="3817"/>
        <v>37.924249999999994</v>
      </c>
      <c r="Z756" s="6">
        <f t="shared" ref="Z756" si="3825">AVERAGE(E750:E756)</f>
        <v>83.314285714285717</v>
      </c>
      <c r="AA756" s="6">
        <f t="shared" ref="AA756" si="3826">AVERAGE(N750:N756)</f>
        <v>11.331942857142858</v>
      </c>
      <c r="AB756" s="6">
        <f t="shared" ref="AB756" si="3827">AVERAGE(R750:R756)</f>
        <v>22.494828571428563</v>
      </c>
      <c r="AC756" s="6">
        <f t="shared" si="3821"/>
        <v>1.0910066741823155</v>
      </c>
      <c r="AD756" s="42">
        <f>Tabla1[[#This Row],[Avg Agua)]]/Tabla1[[#This Row],[Avg Musculo]]</f>
        <v>2.041819135572748</v>
      </c>
    </row>
    <row r="757" spans="1:31" x14ac:dyDescent="0.3">
      <c r="A757" t="s">
        <v>223</v>
      </c>
      <c r="B757">
        <v>8</v>
      </c>
      <c r="C757" t="s">
        <v>26</v>
      </c>
      <c r="D757" s="4">
        <v>46082</v>
      </c>
      <c r="E757" s="6">
        <v>83.15</v>
      </c>
      <c r="F757" s="7">
        <f t="shared" si="3807"/>
        <v>23.525916704391129</v>
      </c>
      <c r="G757" s="9">
        <v>0.13300000000000001</v>
      </c>
      <c r="H757" s="6">
        <f t="shared" si="3808"/>
        <v>72.09105000000001</v>
      </c>
      <c r="I757" s="6">
        <f t="shared" si="3809"/>
        <v>22.42595</v>
      </c>
      <c r="J757">
        <v>3.6</v>
      </c>
      <c r="K757" s="5">
        <v>6.5000000000000002E-2</v>
      </c>
      <c r="L757" s="17">
        <v>2066</v>
      </c>
      <c r="M757" s="5">
        <v>0.55400000000000005</v>
      </c>
      <c r="N757" s="6">
        <f t="shared" si="3810"/>
        <v>11.058950000000001</v>
      </c>
      <c r="O757" s="21">
        <f t="shared" si="3811"/>
        <v>46.065100000000008</v>
      </c>
      <c r="P757" s="8">
        <f t="shared" si="3679"/>
        <v>45.950264285714297</v>
      </c>
      <c r="Q757" s="8">
        <f t="shared" si="3812"/>
        <v>60.724050000000005</v>
      </c>
      <c r="R757" s="6">
        <f t="shared" si="3813"/>
        <v>22.42595</v>
      </c>
      <c r="S757" s="6">
        <f t="shared" ref="S757:S758" si="3828">K757*E757</f>
        <v>5.4047500000000008</v>
      </c>
      <c r="T757" s="6">
        <f t="shared" si="3814"/>
        <v>-1.0627999999999957</v>
      </c>
      <c r="U757" s="6">
        <f t="shared" si="3815"/>
        <v>0.22345000000000148</v>
      </c>
      <c r="V757" s="6">
        <f t="shared" si="3816"/>
        <v>-0.19999999999998863</v>
      </c>
      <c r="W757" s="9">
        <f>Tabla1[[#This Row],[Protein]]/Tabla1[[#This Row],[Peso (Kg)]]</f>
        <v>0.26970475045099218</v>
      </c>
      <c r="X757" s="9">
        <f t="shared" si="3770"/>
        <v>0.26971955844456152</v>
      </c>
      <c r="Y757" s="6">
        <f t="shared" si="3817"/>
        <v>37.084900000000005</v>
      </c>
      <c r="Z757" s="6">
        <f t="shared" ref="Z757:Z758" si="3829">AVERAGE(E751:E757)</f>
        <v>83.285714285714292</v>
      </c>
      <c r="AA757" s="6">
        <f t="shared" ref="AA757:AA758" si="3830">AVERAGE(N751:N757)</f>
        <v>11.316235714285712</v>
      </c>
      <c r="AB757" s="6">
        <f t="shared" ref="AB757:AB758" si="3831">AVERAGE(R751:R757)</f>
        <v>22.462071428571424</v>
      </c>
      <c r="AC757" s="6">
        <f t="shared" si="3821"/>
        <v>-0.14562077125026551</v>
      </c>
      <c r="AD757" s="42">
        <f>Tabla1[[#This Row],[Avg Agua)]]/Tabla1[[#This Row],[Avg Musculo]]</f>
        <v>2.0456824043069437</v>
      </c>
    </row>
    <row r="758" spans="1:31" x14ac:dyDescent="0.3">
      <c r="A758" t="s">
        <v>223</v>
      </c>
      <c r="B758">
        <v>9</v>
      </c>
      <c r="C758" t="s">
        <v>21</v>
      </c>
      <c r="D758" s="4">
        <v>46083</v>
      </c>
      <c r="E758" s="6">
        <v>83.45</v>
      </c>
      <c r="F758" s="7">
        <f t="shared" si="3807"/>
        <v>23.610796740606613</v>
      </c>
      <c r="G758" s="9">
        <v>0.13100000000000001</v>
      </c>
      <c r="H758" s="6">
        <f t="shared" si="3808"/>
        <v>72.518050000000002</v>
      </c>
      <c r="I758" s="6">
        <f t="shared" si="3809"/>
        <v>22.603299999999997</v>
      </c>
      <c r="J758">
        <v>3.6</v>
      </c>
      <c r="K758" s="5">
        <v>0.06</v>
      </c>
      <c r="L758" s="17">
        <v>2079</v>
      </c>
      <c r="M758" s="5">
        <v>0.55500000000000005</v>
      </c>
      <c r="N758" s="6">
        <f t="shared" si="3810"/>
        <v>10.931950000000001</v>
      </c>
      <c r="O758" s="21">
        <f t="shared" si="3811"/>
        <v>46.314750000000004</v>
      </c>
      <c r="P758" s="8">
        <f t="shared" si="3679"/>
        <v>46.108407142857139</v>
      </c>
      <c r="Q758" s="8">
        <f t="shared" si="3812"/>
        <v>60.846700000000006</v>
      </c>
      <c r="R758" s="6">
        <f t="shared" si="3813"/>
        <v>22.603299999999997</v>
      </c>
      <c r="S758" s="6">
        <f t="shared" si="3828"/>
        <v>5.0069999999999997</v>
      </c>
      <c r="T758" s="6">
        <f t="shared" si="3814"/>
        <v>0.17734999999999701</v>
      </c>
      <c r="U758" s="6">
        <f t="shared" si="3815"/>
        <v>-0.12700000000000067</v>
      </c>
      <c r="V758" s="6">
        <f t="shared" si="3816"/>
        <v>0.29999999999999716</v>
      </c>
      <c r="W758" s="9">
        <f>Tabla1[[#This Row],[Protein]]/Tabla1[[#This Row],[Peso (Kg)]]</f>
        <v>0.27086039544637502</v>
      </c>
      <c r="X758" s="9">
        <f t="shared" si="3770"/>
        <v>0.26901305676933002</v>
      </c>
      <c r="Y758" s="6">
        <f t="shared" si="3817"/>
        <v>37.135249999999999</v>
      </c>
      <c r="Z758" s="6">
        <f t="shared" si="3829"/>
        <v>83.357142857142861</v>
      </c>
      <c r="AA758" s="6">
        <f t="shared" si="3830"/>
        <v>11.254492857142855</v>
      </c>
      <c r="AB758" s="6">
        <f t="shared" si="3831"/>
        <v>22.422814285714278</v>
      </c>
      <c r="AC758" s="6">
        <f t="shared" si="3821"/>
        <v>-0.17477080411743007</v>
      </c>
      <c r="AD758" s="42">
        <f>Tabla1[[#This Row],[Avg Agua)]]/Tabla1[[#This Row],[Avg Musculo]]</f>
        <v>2.0563166851108923</v>
      </c>
    </row>
    <row r="759" spans="1:31" x14ac:dyDescent="0.3">
      <c r="A759" t="s">
        <v>223</v>
      </c>
      <c r="B759">
        <v>9</v>
      </c>
      <c r="C759" t="s">
        <v>23</v>
      </c>
      <c r="D759" s="4">
        <v>46084</v>
      </c>
      <c r="E759" s="6">
        <v>83.85</v>
      </c>
      <c r="F759" s="7">
        <f t="shared" si="3807"/>
        <v>23.723970122227254</v>
      </c>
      <c r="G759" s="9">
        <v>0.14099999999999999</v>
      </c>
      <c r="H759" s="6">
        <f t="shared" si="3808"/>
        <v>72.027149999999992</v>
      </c>
      <c r="I759" s="6">
        <f t="shared" si="3809"/>
        <v>22.058099999999989</v>
      </c>
      <c r="J759">
        <v>3.6</v>
      </c>
      <c r="K759" s="5">
        <v>6.5000000000000002E-2</v>
      </c>
      <c r="L759" s="17">
        <v>2066</v>
      </c>
      <c r="M759" s="5">
        <v>0.55300000000000005</v>
      </c>
      <c r="N759" s="6">
        <f t="shared" si="3810"/>
        <v>11.822849999999997</v>
      </c>
      <c r="O759" s="21">
        <f t="shared" si="3811"/>
        <v>46.369050000000001</v>
      </c>
      <c r="P759" s="8">
        <f t="shared" si="3679"/>
        <v>46.195307142857146</v>
      </c>
      <c r="Q759" s="8">
        <f t="shared" si="3812"/>
        <v>61.791900000000005</v>
      </c>
      <c r="R759" s="6">
        <f t="shared" si="3813"/>
        <v>22.058099999999989</v>
      </c>
      <c r="S759" s="6">
        <f t="shared" ref="S759:S764" si="3832">K759*E759</f>
        <v>5.4502499999999996</v>
      </c>
      <c r="T759" s="6">
        <f t="shared" si="3814"/>
        <v>-0.54520000000000834</v>
      </c>
      <c r="U759" s="6">
        <f t="shared" si="3815"/>
        <v>0.89089999999999669</v>
      </c>
      <c r="V759" s="6">
        <f t="shared" si="3816"/>
        <v>0.39999999999999147</v>
      </c>
      <c r="W759" s="9">
        <f>Tabla1[[#This Row],[Protein]]/Tabla1[[#This Row],[Peso (Kg)]]</f>
        <v>0.26306618962432904</v>
      </c>
      <c r="X759" s="9">
        <f t="shared" si="3770"/>
        <v>0.26777909421674168</v>
      </c>
      <c r="Y759" s="6">
        <f t="shared" si="3817"/>
        <v>37.480949999999986</v>
      </c>
      <c r="Z759" s="6">
        <f t="shared" ref="Z759" si="3833">AVERAGE(E753:E759)</f>
        <v>83.514285714285705</v>
      </c>
      <c r="AA759" s="6">
        <f t="shared" ref="AA759" si="3834">AVERAGE(N753:N759)</f>
        <v>11.371221428571429</v>
      </c>
      <c r="AB759" s="6">
        <f t="shared" ref="AB759" si="3835">AVERAGE(R753:R759)</f>
        <v>22.362042857142853</v>
      </c>
      <c r="AC759" s="6">
        <f t="shared" si="3821"/>
        <v>-0.27102498284590215</v>
      </c>
      <c r="AD759" s="42">
        <f>Tabla1[[#This Row],[Avg Agua)]]/Tabla1[[#This Row],[Avg Musculo]]</f>
        <v>2.065791011937959</v>
      </c>
    </row>
    <row r="760" spans="1:31" x14ac:dyDescent="0.3">
      <c r="A760" t="s">
        <v>223</v>
      </c>
      <c r="B760">
        <v>9</v>
      </c>
      <c r="C760" t="s">
        <v>121</v>
      </c>
      <c r="D760" s="4">
        <v>46088</v>
      </c>
      <c r="E760" s="6">
        <v>85</v>
      </c>
      <c r="F760" s="7">
        <f t="shared" ref="F760:F765" si="3836">E760/(1.88^2)</f>
        <v>24.049343594386603</v>
      </c>
      <c r="G760" s="9">
        <v>0.152</v>
      </c>
      <c r="H760" s="6">
        <f t="shared" ref="H760:H765" si="3837">E760-N760</f>
        <v>72.08</v>
      </c>
      <c r="I760" s="6">
        <f t="shared" ref="I760:I765" si="3838">E760-N760-O760-J760</f>
        <v>21.814999999999991</v>
      </c>
      <c r="J760">
        <v>3.6</v>
      </c>
      <c r="K760" s="5">
        <v>7.0000000000000007E-2</v>
      </c>
      <c r="L760" s="17">
        <v>2073</v>
      </c>
      <c r="M760" s="5">
        <v>0.54900000000000004</v>
      </c>
      <c r="N760" s="6">
        <f t="shared" ref="N760:N765" si="3839">E760*G760</f>
        <v>12.92</v>
      </c>
      <c r="O760" s="21">
        <f t="shared" ref="O760:O765" si="3840">M760*E760</f>
        <v>46.665000000000006</v>
      </c>
      <c r="P760" s="8">
        <f t="shared" si="3679"/>
        <v>46.213735714285711</v>
      </c>
      <c r="Q760" s="8">
        <f t="shared" ref="Q760:Q765" si="3841">E760-R760</f>
        <v>63.185000000000009</v>
      </c>
      <c r="R760" s="6">
        <f t="shared" ref="R760:R765" si="3842">I760</f>
        <v>21.814999999999991</v>
      </c>
      <c r="S760" s="6">
        <f t="shared" si="3832"/>
        <v>5.95</v>
      </c>
      <c r="T760" s="6">
        <f t="shared" ref="T760:T765" si="3843">I760-I759</f>
        <v>-0.24309999999999832</v>
      </c>
      <c r="U760" s="6">
        <f t="shared" ref="U760:U765" si="3844">N760-N759</f>
        <v>1.0971500000000027</v>
      </c>
      <c r="V760" s="6">
        <f t="shared" ref="V760:V765" si="3845">E760-E759</f>
        <v>1.1500000000000057</v>
      </c>
      <c r="W760" s="9">
        <f>Tabla1[[#This Row],[Protein]]/Tabla1[[#This Row],[Peso (Kg)]]</f>
        <v>0.25664705882352928</v>
      </c>
      <c r="X760" s="9">
        <f t="shared" si="3770"/>
        <v>0.26688837836361345</v>
      </c>
      <c r="Y760" s="6">
        <f t="shared" ref="Y760:Y765" si="3846">R760+N760+J760</f>
        <v>38.334999999999994</v>
      </c>
      <c r="Z760" s="6">
        <f t="shared" ref="Z760" si="3847">AVERAGE(E754:E760)</f>
        <v>83.785714285714292</v>
      </c>
      <c r="AA760" s="6">
        <f t="shared" ref="AA760" si="3848">AVERAGE(N754:N760)</f>
        <v>11.614292857142857</v>
      </c>
      <c r="AB760" s="6">
        <f t="shared" ref="AB760" si="3849">AVERAGE(R754:R760)</f>
        <v>22.357685714285708</v>
      </c>
      <c r="AC760" s="6">
        <f t="shared" ref="AC760:AC765" si="3850">100*(AB760/AB759-1)</f>
        <v>-1.9484547476189551E-2</v>
      </c>
      <c r="AD760" s="42">
        <f>Tabla1[[#This Row],[Avg Agua)]]/Tabla1[[#This Row],[Avg Musculo]]</f>
        <v>2.0670178615471322</v>
      </c>
    </row>
    <row r="761" spans="1:31" x14ac:dyDescent="0.3">
      <c r="A761" t="s">
        <v>223</v>
      </c>
      <c r="B761">
        <v>9</v>
      </c>
      <c r="C761" t="s">
        <v>26</v>
      </c>
      <c r="D761" s="4">
        <v>46089</v>
      </c>
      <c r="E761" s="6">
        <v>83.2</v>
      </c>
      <c r="F761" s="7">
        <f t="shared" si="3836"/>
        <v>23.540063377093709</v>
      </c>
      <c r="G761" s="9">
        <v>0.13300000000000001</v>
      </c>
      <c r="H761" s="6">
        <f t="shared" si="3837"/>
        <v>72.134399999999999</v>
      </c>
      <c r="I761" s="6">
        <f t="shared" si="3838"/>
        <v>22.774399999999993</v>
      </c>
      <c r="J761">
        <v>3.6</v>
      </c>
      <c r="K761" s="5">
        <v>6.5000000000000002E-2</v>
      </c>
      <c r="L761" s="17">
        <v>2068</v>
      </c>
      <c r="M761" s="5">
        <v>0.55000000000000004</v>
      </c>
      <c r="N761" s="6">
        <f t="shared" si="3839"/>
        <v>11.065600000000002</v>
      </c>
      <c r="O761" s="21">
        <f t="shared" si="3840"/>
        <v>45.760000000000005</v>
      </c>
      <c r="P761" s="8">
        <f t="shared" si="3679"/>
        <v>46.058921428571431</v>
      </c>
      <c r="Q761" s="8">
        <f t="shared" si="3841"/>
        <v>60.42560000000001</v>
      </c>
      <c r="R761" s="6">
        <f t="shared" si="3842"/>
        <v>22.774399999999993</v>
      </c>
      <c r="S761" s="6">
        <f t="shared" si="3832"/>
        <v>5.4080000000000004</v>
      </c>
      <c r="T761" s="6">
        <f t="shared" si="3843"/>
        <v>0.95940000000000225</v>
      </c>
      <c r="U761" s="6">
        <f t="shared" si="3844"/>
        <v>-1.8543999999999983</v>
      </c>
      <c r="V761" s="6">
        <f t="shared" si="3845"/>
        <v>-1.7999999999999972</v>
      </c>
      <c r="W761" s="9">
        <f>Tabla1[[#This Row],[Protein]]/Tabla1[[#This Row],[Peso (Kg)]]</f>
        <v>0.27373076923076911</v>
      </c>
      <c r="X761" s="9">
        <f t="shared" si="3770"/>
        <v>0.26939365727020032</v>
      </c>
      <c r="Y761" s="6">
        <f t="shared" si="3846"/>
        <v>37.44</v>
      </c>
      <c r="Z761" s="6">
        <f t="shared" ref="Z761" si="3851">AVERAGE(E755:E761)</f>
        <v>83.657142857142858</v>
      </c>
      <c r="AA761" s="6">
        <f t="shared" ref="AA761" si="3852">AVERAGE(N755:N761)</f>
        <v>11.465035714285715</v>
      </c>
      <c r="AB761" s="6">
        <f t="shared" ref="AB761" si="3853">AVERAGE(R755:R761)</f>
        <v>22.533185714285707</v>
      </c>
      <c r="AC761" s="6">
        <f t="shared" si="3850"/>
        <v>0.78496496570690244</v>
      </c>
      <c r="AD761" s="42">
        <f>Tabla1[[#This Row],[Avg Agua)]]/Tabla1[[#This Row],[Avg Musculo]]</f>
        <v>2.0440483654901382</v>
      </c>
    </row>
    <row r="762" spans="1:31" x14ac:dyDescent="0.3">
      <c r="A762" t="s">
        <v>223</v>
      </c>
      <c r="B762">
        <v>10</v>
      </c>
      <c r="C762" t="s">
        <v>21</v>
      </c>
      <c r="D762" s="4">
        <v>46090</v>
      </c>
      <c r="E762" s="6">
        <v>83.2</v>
      </c>
      <c r="F762" s="7">
        <f t="shared" si="3836"/>
        <v>23.540063377093709</v>
      </c>
      <c r="G762" s="9">
        <v>0.13100000000000001</v>
      </c>
      <c r="H762" s="6">
        <f t="shared" si="3837"/>
        <v>72.30080000000001</v>
      </c>
      <c r="I762" s="6">
        <f t="shared" si="3838"/>
        <v>23.273600000000002</v>
      </c>
      <c r="J762">
        <v>3.6</v>
      </c>
      <c r="K762" s="5">
        <v>0.06</v>
      </c>
      <c r="L762" s="17">
        <v>2072</v>
      </c>
      <c r="M762" s="5">
        <v>0.54600000000000004</v>
      </c>
      <c r="N762" s="6">
        <f t="shared" si="3839"/>
        <v>10.8992</v>
      </c>
      <c r="O762" s="21">
        <f t="shared" si="3840"/>
        <v>45.427200000000006</v>
      </c>
      <c r="P762" s="8">
        <f t="shared" si="3679"/>
        <v>46.003835714285728</v>
      </c>
      <c r="Q762" s="8">
        <f t="shared" si="3841"/>
        <v>59.926400000000001</v>
      </c>
      <c r="R762" s="6">
        <f t="shared" si="3842"/>
        <v>23.273600000000002</v>
      </c>
      <c r="S762" s="6">
        <f t="shared" si="3832"/>
        <v>4.992</v>
      </c>
      <c r="T762" s="6">
        <f t="shared" si="3843"/>
        <v>0.49920000000000897</v>
      </c>
      <c r="U762" s="6">
        <f t="shared" si="3844"/>
        <v>-0.16640000000000121</v>
      </c>
      <c r="V762" s="6">
        <f t="shared" si="3845"/>
        <v>0</v>
      </c>
      <c r="W762" s="9">
        <f>Tabla1[[#This Row],[Protein]]/Tabla1[[#This Row],[Peso (Kg)]]</f>
        <v>0.27973076923076923</v>
      </c>
      <c r="X762" s="9">
        <f t="shared" si="3770"/>
        <v>0.27079265301130134</v>
      </c>
      <c r="Y762" s="6">
        <f t="shared" si="3846"/>
        <v>37.772800000000004</v>
      </c>
      <c r="Z762" s="6">
        <f t="shared" ref="Z762" si="3854">AVERAGE(E756:E762)</f>
        <v>83.6</v>
      </c>
      <c r="AA762" s="6">
        <f t="shared" ref="AA762" si="3855">AVERAGE(N756:N762)</f>
        <v>11.362007142857143</v>
      </c>
      <c r="AB762" s="6">
        <f t="shared" ref="AB762" si="3856">AVERAGE(R756:R762)</f>
        <v>22.634157142857141</v>
      </c>
      <c r="AC762" s="6">
        <f t="shared" si="3850"/>
        <v>0.44810099136323167</v>
      </c>
      <c r="AD762" s="42">
        <f>Tabla1[[#This Row],[Avg Agua)]]/Tabla1[[#This Row],[Avg Musculo]]</f>
        <v>2.0324960820908484</v>
      </c>
    </row>
    <row r="763" spans="1:31" x14ac:dyDescent="0.3">
      <c r="A763" t="s">
        <v>223</v>
      </c>
      <c r="B763">
        <v>10</v>
      </c>
      <c r="C763" t="s">
        <v>23</v>
      </c>
      <c r="D763" s="4">
        <v>46091</v>
      </c>
      <c r="E763" s="6">
        <v>83.7</v>
      </c>
      <c r="F763" s="7">
        <f t="shared" si="3836"/>
        <v>23.681530104119513</v>
      </c>
      <c r="G763" s="9">
        <v>0.13300000000000001</v>
      </c>
      <c r="H763" s="6">
        <f t="shared" si="3837"/>
        <v>72.567900000000009</v>
      </c>
      <c r="I763" s="6">
        <f t="shared" si="3838"/>
        <v>22.765500000000003</v>
      </c>
      <c r="J763">
        <v>3.6</v>
      </c>
      <c r="K763" s="5">
        <v>6.5000000000000002E-2</v>
      </c>
      <c r="L763" s="17">
        <v>2081</v>
      </c>
      <c r="M763" s="5">
        <v>0.55200000000000005</v>
      </c>
      <c r="N763" s="6">
        <f t="shared" si="3839"/>
        <v>11.132100000000001</v>
      </c>
      <c r="O763" s="21">
        <f t="shared" si="3840"/>
        <v>46.202400000000004</v>
      </c>
      <c r="P763" s="8">
        <f t="shared" si="3679"/>
        <v>46.114785714285723</v>
      </c>
      <c r="Q763" s="8">
        <f t="shared" si="3841"/>
        <v>60.9345</v>
      </c>
      <c r="R763" s="6">
        <f t="shared" si="3842"/>
        <v>22.765500000000003</v>
      </c>
      <c r="S763" s="6">
        <f t="shared" si="3832"/>
        <v>5.4405000000000001</v>
      </c>
      <c r="T763" s="6">
        <f t="shared" si="3843"/>
        <v>-0.50809999999999889</v>
      </c>
      <c r="U763" s="6">
        <f t="shared" si="3844"/>
        <v>0.23290000000000077</v>
      </c>
      <c r="V763" s="6">
        <f t="shared" si="3845"/>
        <v>0.5</v>
      </c>
      <c r="W763" s="9">
        <f>Tabla1[[#This Row],[Protein]]/Tabla1[[#This Row],[Peso (Kg)]]</f>
        <v>0.271989247311828</v>
      </c>
      <c r="X763" s="9">
        <f t="shared" si="3770"/>
        <v>0.26938988287408455</v>
      </c>
      <c r="Y763" s="6">
        <f t="shared" si="3846"/>
        <v>37.497600000000006</v>
      </c>
      <c r="Z763" s="6">
        <f t="shared" ref="Z763" si="3857">AVERAGE(E757:E763)</f>
        <v>83.65</v>
      </c>
      <c r="AA763" s="6">
        <f t="shared" ref="AA763" si="3858">AVERAGE(N757:N763)</f>
        <v>11.404378571428575</v>
      </c>
      <c r="AB763" s="6">
        <f t="shared" ref="AB763" si="3859">AVERAGE(R757:R763)</f>
        <v>22.530835714285708</v>
      </c>
      <c r="AC763" s="6">
        <f t="shared" si="3850"/>
        <v>-0.45648454201017152</v>
      </c>
      <c r="AD763" s="42">
        <f>Tabla1[[#This Row],[Avg Agua)]]/Tabla1[[#This Row],[Avg Musculo]]</f>
        <v>2.0467410219074376</v>
      </c>
    </row>
    <row r="764" spans="1:31" x14ac:dyDescent="0.3">
      <c r="A764" t="s">
        <v>223</v>
      </c>
      <c r="B764">
        <v>10</v>
      </c>
      <c r="C764" t="s">
        <v>24</v>
      </c>
      <c r="D764" s="4">
        <v>46092</v>
      </c>
      <c r="E764" s="6">
        <v>83.85</v>
      </c>
      <c r="F764" s="7">
        <f t="shared" si="3836"/>
        <v>23.723970122227254</v>
      </c>
      <c r="G764" s="9">
        <v>0.14299999999999999</v>
      </c>
      <c r="H764" s="6">
        <f t="shared" si="3837"/>
        <v>71.859449999999995</v>
      </c>
      <c r="I764" s="6">
        <f t="shared" si="3838"/>
        <v>22.241949999999996</v>
      </c>
      <c r="J764">
        <v>3.5</v>
      </c>
      <c r="K764" s="5">
        <v>6.5000000000000002E-2</v>
      </c>
      <c r="L764" s="17">
        <v>2063</v>
      </c>
      <c r="M764" s="5">
        <v>0.55000000000000004</v>
      </c>
      <c r="N764" s="6">
        <f t="shared" si="3839"/>
        <v>11.990549999999999</v>
      </c>
      <c r="O764" s="21">
        <f t="shared" si="3840"/>
        <v>46.1175</v>
      </c>
      <c r="P764" s="8">
        <f t="shared" si="3679"/>
        <v>46.12227142857143</v>
      </c>
      <c r="Q764" s="8">
        <f t="shared" si="3841"/>
        <v>61.608049999999999</v>
      </c>
      <c r="R764" s="6">
        <f t="shared" si="3842"/>
        <v>22.241949999999996</v>
      </c>
      <c r="S764" s="6">
        <f t="shared" si="3832"/>
        <v>5.4502499999999996</v>
      </c>
      <c r="T764" s="6">
        <f t="shared" si="3843"/>
        <v>-0.52355000000000729</v>
      </c>
      <c r="U764" s="6">
        <f t="shared" si="3844"/>
        <v>0.85844999999999771</v>
      </c>
      <c r="V764" s="6">
        <f t="shared" si="3845"/>
        <v>0.14999999999999147</v>
      </c>
      <c r="W764" s="9">
        <f>Tabla1[[#This Row],[Protein]]/Tabla1[[#This Row],[Peso (Kg)]]</f>
        <v>0.26525879546809777</v>
      </c>
      <c r="X764" s="9">
        <f t="shared" si="3770"/>
        <v>0.26875474644795677</v>
      </c>
      <c r="Y764" s="6">
        <f t="shared" si="3846"/>
        <v>37.732499999999995</v>
      </c>
      <c r="Z764" s="6">
        <f t="shared" ref="Z764" si="3860">AVERAGE(E758:E764)</f>
        <v>83.75</v>
      </c>
      <c r="AA764" s="6">
        <f t="shared" ref="AA764" si="3861">AVERAGE(N758:N764)</f>
        <v>11.537464285714288</v>
      </c>
      <c r="AB764" s="6">
        <f t="shared" ref="AB764" si="3862">AVERAGE(R758:R764)</f>
        <v>22.504549999999998</v>
      </c>
      <c r="AC764" s="6">
        <f t="shared" si="3850"/>
        <v>-0.11666550952232901</v>
      </c>
      <c r="AD764" s="42">
        <f>Tabla1[[#This Row],[Avg Agua)]]/Tabla1[[#This Row],[Avg Musculo]]</f>
        <v>2.0494642829370697</v>
      </c>
    </row>
    <row r="765" spans="1:31" x14ac:dyDescent="0.3">
      <c r="A765" t="s">
        <v>223</v>
      </c>
      <c r="B765">
        <v>10</v>
      </c>
      <c r="C765" t="s">
        <v>22</v>
      </c>
      <c r="D765" s="4">
        <v>46093</v>
      </c>
      <c r="E765" s="6">
        <v>83.8</v>
      </c>
      <c r="F765" s="7">
        <f t="shared" si="3836"/>
        <v>23.709823449524674</v>
      </c>
      <c r="G765" s="9">
        <v>0.13600000000000001</v>
      </c>
      <c r="H765" s="6">
        <f t="shared" si="3837"/>
        <v>72.403199999999998</v>
      </c>
      <c r="I765" s="6">
        <f t="shared" si="3838"/>
        <v>22.629399999999997</v>
      </c>
      <c r="J765">
        <v>3.6</v>
      </c>
      <c r="K765" s="5">
        <v>6.5000000000000002E-2</v>
      </c>
      <c r="L765" s="17">
        <v>2076</v>
      </c>
      <c r="M765" s="5">
        <v>0.55100000000000005</v>
      </c>
      <c r="N765" s="6">
        <f t="shared" si="3839"/>
        <v>11.396800000000001</v>
      </c>
      <c r="O765" s="21">
        <f t="shared" si="3840"/>
        <v>46.1738</v>
      </c>
      <c r="P765" s="8">
        <f t="shared" si="3679"/>
        <v>46.102135714285723</v>
      </c>
      <c r="Q765" s="8">
        <f t="shared" si="3841"/>
        <v>61.1706</v>
      </c>
      <c r="R765" s="6">
        <f t="shared" si="3842"/>
        <v>22.629399999999997</v>
      </c>
      <c r="S765" s="6">
        <f t="shared" ref="S765:S771" si="3863">K765*E765</f>
        <v>5.4470000000000001</v>
      </c>
      <c r="T765" s="6">
        <f t="shared" si="3843"/>
        <v>0.38745000000000118</v>
      </c>
      <c r="U765" s="6">
        <f t="shared" si="3844"/>
        <v>-0.59374999999999822</v>
      </c>
      <c r="V765" s="6">
        <f t="shared" si="3845"/>
        <v>-4.9999999999997158E-2</v>
      </c>
      <c r="W765" s="9">
        <f>Tabla1[[#This Row],[Protein]]/Tabla1[[#This Row],[Peso (Kg)]]</f>
        <v>0.27004057279236277</v>
      </c>
      <c r="X765" s="9">
        <f t="shared" si="3770"/>
        <v>0.268637628925955</v>
      </c>
      <c r="Y765" s="6">
        <f t="shared" si="3846"/>
        <v>37.626199999999997</v>
      </c>
      <c r="Z765" s="6">
        <f t="shared" ref="Z765" si="3864">AVERAGE(E759:E765)</f>
        <v>83.799999999999983</v>
      </c>
      <c r="AA765" s="6">
        <f t="shared" ref="AA765" si="3865">AVERAGE(N759:N765)</f>
        <v>11.603871428571427</v>
      </c>
      <c r="AB765" s="6">
        <f t="shared" ref="AB765" si="3866">AVERAGE(R759:R765)</f>
        <v>22.508278571428569</v>
      </c>
      <c r="AC765" s="6">
        <f t="shared" si="3850"/>
        <v>1.6568078137857434E-2</v>
      </c>
      <c r="AD765" s="42">
        <f>Tabla1[[#This Row],[Avg Agua)]]/Tabla1[[#This Row],[Avg Musculo]]</f>
        <v>2.0482301908599352</v>
      </c>
    </row>
    <row r="766" spans="1:31" x14ac:dyDescent="0.3">
      <c r="A766" t="s">
        <v>223</v>
      </c>
      <c r="B766">
        <v>10</v>
      </c>
      <c r="C766" t="s">
        <v>205</v>
      </c>
      <c r="D766" s="4">
        <v>46094</v>
      </c>
      <c r="E766" s="6">
        <v>83.9</v>
      </c>
      <c r="F766" s="7">
        <f t="shared" ref="F766:F771" si="3867">E766/(1.88^2)</f>
        <v>23.738116794929837</v>
      </c>
      <c r="G766" s="9">
        <v>0.14000000000000001</v>
      </c>
      <c r="H766" s="6">
        <f t="shared" ref="H766:H771" si="3868">E766-N766</f>
        <v>72.153999999999996</v>
      </c>
      <c r="I766" s="6">
        <f t="shared" ref="I766:I771" si="3869">E766-N766-O766-J766</f>
        <v>22.157299999999985</v>
      </c>
      <c r="J766">
        <v>3.6</v>
      </c>
      <c r="K766" s="5">
        <v>6.5000000000000002E-2</v>
      </c>
      <c r="L766" s="17">
        <v>2070</v>
      </c>
      <c r="M766" s="5">
        <v>0.55300000000000005</v>
      </c>
      <c r="N766" s="6">
        <f t="shared" ref="N766:N771" si="3870">E766*G766</f>
        <v>11.746000000000002</v>
      </c>
      <c r="O766" s="21">
        <f t="shared" ref="O766:O771" si="3871">M766*E766</f>
        <v>46.39670000000001</v>
      </c>
      <c r="P766" s="8">
        <f t="shared" si="3679"/>
        <v>46.106085714285719</v>
      </c>
      <c r="Q766" s="8">
        <f t="shared" ref="Q766:Q771" si="3872">E766-R766</f>
        <v>61.742700000000021</v>
      </c>
      <c r="R766" s="6">
        <f t="shared" ref="R766:R771" si="3873">I766</f>
        <v>22.157299999999985</v>
      </c>
      <c r="S766" s="6">
        <f t="shared" si="3863"/>
        <v>5.4535000000000009</v>
      </c>
      <c r="T766" s="6">
        <f t="shared" ref="T766:T771" si="3874">I766-I765</f>
        <v>-0.47210000000001173</v>
      </c>
      <c r="U766" s="6">
        <f t="shared" ref="U766:U771" si="3875">N766-N765</f>
        <v>0.34920000000000151</v>
      </c>
      <c r="V766" s="6">
        <f t="shared" ref="V766:V771" si="3876">E766-E765</f>
        <v>0.10000000000000853</v>
      </c>
      <c r="W766" s="9">
        <f>Tabla1[[#This Row],[Protein]]/Tabla1[[#This Row],[Peso (Kg)]]</f>
        <v>0.26409177592371852</v>
      </c>
      <c r="X766" s="9">
        <f t="shared" si="3770"/>
        <v>0.26878414125443922</v>
      </c>
      <c r="Y766" s="6">
        <f t="shared" ref="Y766:Y771" si="3877">R766+N766+J766</f>
        <v>37.503299999999989</v>
      </c>
      <c r="Z766" s="6">
        <f t="shared" ref="Z766" si="3878">AVERAGE(E760:E766)</f>
        <v>83.80714285714285</v>
      </c>
      <c r="AA766" s="6">
        <f t="shared" ref="AA766" si="3879">AVERAGE(N760:N766)</f>
        <v>11.592892857142857</v>
      </c>
      <c r="AB766" s="6">
        <f t="shared" ref="AB766" si="3880">AVERAGE(R760:R766)</f>
        <v>22.522449999999996</v>
      </c>
      <c r="AC766" s="6">
        <f t="shared" ref="AC766:AC771" si="3881">100*(AB766/AB765-1)</f>
        <v>6.2960961347857669E-2</v>
      </c>
      <c r="AD766" s="42">
        <f>Tabla1[[#This Row],[Avg Agua)]]/Tabla1[[#This Row],[Avg Musculo]]</f>
        <v>2.0471167974303741</v>
      </c>
    </row>
    <row r="767" spans="1:31" x14ac:dyDescent="0.3">
      <c r="A767" t="s">
        <v>223</v>
      </c>
      <c r="B767">
        <v>10</v>
      </c>
      <c r="C767" t="s">
        <v>26</v>
      </c>
      <c r="D767" s="4">
        <v>46096</v>
      </c>
      <c r="E767" s="6">
        <v>83.4</v>
      </c>
      <c r="F767" s="7">
        <f t="shared" si="3867"/>
        <v>23.596650067904033</v>
      </c>
      <c r="G767" s="9">
        <v>0.13900000000000001</v>
      </c>
      <c r="H767" s="6">
        <f t="shared" si="3868"/>
        <v>71.807400000000001</v>
      </c>
      <c r="I767" s="6">
        <f t="shared" si="3869"/>
        <v>22.520799999999994</v>
      </c>
      <c r="J767">
        <v>3.5</v>
      </c>
      <c r="K767" s="5">
        <v>6.5000000000000002E-2</v>
      </c>
      <c r="L767" s="17">
        <v>2060</v>
      </c>
      <c r="M767" s="5">
        <v>0.54900000000000004</v>
      </c>
      <c r="N767" s="6">
        <f t="shared" si="3870"/>
        <v>11.592600000000003</v>
      </c>
      <c r="O767" s="21">
        <f t="shared" si="3871"/>
        <v>45.786600000000007</v>
      </c>
      <c r="P767" s="8">
        <f t="shared" si="3679"/>
        <v>45.980600000000017</v>
      </c>
      <c r="Q767" s="8">
        <f t="shared" si="3872"/>
        <v>60.879200000000012</v>
      </c>
      <c r="R767" s="6">
        <f t="shared" si="3873"/>
        <v>22.520799999999994</v>
      </c>
      <c r="S767" s="6">
        <f t="shared" si="3863"/>
        <v>5.4210000000000003</v>
      </c>
      <c r="T767" s="6">
        <f t="shared" si="3874"/>
        <v>0.36350000000000904</v>
      </c>
      <c r="U767" s="6">
        <f t="shared" si="3875"/>
        <v>-0.15339999999999954</v>
      </c>
      <c r="V767" s="6">
        <f t="shared" si="3876"/>
        <v>-0.5</v>
      </c>
      <c r="W767" s="9">
        <f>Tabla1[[#This Row],[Protein]]/Tabla1[[#This Row],[Peso (Kg)]]</f>
        <v>0.27003357314148674</v>
      </c>
      <c r="X767" s="9">
        <f t="shared" si="3770"/>
        <v>0.27069650044271887</v>
      </c>
      <c r="Y767" s="6">
        <f t="shared" si="3877"/>
        <v>37.613399999999999</v>
      </c>
      <c r="Z767" s="6">
        <f t="shared" ref="Z767" si="3882">AVERAGE(E761:E767)</f>
        <v>83.578571428571436</v>
      </c>
      <c r="AA767" s="6">
        <f t="shared" ref="AA767" si="3883">AVERAGE(N761:N767)</f>
        <v>11.403264285714288</v>
      </c>
      <c r="AB767" s="6">
        <f t="shared" ref="AB767" si="3884">AVERAGE(R761:R767)</f>
        <v>22.623278571428575</v>
      </c>
      <c r="AC767" s="6">
        <f t="shared" si="3881"/>
        <v>0.44768029867345849</v>
      </c>
      <c r="AD767" s="42">
        <f>Tabla1[[#This Row],[Avg Agua)]]/Tabla1[[#This Row],[Avg Musculo]]</f>
        <v>2.0324463518771281</v>
      </c>
    </row>
    <row r="768" spans="1:31" x14ac:dyDescent="0.3">
      <c r="A768" t="s">
        <v>223</v>
      </c>
      <c r="B768">
        <v>11</v>
      </c>
      <c r="C768" t="s">
        <v>21</v>
      </c>
      <c r="D768" s="4">
        <v>46097</v>
      </c>
      <c r="E768" s="6">
        <v>83.95</v>
      </c>
      <c r="F768" s="7">
        <f t="shared" si="3867"/>
        <v>23.752263467632414</v>
      </c>
      <c r="G768" s="9">
        <v>0.13800000000000001</v>
      </c>
      <c r="H768" s="6">
        <f t="shared" si="3868"/>
        <v>72.364900000000006</v>
      </c>
      <c r="I768" s="6">
        <f t="shared" si="3869"/>
        <v>21.9208</v>
      </c>
      <c r="J768">
        <v>3.6</v>
      </c>
      <c r="K768" s="5">
        <v>6.5000000000000002E-2</v>
      </c>
      <c r="L768" s="17">
        <v>2076</v>
      </c>
      <c r="M768" s="5">
        <v>0.55800000000000005</v>
      </c>
      <c r="N768" s="6">
        <f t="shared" si="3870"/>
        <v>11.585100000000001</v>
      </c>
      <c r="O768" s="21">
        <f t="shared" si="3871"/>
        <v>46.844100000000005</v>
      </c>
      <c r="P768" s="8">
        <f t="shared" si="3679"/>
        <v>46.135471428571442</v>
      </c>
      <c r="Q768" s="8">
        <f t="shared" si="3872"/>
        <v>62.029200000000003</v>
      </c>
      <c r="R768" s="6">
        <f t="shared" si="3873"/>
        <v>21.9208</v>
      </c>
      <c r="S768" s="6">
        <f t="shared" si="3863"/>
        <v>5.4567500000000004</v>
      </c>
      <c r="T768" s="6">
        <f t="shared" si="3874"/>
        <v>-0.59999999999999432</v>
      </c>
      <c r="U768" s="6">
        <f t="shared" si="3875"/>
        <v>-7.5000000000020606E-3</v>
      </c>
      <c r="V768" s="6">
        <f t="shared" si="3876"/>
        <v>0.54999999999999716</v>
      </c>
      <c r="W768" s="9">
        <f>Tabla1[[#This Row],[Protein]]/Tabla1[[#This Row],[Peso (Kg)]]</f>
        <v>0.26111733174508633</v>
      </c>
      <c r="X768" s="9">
        <f t="shared" si="3770"/>
        <v>0.26889458080190703</v>
      </c>
      <c r="Y768" s="6">
        <f t="shared" si="3877"/>
        <v>37.105899999999998</v>
      </c>
      <c r="Z768" s="6">
        <f t="shared" ref="Z768" si="3885">AVERAGE(E762:E768)</f>
        <v>83.685714285714297</v>
      </c>
      <c r="AA768" s="6">
        <f t="shared" ref="AA768" si="3886">AVERAGE(N762:N768)</f>
        <v>11.477478571428572</v>
      </c>
      <c r="AB768" s="6">
        <f t="shared" ref="AB768" si="3887">AVERAGE(R762:R768)</f>
        <v>22.501335714285712</v>
      </c>
      <c r="AC768" s="6">
        <f t="shared" si="3881"/>
        <v>-0.53901496530598392</v>
      </c>
      <c r="AD768" s="42">
        <f>Tabla1[[#This Row],[Avg Agua)]]/Tabla1[[#This Row],[Avg Musculo]]</f>
        <v>2.0503436780102269</v>
      </c>
      <c r="AE768" t="s">
        <v>239</v>
      </c>
    </row>
    <row r="769" spans="1:31" x14ac:dyDescent="0.3">
      <c r="A769" t="s">
        <v>223</v>
      </c>
      <c r="B769">
        <v>11</v>
      </c>
      <c r="C769" t="s">
        <v>205</v>
      </c>
      <c r="D769" s="4">
        <v>46101</v>
      </c>
      <c r="E769" s="6">
        <v>84.3</v>
      </c>
      <c r="F769" s="7">
        <f t="shared" si="3867"/>
        <v>23.851290176550474</v>
      </c>
      <c r="G769" s="9">
        <v>0.14099999999999999</v>
      </c>
      <c r="H769" s="6">
        <f t="shared" si="3868"/>
        <v>72.413700000000006</v>
      </c>
      <c r="I769" s="6">
        <f t="shared" si="3869"/>
        <v>21.690000000000005</v>
      </c>
      <c r="J769">
        <v>3.6</v>
      </c>
      <c r="K769" s="5">
        <v>6.5000000000000002E-2</v>
      </c>
      <c r="L769" s="17">
        <v>2077</v>
      </c>
      <c r="M769" s="5">
        <v>0.55900000000000005</v>
      </c>
      <c r="N769" s="6">
        <f t="shared" si="3870"/>
        <v>11.886299999999999</v>
      </c>
      <c r="O769" s="21">
        <f t="shared" si="3871"/>
        <v>47.123699999999999</v>
      </c>
      <c r="P769" s="8">
        <f t="shared" si="3679"/>
        <v>46.377828571428573</v>
      </c>
      <c r="Q769" s="8">
        <f t="shared" si="3872"/>
        <v>62.609999999999992</v>
      </c>
      <c r="R769" s="6">
        <f t="shared" si="3873"/>
        <v>21.690000000000005</v>
      </c>
      <c r="S769" s="6">
        <f t="shared" si="3863"/>
        <v>5.4794999999999998</v>
      </c>
      <c r="T769" s="6">
        <f t="shared" si="3874"/>
        <v>-0.23079999999999501</v>
      </c>
      <c r="U769" s="6">
        <f t="shared" si="3875"/>
        <v>0.30119999999999791</v>
      </c>
      <c r="V769" s="6">
        <f t="shared" si="3876"/>
        <v>0.34999999999999432</v>
      </c>
      <c r="W769" s="9">
        <f>Tabla1[[#This Row],[Protein]]/Tabla1[[#This Row],[Peso (Kg)]]</f>
        <v>0.2572953736654805</v>
      </c>
      <c r="X769" s="9">
        <f t="shared" si="3770"/>
        <v>0.26568952429258008</v>
      </c>
      <c r="Y769" s="6">
        <f t="shared" si="3877"/>
        <v>37.176300000000005</v>
      </c>
      <c r="Z769" s="6">
        <f t="shared" ref="Z769" si="3888">AVERAGE(E763:E769)</f>
        <v>83.842857142857142</v>
      </c>
      <c r="AA769" s="6">
        <f t="shared" ref="AA769" si="3889">AVERAGE(N763:N769)</f>
        <v>11.618492857142858</v>
      </c>
      <c r="AB769" s="6">
        <f t="shared" ref="AB769" si="3890">AVERAGE(R763:R769)</f>
        <v>22.275107142857138</v>
      </c>
      <c r="AC769" s="6">
        <f t="shared" si="3881"/>
        <v>-1.0054006317720354</v>
      </c>
      <c r="AD769" s="42">
        <f>Tabla1[[#This Row],[Avg Agua)]]/Tabla1[[#This Row],[Avg Musculo]]</f>
        <v>2.0820473847327978</v>
      </c>
      <c r="AE769" t="s">
        <v>240</v>
      </c>
    </row>
    <row r="770" spans="1:31" x14ac:dyDescent="0.3">
      <c r="A770" t="s">
        <v>223</v>
      </c>
      <c r="B770">
        <v>11</v>
      </c>
      <c r="C770" t="s">
        <v>121</v>
      </c>
      <c r="D770" s="4">
        <v>46102</v>
      </c>
      <c r="E770" s="6">
        <v>83.65</v>
      </c>
      <c r="F770" s="7">
        <f t="shared" si="3867"/>
        <v>23.667383431416933</v>
      </c>
      <c r="G770" s="9">
        <v>0.14099999999999999</v>
      </c>
      <c r="H770" s="6">
        <f t="shared" si="3868"/>
        <v>71.855350000000001</v>
      </c>
      <c r="I770" s="6">
        <f t="shared" si="3869"/>
        <v>22.164199999999994</v>
      </c>
      <c r="J770">
        <v>3.6</v>
      </c>
      <c r="K770" s="5">
        <v>6.5000000000000002E-2</v>
      </c>
      <c r="L770" s="17">
        <v>2061</v>
      </c>
      <c r="M770" s="5">
        <v>0.55100000000000005</v>
      </c>
      <c r="N770" s="6">
        <f t="shared" si="3870"/>
        <v>11.794649999999999</v>
      </c>
      <c r="O770" s="21">
        <f t="shared" si="3871"/>
        <v>46.091150000000006</v>
      </c>
      <c r="P770" s="8">
        <f t="shared" si="3679"/>
        <v>46.361935714285721</v>
      </c>
      <c r="Q770" s="8">
        <f t="shared" si="3872"/>
        <v>61.485800000000012</v>
      </c>
      <c r="R770" s="6">
        <f t="shared" si="3873"/>
        <v>22.164199999999994</v>
      </c>
      <c r="S770" s="6">
        <f t="shared" si="3863"/>
        <v>5.4372500000000006</v>
      </c>
      <c r="T770" s="6">
        <f t="shared" si="3874"/>
        <v>0.47419999999998907</v>
      </c>
      <c r="U770" s="6">
        <f t="shared" si="3875"/>
        <v>-9.1649999999999565E-2</v>
      </c>
      <c r="V770" s="6">
        <f t="shared" si="3876"/>
        <v>-0.64999999999999147</v>
      </c>
      <c r="W770" s="9">
        <f>Tabla1[[#This Row],[Protein]]/Tabla1[[#This Row],[Peso (Kg)]]</f>
        <v>0.26496353855349664</v>
      </c>
      <c r="X770" s="9">
        <f t="shared" si="3770"/>
        <v>0.26468585161281849</v>
      </c>
      <c r="Y770" s="6">
        <f t="shared" si="3877"/>
        <v>37.558849999999993</v>
      </c>
      <c r="Z770" s="6">
        <f t="shared" ref="Z770" si="3891">AVERAGE(E764:E770)</f>
        <v>83.835714285714289</v>
      </c>
      <c r="AA770" s="6">
        <f t="shared" ref="AA770" si="3892">AVERAGE(N764:N770)</f>
        <v>11.713142857142858</v>
      </c>
      <c r="AB770" s="6">
        <f t="shared" ref="AB770" si="3893">AVERAGE(R764:R770)</f>
        <v>22.189207142857136</v>
      </c>
      <c r="AC770" s="6">
        <f t="shared" si="3881"/>
        <v>-0.38563226407442031</v>
      </c>
      <c r="AD770" s="42">
        <f>Tabla1[[#This Row],[Avg Agua)]]/Tabla1[[#This Row],[Avg Musculo]]</f>
        <v>2.0893912709814852</v>
      </c>
    </row>
    <row r="771" spans="1:31" x14ac:dyDescent="0.3">
      <c r="A771" t="s">
        <v>223</v>
      </c>
      <c r="B771">
        <v>11</v>
      </c>
      <c r="C771" t="s">
        <v>26</v>
      </c>
      <c r="D771" s="4">
        <v>46103</v>
      </c>
      <c r="E771" s="6">
        <v>83.8</v>
      </c>
      <c r="F771" s="7">
        <f t="shared" si="3867"/>
        <v>23.709823449524674</v>
      </c>
      <c r="G771" s="9">
        <v>0.13500000000000001</v>
      </c>
      <c r="H771" s="6">
        <f t="shared" si="3868"/>
        <v>72.486999999999995</v>
      </c>
      <c r="I771" s="6">
        <f t="shared" si="3869"/>
        <v>22.46179999999999</v>
      </c>
      <c r="J771">
        <v>3.6</v>
      </c>
      <c r="K771" s="5">
        <v>6.5000000000000002E-2</v>
      </c>
      <c r="L771" s="17">
        <v>2079</v>
      </c>
      <c r="M771" s="5">
        <v>0.55400000000000005</v>
      </c>
      <c r="N771" s="6">
        <f t="shared" si="3870"/>
        <v>11.313000000000001</v>
      </c>
      <c r="O771" s="21">
        <f t="shared" si="3871"/>
        <v>46.425200000000004</v>
      </c>
      <c r="P771" s="8">
        <f t="shared" si="3679"/>
        <v>46.405892857142867</v>
      </c>
      <c r="Q771" s="8">
        <f t="shared" si="3872"/>
        <v>61.338200000000008</v>
      </c>
      <c r="R771" s="6">
        <f t="shared" si="3873"/>
        <v>22.46179999999999</v>
      </c>
      <c r="S771" s="6">
        <f t="shared" si="3863"/>
        <v>5.4470000000000001</v>
      </c>
      <c r="T771" s="6">
        <f t="shared" si="3874"/>
        <v>0.29759999999999565</v>
      </c>
      <c r="U771" s="6">
        <f t="shared" si="3875"/>
        <v>-0.48164999999999836</v>
      </c>
      <c r="V771" s="6">
        <f t="shared" si="3876"/>
        <v>0.14999999999999147</v>
      </c>
      <c r="W771" s="9">
        <f>Tabla1[[#This Row],[Protein]]/Tabla1[[#This Row],[Peso (Kg)]]</f>
        <v>0.26804057279236265</v>
      </c>
      <c r="X771" s="9">
        <f t="shared" si="3770"/>
        <v>0.26508324837342773</v>
      </c>
      <c r="Y771" s="6">
        <f t="shared" si="3877"/>
        <v>37.374799999999993</v>
      </c>
      <c r="Z771" s="6">
        <f t="shared" ref="Z771" si="3894">AVERAGE(E765:E771)</f>
        <v>83.828571428571422</v>
      </c>
      <c r="AA771" s="6">
        <f t="shared" ref="AA771" si="3895">AVERAGE(N765:N771)</f>
        <v>11.616350000000001</v>
      </c>
      <c r="AB771" s="6">
        <f t="shared" ref="AB771" si="3896">AVERAGE(R765:R771)</f>
        <v>22.22061428571428</v>
      </c>
      <c r="AC771" s="6">
        <f t="shared" si="3881"/>
        <v>0.14154242941146755</v>
      </c>
      <c r="AD771" s="42">
        <f>Tabla1[[#This Row],[Avg Agua)]]/Tabla1[[#This Row],[Avg Musculo]]</f>
        <v>2.0884162904072996</v>
      </c>
    </row>
    <row r="772" spans="1:31" x14ac:dyDescent="0.3">
      <c r="A772" t="s">
        <v>223</v>
      </c>
      <c r="B772">
        <v>12</v>
      </c>
      <c r="C772" t="s">
        <v>21</v>
      </c>
      <c r="D772" s="4">
        <v>46104</v>
      </c>
      <c r="E772" s="6">
        <v>83.95</v>
      </c>
      <c r="F772" s="7">
        <f t="shared" ref="F772:F777" si="3897">E772/(1.88^2)</f>
        <v>23.752263467632414</v>
      </c>
      <c r="G772" s="9">
        <v>0.13600000000000001</v>
      </c>
      <c r="H772" s="6">
        <f t="shared" ref="H772:H777" si="3898">E772-N772</f>
        <v>72.532800000000009</v>
      </c>
      <c r="I772" s="6">
        <f t="shared" ref="I772:I777" si="3899">E772-N772-O772-J772</f>
        <v>22.424500000000002</v>
      </c>
      <c r="J772">
        <v>3.6</v>
      </c>
      <c r="K772" s="5">
        <v>6.5000000000000002E-2</v>
      </c>
      <c r="L772" s="17">
        <v>2081</v>
      </c>
      <c r="M772" s="5">
        <v>0.55400000000000005</v>
      </c>
      <c r="N772" s="6">
        <f t="shared" ref="N772:N777" si="3900">E772*G772</f>
        <v>11.417200000000001</v>
      </c>
      <c r="O772" s="21">
        <f t="shared" ref="O772:O777" si="3901">M772*E772</f>
        <v>46.508300000000006</v>
      </c>
      <c r="P772" s="8">
        <f t="shared" si="3679"/>
        <v>46.453678571428576</v>
      </c>
      <c r="Q772" s="8">
        <f t="shared" ref="Q772:Q777" si="3902">E772-R772</f>
        <v>61.525500000000001</v>
      </c>
      <c r="R772" s="6">
        <f t="shared" ref="R772:R777" si="3903">I772</f>
        <v>22.424500000000002</v>
      </c>
      <c r="S772" s="6">
        <f t="shared" ref="S772:S777" si="3904">K772*E772</f>
        <v>5.4567500000000004</v>
      </c>
      <c r="T772" s="6">
        <f t="shared" ref="T772:T777" si="3905">I772-I771</f>
        <v>-3.7299999999987676E-2</v>
      </c>
      <c r="U772" s="6">
        <f t="shared" ref="U772:U777" si="3906">N772-N771</f>
        <v>0.10420000000000051</v>
      </c>
      <c r="V772" s="6">
        <f t="shared" ref="V772:V777" si="3907">E772-E771</f>
        <v>0.15000000000000568</v>
      </c>
      <c r="W772" s="9">
        <f>Tabla1[[#This Row],[Protein]]/Tabla1[[#This Row],[Peso (Kg)]]</f>
        <v>0.26711733174508639</v>
      </c>
      <c r="X772" s="9">
        <f t="shared" si="3770"/>
        <v>0.26466564250953112</v>
      </c>
      <c r="Y772" s="6">
        <f t="shared" ref="Y772:Y777" si="3908">R772+N772+J772</f>
        <v>37.441700000000004</v>
      </c>
      <c r="Z772" s="6">
        <f t="shared" ref="Z772" si="3909">AVERAGE(E766:E772)</f>
        <v>83.850000000000009</v>
      </c>
      <c r="AA772" s="6">
        <f t="shared" ref="AA772" si="3910">AVERAGE(N766:N772)</f>
        <v>11.619264285714289</v>
      </c>
      <c r="AB772" s="6">
        <f t="shared" ref="AB772" si="3911">AVERAGE(R766:R772)</f>
        <v>22.19134285714285</v>
      </c>
      <c r="AC772" s="6">
        <f t="shared" ref="AC772:AC777" si="3912">100*(AB772/AB771-1)</f>
        <v>-0.13173096024734487</v>
      </c>
      <c r="AD772" s="42">
        <f>Tabla1[[#This Row],[Avg Agua)]]/Tabla1[[#This Row],[Avg Musculo]]</f>
        <v>2.0933243594348898</v>
      </c>
    </row>
    <row r="773" spans="1:31" x14ac:dyDescent="0.3">
      <c r="A773" t="s">
        <v>223</v>
      </c>
      <c r="B773">
        <v>13</v>
      </c>
      <c r="C773" t="s">
        <v>121</v>
      </c>
      <c r="D773" s="4">
        <v>46116</v>
      </c>
      <c r="E773" s="6">
        <v>86.2</v>
      </c>
      <c r="F773" s="7">
        <f t="shared" si="3897"/>
        <v>24.388863739248531</v>
      </c>
      <c r="G773" s="9">
        <v>0.16</v>
      </c>
      <c r="H773" s="6">
        <f t="shared" si="3898"/>
        <v>72.408000000000001</v>
      </c>
      <c r="I773" s="6">
        <f t="shared" si="3899"/>
        <v>21.225599999999993</v>
      </c>
      <c r="J773">
        <v>3.6</v>
      </c>
      <c r="K773" s="5">
        <v>7.4999999999999997E-2</v>
      </c>
      <c r="L773" s="17">
        <v>2086</v>
      </c>
      <c r="M773" s="5">
        <v>0.55200000000000005</v>
      </c>
      <c r="N773" s="6">
        <f t="shared" si="3900"/>
        <v>13.792000000000002</v>
      </c>
      <c r="O773" s="21">
        <f t="shared" si="3901"/>
        <v>47.582400000000007</v>
      </c>
      <c r="P773" s="8">
        <f t="shared" si="3679"/>
        <v>46.623064285714293</v>
      </c>
      <c r="Q773" s="8">
        <f t="shared" si="3902"/>
        <v>64.974400000000003</v>
      </c>
      <c r="R773" s="6">
        <f t="shared" si="3903"/>
        <v>21.225599999999993</v>
      </c>
      <c r="S773" s="6">
        <f t="shared" si="3904"/>
        <v>6.4649999999999999</v>
      </c>
      <c r="T773" s="6">
        <f t="shared" si="3905"/>
        <v>-1.198900000000009</v>
      </c>
      <c r="U773" s="6">
        <f t="shared" si="3906"/>
        <v>2.3748000000000005</v>
      </c>
      <c r="V773" s="6">
        <f t="shared" si="3907"/>
        <v>2.25</v>
      </c>
      <c r="W773" s="9">
        <f>Tabla1[[#This Row],[Protein]]/Tabla1[[#This Row],[Peso (Kg)]]</f>
        <v>0.24623665893271451</v>
      </c>
      <c r="X773" s="9">
        <f t="shared" si="3770"/>
        <v>0.26211491151081623</v>
      </c>
      <c r="Y773" s="6">
        <f t="shared" si="3908"/>
        <v>38.617599999999996</v>
      </c>
      <c r="Z773" s="6">
        <f t="shared" ref="Z773" si="3913">AVERAGE(E767:E773)</f>
        <v>84.178571428571445</v>
      </c>
      <c r="AA773" s="6">
        <f t="shared" ref="AA773" si="3914">AVERAGE(N767:N773)</f>
        <v>11.911550000000002</v>
      </c>
      <c r="AB773" s="6">
        <f t="shared" ref="AB773" si="3915">AVERAGE(R767:R773)</f>
        <v>22.058242857142851</v>
      </c>
      <c r="AC773" s="6">
        <f t="shared" si="3912"/>
        <v>-0.59978344193423183</v>
      </c>
      <c r="AD773" s="42">
        <f>Tabla1[[#This Row],[Avg Agua)]]/Tabla1[[#This Row],[Avg Musculo]]</f>
        <v>2.1136345531990965</v>
      </c>
      <c r="AE773" t="s">
        <v>241</v>
      </c>
    </row>
    <row r="774" spans="1:31" x14ac:dyDescent="0.3">
      <c r="A774" t="s">
        <v>223</v>
      </c>
      <c r="B774">
        <v>13</v>
      </c>
      <c r="C774" t="s">
        <v>26</v>
      </c>
      <c r="D774" s="4">
        <v>46117</v>
      </c>
      <c r="E774" s="6">
        <v>85.7</v>
      </c>
      <c r="F774" s="7">
        <f t="shared" si="3897"/>
        <v>24.247397012222727</v>
      </c>
      <c r="G774" s="9">
        <v>0.156</v>
      </c>
      <c r="H774" s="6">
        <f t="shared" si="3898"/>
        <v>72.330799999999996</v>
      </c>
      <c r="I774" s="6">
        <f t="shared" si="3899"/>
        <v>21.681499999999993</v>
      </c>
      <c r="J774">
        <v>3.6</v>
      </c>
      <c r="K774" s="5">
        <v>7.0000000000000007E-2</v>
      </c>
      <c r="L774" s="17">
        <v>2082</v>
      </c>
      <c r="M774" s="5">
        <v>0.54900000000000004</v>
      </c>
      <c r="N774" s="6">
        <f t="shared" si="3900"/>
        <v>13.369200000000001</v>
      </c>
      <c r="O774" s="21">
        <f t="shared" si="3901"/>
        <v>47.049300000000002</v>
      </c>
      <c r="P774" s="8">
        <f t="shared" si="3679"/>
        <v>46.803450000000005</v>
      </c>
      <c r="Q774" s="8">
        <f t="shared" si="3902"/>
        <v>64.018500000000017</v>
      </c>
      <c r="R774" s="6">
        <f t="shared" si="3903"/>
        <v>21.681499999999993</v>
      </c>
      <c r="S774" s="6">
        <f t="shared" si="3904"/>
        <v>5.9990000000000006</v>
      </c>
      <c r="T774" s="6">
        <f t="shared" si="3905"/>
        <v>0.45589999999999975</v>
      </c>
      <c r="U774" s="6">
        <f t="shared" si="3906"/>
        <v>-0.42280000000000051</v>
      </c>
      <c r="V774" s="6">
        <f t="shared" si="3907"/>
        <v>-0.5</v>
      </c>
      <c r="W774" s="9">
        <f>Tabla1[[#This Row],[Protein]]/Tabla1[[#This Row],[Peso (Kg)]]</f>
        <v>0.25299299883313875</v>
      </c>
      <c r="X774" s="9">
        <f t="shared" si="3770"/>
        <v>0.25968054375248084</v>
      </c>
      <c r="Y774" s="6">
        <f t="shared" si="3908"/>
        <v>38.650699999999993</v>
      </c>
      <c r="Z774" s="6">
        <f t="shared" ref="Z774" si="3916">AVERAGE(E768:E774)</f>
        <v>84.507142857142853</v>
      </c>
      <c r="AA774" s="6">
        <f t="shared" ref="AA774" si="3917">AVERAGE(N768:N774)</f>
        <v>12.165350000000002</v>
      </c>
      <c r="AB774" s="6">
        <f t="shared" ref="AB774" si="3918">AVERAGE(R768:R774)</f>
        <v>21.938342857142853</v>
      </c>
      <c r="AC774" s="6">
        <f t="shared" si="3912"/>
        <v>-0.54356097526223612</v>
      </c>
      <c r="AD774" s="42">
        <f>Tabla1[[#This Row],[Avg Agua)]]/Tabla1[[#This Row],[Avg Musculo]]</f>
        <v>2.1334086309423039</v>
      </c>
    </row>
    <row r="775" spans="1:31" x14ac:dyDescent="0.3">
      <c r="A775" t="s">
        <v>223</v>
      </c>
      <c r="B775">
        <v>14</v>
      </c>
      <c r="C775" t="s">
        <v>21</v>
      </c>
      <c r="D775" s="4">
        <v>46118</v>
      </c>
      <c r="E775" s="6">
        <v>84.7</v>
      </c>
      <c r="F775" s="7">
        <f t="shared" si="3897"/>
        <v>23.964463558171122</v>
      </c>
      <c r="G775" s="9">
        <v>0.14799999999999999</v>
      </c>
      <c r="H775" s="6">
        <f t="shared" si="3898"/>
        <v>72.164400000000001</v>
      </c>
      <c r="I775" s="6">
        <f t="shared" si="3899"/>
        <v>22.572299999999991</v>
      </c>
      <c r="J775">
        <v>3.6</v>
      </c>
      <c r="K775" s="5">
        <v>7.0000000000000007E-2</v>
      </c>
      <c r="L775" s="17">
        <v>2073</v>
      </c>
      <c r="M775" s="5">
        <v>0.54300000000000004</v>
      </c>
      <c r="N775" s="6">
        <f t="shared" si="3900"/>
        <v>12.535600000000001</v>
      </c>
      <c r="O775" s="21">
        <f t="shared" si="3901"/>
        <v>45.992100000000008</v>
      </c>
      <c r="P775" s="8">
        <f t="shared" si="3679"/>
        <v>46.681735714285722</v>
      </c>
      <c r="Q775" s="8">
        <f t="shared" si="3902"/>
        <v>62.127700000000011</v>
      </c>
      <c r="R775" s="6">
        <f t="shared" si="3903"/>
        <v>22.572299999999991</v>
      </c>
      <c r="S775" s="6">
        <f t="shared" si="3904"/>
        <v>5.9290000000000012</v>
      </c>
      <c r="T775" s="6">
        <f t="shared" si="3905"/>
        <v>0.8907999999999987</v>
      </c>
      <c r="U775" s="6">
        <f t="shared" si="3906"/>
        <v>-0.83360000000000056</v>
      </c>
      <c r="V775" s="6">
        <f t="shared" si="3907"/>
        <v>-1</v>
      </c>
      <c r="W775" s="9">
        <f>Tabla1[[#This Row],[Protein]]/Tabla1[[#This Row],[Peso (Kg)]]</f>
        <v>0.26649704840613919</v>
      </c>
      <c r="X775" s="9">
        <f t="shared" si="3770"/>
        <v>0.26044907470405981</v>
      </c>
      <c r="Y775" s="6">
        <f t="shared" si="3908"/>
        <v>38.707899999999995</v>
      </c>
      <c r="Z775" s="6">
        <f t="shared" ref="Z775" si="3919">AVERAGE(E769:E775)</f>
        <v>84.614285714285714</v>
      </c>
      <c r="AA775" s="6">
        <f t="shared" ref="AA775" si="3920">AVERAGE(N769:N775)</f>
        <v>12.301135714285715</v>
      </c>
      <c r="AB775" s="6">
        <f t="shared" ref="AB775" si="3921">AVERAGE(R769:R775)</f>
        <v>22.031414285714281</v>
      </c>
      <c r="AC775" s="6">
        <f t="shared" si="3912"/>
        <v>0.42424092456521123</v>
      </c>
      <c r="AD775" s="42">
        <f>Tabla1[[#This Row],[Avg Agua)]]/Tabla1[[#This Row],[Avg Musculo]]</f>
        <v>2.1188714945347527</v>
      </c>
    </row>
    <row r="776" spans="1:31" x14ac:dyDescent="0.3">
      <c r="A776" t="s">
        <v>223</v>
      </c>
      <c r="B776">
        <v>14</v>
      </c>
      <c r="C776" t="s">
        <v>23</v>
      </c>
      <c r="D776" s="4">
        <v>46119</v>
      </c>
      <c r="E776" s="6">
        <v>84.6</v>
      </c>
      <c r="F776" s="7">
        <f t="shared" si="3897"/>
        <v>23.936170212765958</v>
      </c>
      <c r="G776" s="9">
        <v>0.14799999999999999</v>
      </c>
      <c r="H776" s="6">
        <f t="shared" si="3898"/>
        <v>72.0792</v>
      </c>
      <c r="I776" s="6">
        <f t="shared" si="3899"/>
        <v>22.795200000000001</v>
      </c>
      <c r="J776">
        <v>3.6</v>
      </c>
      <c r="K776" s="5">
        <v>7.0000000000000007E-2</v>
      </c>
      <c r="L776" s="17">
        <v>2071</v>
      </c>
      <c r="M776" s="5">
        <v>0.54</v>
      </c>
      <c r="N776" s="6">
        <f t="shared" si="3900"/>
        <v>12.520799999999998</v>
      </c>
      <c r="O776" s="21">
        <f t="shared" si="3901"/>
        <v>45.683999999999997</v>
      </c>
      <c r="P776" s="8">
        <f t="shared" si="3679"/>
        <v>46.476064285714287</v>
      </c>
      <c r="Q776" s="8">
        <f t="shared" si="3902"/>
        <v>61.804799999999993</v>
      </c>
      <c r="R776" s="6">
        <f t="shared" si="3903"/>
        <v>22.795200000000001</v>
      </c>
      <c r="S776" s="6">
        <f t="shared" si="3904"/>
        <v>5.9220000000000006</v>
      </c>
      <c r="T776" s="6">
        <f t="shared" si="3905"/>
        <v>0.22290000000000987</v>
      </c>
      <c r="U776" s="6">
        <f t="shared" si="3906"/>
        <v>-1.4800000000002811E-2</v>
      </c>
      <c r="V776" s="6">
        <f t="shared" si="3907"/>
        <v>-0.10000000000000853</v>
      </c>
      <c r="W776" s="9">
        <f>Tabla1[[#This Row],[Protein]]/Tabla1[[#This Row],[Peso (Kg)]]</f>
        <v>0.26944680851063835</v>
      </c>
      <c r="X776" s="9">
        <f t="shared" si="3770"/>
        <v>0.26218499396765377</v>
      </c>
      <c r="Y776" s="6">
        <f t="shared" si="3908"/>
        <v>38.916000000000004</v>
      </c>
      <c r="Z776" s="6">
        <f t="shared" ref="Z776" si="3922">AVERAGE(E770:E776)</f>
        <v>84.657142857142844</v>
      </c>
      <c r="AA776" s="6">
        <f t="shared" ref="AA776" si="3923">AVERAGE(N770:N776)</f>
        <v>12.391778571428571</v>
      </c>
      <c r="AB776" s="6">
        <f t="shared" ref="AB776" si="3924">AVERAGE(R770:R776)</f>
        <v>22.189299999999996</v>
      </c>
      <c r="AC776" s="6">
        <f t="shared" si="3912"/>
        <v>0.71663903296526055</v>
      </c>
      <c r="AD776" s="42">
        <f>Tabla1[[#This Row],[Avg Agua)]]/Tabla1[[#This Row],[Avg Musculo]]</f>
        <v>2.0945259330269228</v>
      </c>
    </row>
    <row r="777" spans="1:31" x14ac:dyDescent="0.3">
      <c r="A777" t="s">
        <v>223</v>
      </c>
      <c r="B777">
        <v>14</v>
      </c>
      <c r="C777" t="s">
        <v>24</v>
      </c>
      <c r="D777" s="4">
        <v>46120</v>
      </c>
      <c r="E777" s="6">
        <v>84.7</v>
      </c>
      <c r="F777" s="7">
        <f t="shared" si="3897"/>
        <v>23.964463558171122</v>
      </c>
      <c r="G777" s="9">
        <v>0.14499999999999999</v>
      </c>
      <c r="H777" s="6">
        <f t="shared" si="3898"/>
        <v>72.418500000000009</v>
      </c>
      <c r="I777" s="6">
        <f t="shared" si="3899"/>
        <v>22.8264</v>
      </c>
      <c r="J777">
        <v>3.6</v>
      </c>
      <c r="K777" s="5">
        <v>6.5000000000000002E-2</v>
      </c>
      <c r="L777" s="17">
        <v>2079</v>
      </c>
      <c r="M777" s="5">
        <v>0.54300000000000004</v>
      </c>
      <c r="N777" s="6">
        <f t="shared" si="3900"/>
        <v>12.281499999999999</v>
      </c>
      <c r="O777" s="21">
        <f t="shared" si="3901"/>
        <v>45.992100000000008</v>
      </c>
      <c r="P777" s="8">
        <f t="shared" si="3679"/>
        <v>46.461914285714286</v>
      </c>
      <c r="Q777" s="8">
        <f t="shared" si="3902"/>
        <v>61.873600000000003</v>
      </c>
      <c r="R777" s="6">
        <f t="shared" si="3903"/>
        <v>22.8264</v>
      </c>
      <c r="S777" s="6">
        <f t="shared" si="3904"/>
        <v>5.5055000000000005</v>
      </c>
      <c r="T777" s="6">
        <f t="shared" si="3905"/>
        <v>3.119999999999834E-2</v>
      </c>
      <c r="U777" s="6">
        <f t="shared" si="3906"/>
        <v>-0.23929999999999829</v>
      </c>
      <c r="V777" s="6">
        <f t="shared" si="3907"/>
        <v>0.10000000000000853</v>
      </c>
      <c r="W777" s="9">
        <f>Tabla1[[#This Row],[Protein]]/Tabla1[[#This Row],[Peso (Kg)]]</f>
        <v>0.26949704840613931</v>
      </c>
      <c r="X777" s="9">
        <f t="shared" si="3770"/>
        <v>0.26283263823231706</v>
      </c>
      <c r="Y777" s="6">
        <f t="shared" si="3908"/>
        <v>38.707900000000002</v>
      </c>
      <c r="Z777" s="6">
        <f t="shared" ref="Z777" si="3925">AVERAGE(E771:E777)</f>
        <v>84.80714285714285</v>
      </c>
      <c r="AA777" s="6">
        <f t="shared" ref="AA777" si="3926">AVERAGE(N771:N777)</f>
        <v>12.46132857142857</v>
      </c>
      <c r="AB777" s="6">
        <f t="shared" ref="AB777" si="3927">AVERAGE(R771:R777)</f>
        <v>22.283899999999996</v>
      </c>
      <c r="AC777" s="6">
        <f t="shared" si="3912"/>
        <v>0.42633161028062805</v>
      </c>
      <c r="AD777" s="42">
        <f>Tabla1[[#This Row],[Avg Agua)]]/Tabla1[[#This Row],[Avg Musculo]]</f>
        <v>2.0849992275012137</v>
      </c>
    </row>
    <row r="778" spans="1:31" x14ac:dyDescent="0.3">
      <c r="A778" t="s">
        <v>223</v>
      </c>
      <c r="B778">
        <v>14</v>
      </c>
      <c r="C778" t="s">
        <v>22</v>
      </c>
      <c r="D778" s="4">
        <v>46121</v>
      </c>
      <c r="E778" s="6">
        <v>84.75</v>
      </c>
      <c r="F778" s="7">
        <f t="shared" ref="F778:F783" si="3928">E778/(1.88^2)</f>
        <v>23.978610230873699</v>
      </c>
      <c r="G778" s="9">
        <v>0.14799999999999999</v>
      </c>
      <c r="H778" s="6">
        <f t="shared" ref="H778:H783" si="3929">E778-N778</f>
        <v>72.206999999999994</v>
      </c>
      <c r="I778" s="6">
        <f t="shared" ref="I778:I783" si="3930">E778-N778-O778-J778</f>
        <v>22.672499999999992</v>
      </c>
      <c r="J778">
        <v>3.6</v>
      </c>
      <c r="K778" s="5">
        <v>7.0000000000000007E-2</v>
      </c>
      <c r="L778" s="17">
        <v>2075</v>
      </c>
      <c r="M778" s="5">
        <v>0.54200000000000004</v>
      </c>
      <c r="N778" s="6">
        <f t="shared" ref="N778:N783" si="3931">E778*G778</f>
        <v>12.542999999999999</v>
      </c>
      <c r="O778" s="21">
        <f t="shared" ref="O778:O783" si="3932">M778*E778</f>
        <v>45.9345</v>
      </c>
      <c r="P778" s="8">
        <f t="shared" si="3679"/>
        <v>46.391814285714297</v>
      </c>
      <c r="Q778" s="8">
        <f t="shared" ref="Q778:Q783" si="3933">E778-R778</f>
        <v>62.077500000000008</v>
      </c>
      <c r="R778" s="6">
        <f t="shared" ref="R778:R783" si="3934">I778</f>
        <v>22.672499999999992</v>
      </c>
      <c r="S778" s="6">
        <f t="shared" ref="S778:S783" si="3935">K778*E778</f>
        <v>5.932500000000001</v>
      </c>
      <c r="T778" s="6">
        <f t="shared" ref="T778:T783" si="3936">I778-I777</f>
        <v>-0.15390000000000725</v>
      </c>
      <c r="U778" s="6">
        <f t="shared" ref="U778:U783" si="3937">N778-N777</f>
        <v>0.26149999999999984</v>
      </c>
      <c r="V778" s="6">
        <f t="shared" ref="V778:V783" si="3938">E778-E777</f>
        <v>4.9999999999997158E-2</v>
      </c>
      <c r="W778" s="9">
        <f>Tabla1[[#This Row],[Protein]]/Tabla1[[#This Row],[Peso (Kg)]]</f>
        <v>0.2675221238938052</v>
      </c>
      <c r="X778" s="9">
        <f t="shared" si="3770"/>
        <v>0.26275857410395165</v>
      </c>
      <c r="Y778" s="6">
        <f t="shared" ref="Y778:Y783" si="3939">R778+N778+J778</f>
        <v>38.815499999999993</v>
      </c>
      <c r="Z778" s="6">
        <f t="shared" ref="Z778" si="3940">AVERAGE(E772:E778)</f>
        <v>84.942857142857136</v>
      </c>
      <c r="AA778" s="6">
        <f t="shared" ref="AA778" si="3941">AVERAGE(N772:N778)</f>
        <v>12.637042857142855</v>
      </c>
      <c r="AB778" s="6">
        <f t="shared" ref="AB778" si="3942">AVERAGE(R772:R778)</f>
        <v>22.313999999999993</v>
      </c>
      <c r="AC778" s="6">
        <f t="shared" ref="AC778:AC783" si="3943">100*(AB778/AB777-1)</f>
        <v>0.13507509906254267</v>
      </c>
      <c r="AD778" s="42">
        <f>Tabla1[[#This Row],[Avg Agua)]]/Tabla1[[#This Row],[Avg Musculo]]</f>
        <v>2.0790451862379813</v>
      </c>
    </row>
    <row r="779" spans="1:31" x14ac:dyDescent="0.3">
      <c r="A779" t="s">
        <v>223</v>
      </c>
      <c r="B779">
        <v>14</v>
      </c>
      <c r="C779" t="s">
        <v>20</v>
      </c>
      <c r="D779" s="4">
        <v>46122</v>
      </c>
      <c r="E779" s="6">
        <v>84.1</v>
      </c>
      <c r="F779" s="7">
        <f t="shared" si="3928"/>
        <v>23.794703485740154</v>
      </c>
      <c r="G779" s="9">
        <v>0.14299999999999999</v>
      </c>
      <c r="H779" s="6">
        <f t="shared" si="3929"/>
        <v>72.073700000000002</v>
      </c>
      <c r="I779" s="6">
        <f t="shared" si="3930"/>
        <v>23.227899999999998</v>
      </c>
      <c r="J779">
        <v>3.6</v>
      </c>
      <c r="K779" s="5">
        <v>6.5000000000000002E-2</v>
      </c>
      <c r="L779" s="17">
        <v>2068</v>
      </c>
      <c r="M779" s="5">
        <v>0.53800000000000003</v>
      </c>
      <c r="N779" s="6">
        <f t="shared" si="3931"/>
        <v>12.026299999999997</v>
      </c>
      <c r="O779" s="21">
        <f t="shared" si="3932"/>
        <v>45.245800000000003</v>
      </c>
      <c r="P779" s="8">
        <f t="shared" si="3679"/>
        <v>46.211457142857157</v>
      </c>
      <c r="Q779" s="8">
        <f t="shared" si="3933"/>
        <v>60.872099999999996</v>
      </c>
      <c r="R779" s="6">
        <f t="shared" si="3934"/>
        <v>23.227899999999998</v>
      </c>
      <c r="S779" s="6">
        <f t="shared" si="3935"/>
        <v>5.4664999999999999</v>
      </c>
      <c r="T779" s="6">
        <f t="shared" si="3936"/>
        <v>0.55540000000000589</v>
      </c>
      <c r="U779" s="6">
        <f t="shared" si="3937"/>
        <v>-0.51670000000000194</v>
      </c>
      <c r="V779" s="6">
        <f t="shared" si="3938"/>
        <v>-0.65000000000000568</v>
      </c>
      <c r="W779" s="9">
        <f>Tabla1[[#This Row],[Protein]]/Tabla1[[#This Row],[Peso (Kg)]]</f>
        <v>0.2761938168846611</v>
      </c>
      <c r="X779" s="9">
        <f t="shared" si="3770"/>
        <v>0.26405521483817662</v>
      </c>
      <c r="Y779" s="6">
        <f t="shared" si="3939"/>
        <v>38.854199999999999</v>
      </c>
      <c r="Z779" s="6">
        <f t="shared" ref="Z779" si="3944">AVERAGE(E773:E779)</f>
        <v>84.964285714285708</v>
      </c>
      <c r="AA779" s="6">
        <f t="shared" ref="AA779" si="3945">AVERAGE(N773:N779)</f>
        <v>12.724057142857143</v>
      </c>
      <c r="AB779" s="6">
        <f t="shared" ref="AB779" si="3946">AVERAGE(R773:R779)</f>
        <v>22.428771428571423</v>
      </c>
      <c r="AC779" s="6">
        <f t="shared" si="3943"/>
        <v>0.51434717473977098</v>
      </c>
      <c r="AD779" s="42">
        <f>Tabla1[[#This Row],[Avg Agua)]]/Tabla1[[#This Row],[Avg Musculo]]</f>
        <v>2.0603650668083224</v>
      </c>
    </row>
    <row r="780" spans="1:31" x14ac:dyDescent="0.3">
      <c r="A780" t="s">
        <v>223</v>
      </c>
      <c r="B780">
        <v>14</v>
      </c>
      <c r="C780" t="s">
        <v>121</v>
      </c>
      <c r="D780" s="4">
        <v>46123</v>
      </c>
      <c r="E780" s="6">
        <v>83.95</v>
      </c>
      <c r="F780" s="7">
        <f t="shared" si="3928"/>
        <v>23.752263467632414</v>
      </c>
      <c r="G780" s="9">
        <v>0.14499999999999999</v>
      </c>
      <c r="H780" s="6">
        <f t="shared" si="3929"/>
        <v>71.777250000000009</v>
      </c>
      <c r="I780" s="6">
        <f t="shared" si="3930"/>
        <v>23.028200000000005</v>
      </c>
      <c r="J780">
        <v>3.5</v>
      </c>
      <c r="K780" s="5">
        <v>6.5000000000000002E-2</v>
      </c>
      <c r="L780" s="17">
        <v>2060</v>
      </c>
      <c r="M780" s="5">
        <v>0.53900000000000003</v>
      </c>
      <c r="N780" s="6">
        <f t="shared" si="3931"/>
        <v>12.172749999999999</v>
      </c>
      <c r="O780" s="21">
        <f t="shared" si="3932"/>
        <v>45.249050000000004</v>
      </c>
      <c r="P780" s="8">
        <f t="shared" si="3679"/>
        <v>45.87812142857144</v>
      </c>
      <c r="Q780" s="8">
        <f t="shared" si="3933"/>
        <v>60.921799999999998</v>
      </c>
      <c r="R780" s="6">
        <f t="shared" si="3934"/>
        <v>23.028200000000005</v>
      </c>
      <c r="S780" s="6">
        <f t="shared" si="3935"/>
        <v>5.4567500000000004</v>
      </c>
      <c r="T780" s="6">
        <f t="shared" si="3936"/>
        <v>-0.19969999999999288</v>
      </c>
      <c r="U780" s="6">
        <f t="shared" si="3937"/>
        <v>0.14645000000000152</v>
      </c>
      <c r="V780" s="6">
        <f t="shared" si="3938"/>
        <v>-0.14999999999999147</v>
      </c>
      <c r="W780" s="9">
        <f>Tabla1[[#This Row],[Protein]]/Tabla1[[#This Row],[Peso (Kg)]]</f>
        <v>0.27430851697438957</v>
      </c>
      <c r="X780" s="9">
        <f t="shared" si="3770"/>
        <v>0.26806548027270166</v>
      </c>
      <c r="Y780" s="6">
        <f t="shared" si="3939"/>
        <v>38.700950000000006</v>
      </c>
      <c r="Z780" s="6">
        <f t="shared" ref="Z780:Z783" si="3947">AVERAGE(E774:E780)</f>
        <v>84.642857142857139</v>
      </c>
      <c r="AA780" s="6">
        <f t="shared" ref="AA780:AA783" si="3948">AVERAGE(N774:N780)</f>
        <v>12.492735714285713</v>
      </c>
      <c r="AB780" s="6">
        <f t="shared" ref="AB780:AB783" si="3949">AVERAGE(R774:R780)</f>
        <v>22.68628571428571</v>
      </c>
      <c r="AC780" s="6">
        <f t="shared" si="3943"/>
        <v>1.1481426280275153</v>
      </c>
      <c r="AD780" s="42">
        <f>Tabla1[[#This Row],[Avg Agua)]]/Tabla1[[#This Row],[Avg Musculo]]</f>
        <v>2.0222843883025625</v>
      </c>
    </row>
    <row r="781" spans="1:31" x14ac:dyDescent="0.3">
      <c r="A781" t="s">
        <v>223</v>
      </c>
      <c r="B781">
        <v>14</v>
      </c>
      <c r="C781" t="s">
        <v>26</v>
      </c>
      <c r="D781" s="4">
        <v>46124</v>
      </c>
      <c r="E781" s="6">
        <v>84.1</v>
      </c>
      <c r="F781" s="7">
        <f t="shared" si="3928"/>
        <v>23.794703485740154</v>
      </c>
      <c r="G781" s="9">
        <v>0.14299999999999999</v>
      </c>
      <c r="H781" s="6">
        <f t="shared" si="3929"/>
        <v>72.073700000000002</v>
      </c>
      <c r="I781" s="6">
        <f t="shared" si="3930"/>
        <v>23.227899999999998</v>
      </c>
      <c r="J781">
        <v>3.6</v>
      </c>
      <c r="K781" s="5">
        <v>6.5000000000000002E-2</v>
      </c>
      <c r="L781" s="17">
        <v>2068</v>
      </c>
      <c r="M781" s="5">
        <v>0.53800000000000003</v>
      </c>
      <c r="N781" s="6">
        <f t="shared" si="3931"/>
        <v>12.026299999999997</v>
      </c>
      <c r="O781" s="21">
        <f t="shared" si="3932"/>
        <v>45.245800000000003</v>
      </c>
      <c r="P781" s="8">
        <f t="shared" si="3679"/>
        <v>45.620478571428571</v>
      </c>
      <c r="Q781" s="8">
        <f t="shared" si="3933"/>
        <v>60.872099999999996</v>
      </c>
      <c r="R781" s="6">
        <f t="shared" si="3934"/>
        <v>23.227899999999998</v>
      </c>
      <c r="S781" s="6">
        <f t="shared" si="3935"/>
        <v>5.4664999999999999</v>
      </c>
      <c r="T781" s="6">
        <f t="shared" si="3936"/>
        <v>0.19969999999999288</v>
      </c>
      <c r="U781" s="6">
        <f t="shared" si="3937"/>
        <v>-0.14645000000000152</v>
      </c>
      <c r="V781" s="6">
        <f t="shared" si="3938"/>
        <v>0.14999999999999147</v>
      </c>
      <c r="W781" s="9">
        <f>Tabla1[[#This Row],[Protein]]/Tabla1[[#This Row],[Peso (Kg)]]</f>
        <v>0.2761938168846611</v>
      </c>
      <c r="X781" s="9">
        <f t="shared" si="3770"/>
        <v>0.27137988285149056</v>
      </c>
      <c r="Y781" s="6">
        <f t="shared" si="3939"/>
        <v>38.854199999999999</v>
      </c>
      <c r="Z781" s="6">
        <f t="shared" si="3947"/>
        <v>84.414285714285711</v>
      </c>
      <c r="AA781" s="6">
        <f t="shared" si="3948"/>
        <v>12.300892857142856</v>
      </c>
      <c r="AB781" s="6">
        <f t="shared" si="3949"/>
        <v>22.907199999999996</v>
      </c>
      <c r="AC781" s="6">
        <f t="shared" si="3943"/>
        <v>0.97377899801012191</v>
      </c>
      <c r="AD781" s="42">
        <f>Tabla1[[#This Row],[Avg Agua)]]/Tabla1[[#This Row],[Avg Musculo]]</f>
        <v>1.9915344769953804</v>
      </c>
    </row>
    <row r="782" spans="1:31" x14ac:dyDescent="0.3">
      <c r="A782" t="s">
        <v>223</v>
      </c>
      <c r="B782">
        <v>15</v>
      </c>
      <c r="C782" t="s">
        <v>21</v>
      </c>
      <c r="D782" s="4">
        <v>46125</v>
      </c>
      <c r="E782" s="6">
        <v>84.85</v>
      </c>
      <c r="F782" s="7">
        <f t="shared" si="3928"/>
        <v>24.006903576278859</v>
      </c>
      <c r="G782" s="9">
        <v>0.15</v>
      </c>
      <c r="H782" s="6">
        <f t="shared" si="3929"/>
        <v>72.122500000000002</v>
      </c>
      <c r="I782" s="6">
        <f t="shared" si="3930"/>
        <v>22.109549999999999</v>
      </c>
      <c r="J782">
        <v>3.6</v>
      </c>
      <c r="K782" s="5">
        <v>7.0000000000000007E-2</v>
      </c>
      <c r="L782" s="17">
        <v>2072</v>
      </c>
      <c r="M782" s="5">
        <v>0.54700000000000004</v>
      </c>
      <c r="N782" s="6">
        <f t="shared" si="3931"/>
        <v>12.727499999999999</v>
      </c>
      <c r="O782" s="21">
        <f t="shared" si="3932"/>
        <v>46.412950000000002</v>
      </c>
      <c r="P782" s="8">
        <f t="shared" si="3679"/>
        <v>45.680600000000013</v>
      </c>
      <c r="Q782" s="8">
        <f t="shared" si="3933"/>
        <v>62.740449999999996</v>
      </c>
      <c r="R782" s="6">
        <f t="shared" si="3934"/>
        <v>22.109549999999999</v>
      </c>
      <c r="S782" s="6">
        <f t="shared" si="3935"/>
        <v>5.9394999999999998</v>
      </c>
      <c r="T782" s="6">
        <f t="shared" si="3936"/>
        <v>-1.1183499999999995</v>
      </c>
      <c r="U782" s="6">
        <f t="shared" si="3937"/>
        <v>0.70120000000000182</v>
      </c>
      <c r="V782" s="6">
        <f t="shared" si="3938"/>
        <v>0.75</v>
      </c>
      <c r="W782" s="9">
        <f>Tabla1[[#This Row],[Protein]]/Tabla1[[#This Row],[Peso (Kg)]]</f>
        <v>0.26057218621096051</v>
      </c>
      <c r="X782" s="9">
        <f t="shared" si="3770"/>
        <v>0.27053347396646504</v>
      </c>
      <c r="Y782" s="6">
        <f t="shared" si="3939"/>
        <v>38.437049999999999</v>
      </c>
      <c r="Z782" s="6">
        <f t="shared" si="3947"/>
        <v>84.435714285714283</v>
      </c>
      <c r="AA782" s="6">
        <f t="shared" si="3948"/>
        <v>12.328307142857142</v>
      </c>
      <c r="AB782" s="6">
        <f t="shared" si="3949"/>
        <v>22.841092857142858</v>
      </c>
      <c r="AC782" s="6">
        <f t="shared" si="3943"/>
        <v>-0.28858674502836301</v>
      </c>
      <c r="AD782" s="42">
        <f>Tabla1[[#This Row],[Avg Agua)]]/Tabla1[[#This Row],[Avg Musculo]]</f>
        <v>1.999930576251512</v>
      </c>
      <c r="AE782" t="s">
        <v>242</v>
      </c>
    </row>
    <row r="783" spans="1:31" x14ac:dyDescent="0.3">
      <c r="A783" t="s">
        <v>223</v>
      </c>
      <c r="B783">
        <v>15</v>
      </c>
      <c r="C783" t="s">
        <v>23</v>
      </c>
      <c r="D783" s="4">
        <v>46126</v>
      </c>
      <c r="E783" s="6">
        <v>84.95</v>
      </c>
      <c r="F783" s="7">
        <f t="shared" si="3928"/>
        <v>24.035196921684022</v>
      </c>
      <c r="G783" s="9">
        <v>0.14899999999999999</v>
      </c>
      <c r="H783" s="6">
        <f t="shared" si="3929"/>
        <v>72.292450000000002</v>
      </c>
      <c r="I783" s="6">
        <f t="shared" si="3930"/>
        <v>22.394699999999993</v>
      </c>
      <c r="J783">
        <v>3.6</v>
      </c>
      <c r="K783" s="5">
        <v>7.0000000000000007E-2</v>
      </c>
      <c r="L783" s="17">
        <v>2079</v>
      </c>
      <c r="M783" s="5">
        <v>0.54500000000000004</v>
      </c>
      <c r="N783" s="6">
        <f t="shared" si="3931"/>
        <v>12.657550000000001</v>
      </c>
      <c r="O783" s="21">
        <f t="shared" si="3932"/>
        <v>46.297750000000008</v>
      </c>
      <c r="P783" s="8">
        <f t="shared" si="3679"/>
        <v>45.768278571428581</v>
      </c>
      <c r="Q783" s="8">
        <f t="shared" si="3933"/>
        <v>62.55530000000001</v>
      </c>
      <c r="R783" s="6">
        <f t="shared" si="3934"/>
        <v>22.394699999999993</v>
      </c>
      <c r="S783" s="6">
        <f t="shared" si="3935"/>
        <v>5.9465000000000003</v>
      </c>
      <c r="T783" s="6">
        <f t="shared" si="3936"/>
        <v>0.28514999999999446</v>
      </c>
      <c r="U783" s="6">
        <f t="shared" si="3937"/>
        <v>-6.9949999999998624E-2</v>
      </c>
      <c r="V783" s="6">
        <f t="shared" si="3938"/>
        <v>0.10000000000000853</v>
      </c>
      <c r="W783" s="9">
        <f>Tabla1[[#This Row],[Protein]]/Tabla1[[#This Row],[Peso (Kg)]]</f>
        <v>0.26362213066509704</v>
      </c>
      <c r="X783" s="9">
        <f t="shared" si="3770"/>
        <v>0.2697013771313877</v>
      </c>
      <c r="Y783" s="6">
        <f t="shared" si="3939"/>
        <v>38.652249999999995</v>
      </c>
      <c r="Z783" s="6">
        <f t="shared" si="3947"/>
        <v>84.485714285714295</v>
      </c>
      <c r="AA783" s="6">
        <f t="shared" si="3948"/>
        <v>12.347842857142856</v>
      </c>
      <c r="AB783" s="6">
        <f t="shared" si="3949"/>
        <v>22.78387857142857</v>
      </c>
      <c r="AC783" s="6">
        <f t="shared" si="3943"/>
        <v>-0.25048838981623911</v>
      </c>
      <c r="AD783" s="42">
        <f>Tabla1[[#This Row],[Avg Agua)]]/Tabla1[[#This Row],[Avg Musculo]]</f>
        <v>2.0088010225275208</v>
      </c>
    </row>
    <row r="784" spans="1:31" x14ac:dyDescent="0.3">
      <c r="A784" t="s">
        <v>223</v>
      </c>
      <c r="B784">
        <v>15</v>
      </c>
      <c r="C784" t="s">
        <v>24</v>
      </c>
      <c r="D784" s="4">
        <v>46127</v>
      </c>
      <c r="E784" s="6">
        <v>84.15</v>
      </c>
      <c r="F784" s="7">
        <f t="shared" ref="F784:F790" si="3950">E784/(1.88^2)</f>
        <v>23.808850158442738</v>
      </c>
      <c r="G784" s="9">
        <v>0.14199999999999999</v>
      </c>
      <c r="H784" s="6">
        <f t="shared" ref="H784:H790" si="3951">E784-N784</f>
        <v>72.200700000000012</v>
      </c>
      <c r="I784" s="6">
        <f t="shared" ref="I784:I790" si="3952">E784-N784-O784-J784</f>
        <v>22.907250000000005</v>
      </c>
      <c r="J784">
        <v>3.6</v>
      </c>
      <c r="K784" s="5">
        <v>6.5000000000000002E-2</v>
      </c>
      <c r="L784" s="17">
        <v>2073</v>
      </c>
      <c r="M784" s="5">
        <v>0.54300000000000004</v>
      </c>
      <c r="N784" s="6">
        <f t="shared" ref="N784:N790" si="3953">E784*G784</f>
        <v>11.949299999999999</v>
      </c>
      <c r="O784" s="21">
        <f t="shared" ref="O784:O790" si="3954">M784*E784</f>
        <v>45.693450000000006</v>
      </c>
      <c r="P784" s="8">
        <f t="shared" si="3679"/>
        <v>45.725614285714286</v>
      </c>
      <c r="Q784" s="8">
        <f t="shared" ref="Q784:Q790" si="3955">E784-R784</f>
        <v>61.242750000000001</v>
      </c>
      <c r="R784" s="6">
        <f t="shared" ref="R784:R790" si="3956">I784</f>
        <v>22.907250000000005</v>
      </c>
      <c r="S784" s="6">
        <f t="shared" ref="S784:S790" si="3957">K784*E784</f>
        <v>5.4697500000000003</v>
      </c>
      <c r="T784" s="6">
        <f t="shared" ref="T784:T790" si="3958">I784-I783</f>
        <v>0.51255000000001161</v>
      </c>
      <c r="U784" s="6">
        <f t="shared" ref="U784:U790" si="3959">N784-N783</f>
        <v>-0.70825000000000138</v>
      </c>
      <c r="V784" s="6">
        <f t="shared" ref="V784:V790" si="3960">E784-E783</f>
        <v>-0.79999999999999716</v>
      </c>
      <c r="W784" s="9">
        <f>Tabla1[[#This Row],[Protein]]/Tabla1[[#This Row],[Peso (Kg)]]</f>
        <v>0.27221925133689845</v>
      </c>
      <c r="X784" s="9">
        <f t="shared" si="3770"/>
        <v>0.27009026326435326</v>
      </c>
      <c r="Y784" s="6">
        <f t="shared" ref="Y784:Y790" si="3961">R784+N784+J784</f>
        <v>38.456550000000007</v>
      </c>
      <c r="Z784" s="6">
        <f t="shared" ref="Z784" si="3962">AVERAGE(E778:E784)</f>
        <v>84.407142857142858</v>
      </c>
      <c r="AA784" s="6">
        <f t="shared" ref="AA784" si="3963">AVERAGE(N778:N784)</f>
        <v>12.300385714285714</v>
      </c>
      <c r="AB784" s="6">
        <f t="shared" ref="AB784:AB785" si="3964">AVERAGE(R778:R784)</f>
        <v>22.79542857142857</v>
      </c>
      <c r="AC784" s="6">
        <f t="shared" ref="AC784:AC790" si="3965">100*(AB784/AB783-1)</f>
        <v>5.0693739276175265E-2</v>
      </c>
      <c r="AD784" s="42">
        <f>Tabla1[[#This Row],[Avg Agua)]]/Tabla1[[#This Row],[Avg Musculo]]</f>
        <v>2.0059115862829642</v>
      </c>
    </row>
    <row r="785" spans="1:31" x14ac:dyDescent="0.3">
      <c r="A785" t="s">
        <v>223</v>
      </c>
      <c r="B785">
        <v>15</v>
      </c>
      <c r="C785" t="s">
        <v>22</v>
      </c>
      <c r="D785" s="4">
        <v>46128</v>
      </c>
      <c r="E785" s="6">
        <v>83.9</v>
      </c>
      <c r="F785" s="7">
        <f t="shared" si="3950"/>
        <v>23.738116794929837</v>
      </c>
      <c r="G785" s="9">
        <v>0.14000000000000001</v>
      </c>
      <c r="H785" s="6">
        <f t="shared" si="3951"/>
        <v>72.153999999999996</v>
      </c>
      <c r="I785" s="6">
        <f t="shared" si="3952"/>
        <v>23.080199999999991</v>
      </c>
      <c r="J785">
        <v>3.6</v>
      </c>
      <c r="K785" s="5">
        <v>6.5000000000000002E-2</v>
      </c>
      <c r="L785" s="17">
        <v>2071</v>
      </c>
      <c r="M785" s="5">
        <v>0.54200000000000004</v>
      </c>
      <c r="N785" s="6">
        <f t="shared" si="3953"/>
        <v>11.746000000000002</v>
      </c>
      <c r="O785" s="21">
        <f t="shared" si="3954"/>
        <v>45.473800000000004</v>
      </c>
      <c r="P785" s="8">
        <f t="shared" si="3679"/>
        <v>45.659800000000004</v>
      </c>
      <c r="Q785" s="8">
        <f t="shared" si="3955"/>
        <v>60.819800000000015</v>
      </c>
      <c r="R785" s="6">
        <f t="shared" si="3956"/>
        <v>23.080199999999991</v>
      </c>
      <c r="S785" s="6">
        <f t="shared" si="3957"/>
        <v>5.4535000000000009</v>
      </c>
      <c r="T785" s="6">
        <f t="shared" si="3958"/>
        <v>0.17294999999998595</v>
      </c>
      <c r="U785" s="6">
        <f t="shared" si="3959"/>
        <v>-0.20329999999999693</v>
      </c>
      <c r="V785" s="6">
        <f t="shared" si="3960"/>
        <v>-0.25</v>
      </c>
      <c r="W785" s="9">
        <f>Tabla1[[#This Row],[Protein]]/Tabla1[[#This Row],[Peso (Kg)]]</f>
        <v>0.27509177592371858</v>
      </c>
      <c r="X785" s="9">
        <f t="shared" si="3770"/>
        <v>0.27117164212576944</v>
      </c>
      <c r="Y785" s="6">
        <f t="shared" si="3961"/>
        <v>38.426199999999994</v>
      </c>
      <c r="Z785" s="6">
        <f t="shared" ref="Z785" si="3966">AVERAGE(E779:E785)</f>
        <v>84.285714285714292</v>
      </c>
      <c r="AA785" s="6">
        <f t="shared" ref="AA785" si="3967">AVERAGE(N779:N785)</f>
        <v>12.186528571428571</v>
      </c>
      <c r="AB785" s="6">
        <f t="shared" si="3964"/>
        <v>22.853671428571428</v>
      </c>
      <c r="AC785" s="6">
        <f t="shared" si="3965"/>
        <v>0.25550235636218055</v>
      </c>
      <c r="AD785" s="42">
        <f>Tabla1[[#This Row],[Avg Agua)]]/Tabla1[[#This Row],[Avg Musculo]]</f>
        <v>1.9979196840520157</v>
      </c>
    </row>
    <row r="786" spans="1:31" x14ac:dyDescent="0.3">
      <c r="A786" t="s">
        <v>223</v>
      </c>
      <c r="B786">
        <v>15</v>
      </c>
      <c r="C786" t="s">
        <v>20</v>
      </c>
      <c r="D786" s="4">
        <v>46129</v>
      </c>
      <c r="E786" s="6">
        <v>84.3</v>
      </c>
      <c r="F786" s="7">
        <f t="shared" si="3950"/>
        <v>23.851290176550474</v>
      </c>
      <c r="G786" s="9">
        <v>0.14699999999999999</v>
      </c>
      <c r="H786" s="6">
        <f t="shared" si="3951"/>
        <v>71.907899999999998</v>
      </c>
      <c r="I786" s="6">
        <f t="shared" si="3952"/>
        <v>22.785899999999998</v>
      </c>
      <c r="J786">
        <v>3.6</v>
      </c>
      <c r="K786" s="5">
        <v>7.0000000000000007E-2</v>
      </c>
      <c r="L786" s="17">
        <v>2066</v>
      </c>
      <c r="M786" s="5">
        <v>0.54</v>
      </c>
      <c r="N786" s="6">
        <f t="shared" si="3953"/>
        <v>12.392099999999999</v>
      </c>
      <c r="O786" s="21">
        <f t="shared" si="3954"/>
        <v>45.521999999999998</v>
      </c>
      <c r="P786" s="8">
        <f t="shared" si="3679"/>
        <v>45.699257142857149</v>
      </c>
      <c r="Q786" s="8">
        <f t="shared" si="3955"/>
        <v>61.514099999999999</v>
      </c>
      <c r="R786" s="6">
        <f t="shared" si="3956"/>
        <v>22.785899999999998</v>
      </c>
      <c r="S786" s="6">
        <f t="shared" si="3957"/>
        <v>5.9010000000000007</v>
      </c>
      <c r="T786" s="6">
        <f t="shared" si="3958"/>
        <v>-0.29429999999999268</v>
      </c>
      <c r="U786" s="6">
        <f t="shared" si="3959"/>
        <v>0.64609999999999701</v>
      </c>
      <c r="V786" s="6">
        <f t="shared" si="3960"/>
        <v>0.39999999999999147</v>
      </c>
      <c r="W786" s="9">
        <f>Tabla1[[#This Row],[Protein]]/Tabla1[[#This Row],[Peso (Kg)]]</f>
        <v>0.2702953736654804</v>
      </c>
      <c r="X786" s="9">
        <f t="shared" si="3770"/>
        <v>0.27032900738017224</v>
      </c>
      <c r="Y786" s="6">
        <f t="shared" si="3961"/>
        <v>38.777999999999999</v>
      </c>
      <c r="Z786" s="6">
        <f t="shared" ref="Z786" si="3968">AVERAGE(E780:E786)</f>
        <v>84.314285714285703</v>
      </c>
      <c r="AA786" s="6">
        <f t="shared" ref="AA786" si="3969">AVERAGE(N780:N786)</f>
        <v>12.238785714285713</v>
      </c>
      <c r="AB786" s="6">
        <f t="shared" ref="AB786" si="3970">AVERAGE(R780:R786)</f>
        <v>22.79052857142857</v>
      </c>
      <c r="AC786" s="6">
        <f t="shared" si="3965"/>
        <v>-0.27629196184170146</v>
      </c>
      <c r="AD786" s="42">
        <f>Tabla1[[#This Row],[Avg Agua)]]/Tabla1[[#This Row],[Avg Musculo]]</f>
        <v>2.0051863650125337</v>
      </c>
    </row>
    <row r="787" spans="1:31" x14ac:dyDescent="0.3">
      <c r="A787" t="s">
        <v>223</v>
      </c>
      <c r="B787">
        <v>16</v>
      </c>
      <c r="C787" t="s">
        <v>22</v>
      </c>
      <c r="D787" s="4">
        <v>46135</v>
      </c>
      <c r="E787" s="6">
        <v>84.45</v>
      </c>
      <c r="F787" s="7">
        <f t="shared" si="3950"/>
        <v>23.893730194658218</v>
      </c>
      <c r="G787" s="9">
        <v>0.14599999999999999</v>
      </c>
      <c r="H787" s="6">
        <f t="shared" si="3951"/>
        <v>72.1203</v>
      </c>
      <c r="I787" s="6">
        <f t="shared" si="3952"/>
        <v>22.410599999999995</v>
      </c>
      <c r="J787">
        <v>3.6</v>
      </c>
      <c r="K787" s="5">
        <v>7.0000000000000007E-2</v>
      </c>
      <c r="L787" s="17">
        <v>2070</v>
      </c>
      <c r="M787" s="5">
        <v>0.54600000000000004</v>
      </c>
      <c r="N787" s="6">
        <f t="shared" si="3953"/>
        <v>12.329699999999999</v>
      </c>
      <c r="O787" s="21">
        <f t="shared" si="3954"/>
        <v>46.109700000000004</v>
      </c>
      <c r="P787" s="8">
        <f t="shared" si="3679"/>
        <v>45.822207142857145</v>
      </c>
      <c r="Q787" s="8">
        <f t="shared" si="3955"/>
        <v>62.039400000000008</v>
      </c>
      <c r="R787" s="6">
        <f t="shared" si="3956"/>
        <v>22.410599999999995</v>
      </c>
      <c r="S787" s="6">
        <f t="shared" si="3957"/>
        <v>5.9115000000000011</v>
      </c>
      <c r="T787" s="6">
        <f t="shared" si="3958"/>
        <v>-0.37530000000000285</v>
      </c>
      <c r="U787" s="6">
        <f t="shared" si="3959"/>
        <v>-6.2400000000000233E-2</v>
      </c>
      <c r="V787" s="6">
        <f t="shared" si="3960"/>
        <v>0.15000000000000568</v>
      </c>
      <c r="W787" s="9">
        <f>Tabla1[[#This Row],[Protein]]/Tabla1[[#This Row],[Peso (Kg)]]</f>
        <v>0.26537122557726461</v>
      </c>
      <c r="X787" s="9">
        <f t="shared" si="3770"/>
        <v>0.26905225146629724</v>
      </c>
      <c r="Y787" s="6">
        <f t="shared" si="3961"/>
        <v>38.340299999999992</v>
      </c>
      <c r="Z787" s="6">
        <f t="shared" ref="Z787" si="3971">AVERAGE(E781:E787)</f>
        <v>84.385714285714272</v>
      </c>
      <c r="AA787" s="6">
        <f t="shared" ref="AA787" si="3972">AVERAGE(N781:N787)</f>
        <v>12.261207142857144</v>
      </c>
      <c r="AB787" s="6">
        <f t="shared" ref="AB787" si="3973">AVERAGE(R781:R787)</f>
        <v>22.702299999999997</v>
      </c>
      <c r="AC787" s="6">
        <f t="shared" si="3965"/>
        <v>-0.38712823685529418</v>
      </c>
      <c r="AD787" s="42">
        <f>Tabla1[[#This Row],[Avg Agua)]]/Tabla1[[#This Row],[Avg Musculo]]</f>
        <v>2.018394926631097</v>
      </c>
      <c r="AE787" t="s">
        <v>243</v>
      </c>
    </row>
    <row r="788" spans="1:31" x14ac:dyDescent="0.3">
      <c r="A788" t="s">
        <v>223</v>
      </c>
      <c r="B788">
        <v>16</v>
      </c>
      <c r="C788" t="s">
        <v>20</v>
      </c>
      <c r="D788" s="4">
        <v>46136</v>
      </c>
      <c r="E788" s="6">
        <v>84.55</v>
      </c>
      <c r="F788" s="7">
        <f t="shared" si="3950"/>
        <v>23.922023540063378</v>
      </c>
      <c r="G788" s="9">
        <v>0.14199999999999999</v>
      </c>
      <c r="H788" s="6">
        <f t="shared" si="3951"/>
        <v>72.543899999999994</v>
      </c>
      <c r="I788" s="6">
        <f t="shared" si="3952"/>
        <v>23.625099999999989</v>
      </c>
      <c r="J788">
        <v>3.6</v>
      </c>
      <c r="K788" s="5">
        <v>7.0000000000000007E-2</v>
      </c>
      <c r="L788" s="17">
        <v>2081</v>
      </c>
      <c r="M788" s="5">
        <v>0.53600000000000003</v>
      </c>
      <c r="N788" s="6">
        <f t="shared" si="3953"/>
        <v>12.006099999999998</v>
      </c>
      <c r="O788" s="21">
        <f t="shared" si="3954"/>
        <v>45.318800000000003</v>
      </c>
      <c r="P788" s="8">
        <f t="shared" si="3679"/>
        <v>45.832635714285722</v>
      </c>
      <c r="Q788" s="8">
        <f t="shared" si="3955"/>
        <v>60.924900000000008</v>
      </c>
      <c r="R788" s="6">
        <f t="shared" si="3956"/>
        <v>23.625099999999989</v>
      </c>
      <c r="S788" s="6">
        <f t="shared" si="3957"/>
        <v>5.9185000000000008</v>
      </c>
      <c r="T788" s="6">
        <f t="shared" si="3958"/>
        <v>1.2144999999999939</v>
      </c>
      <c r="U788" s="6">
        <f t="shared" si="3959"/>
        <v>-0.32360000000000078</v>
      </c>
      <c r="V788" s="6">
        <f t="shared" si="3960"/>
        <v>9.9999999999994316E-2</v>
      </c>
      <c r="W788" s="9">
        <f>Tabla1[[#This Row],[Protein]]/Tabla1[[#This Row],[Peso (Kg)]]</f>
        <v>0.27942164399763442</v>
      </c>
      <c r="X788" s="9">
        <f t="shared" si="3770"/>
        <v>0.26951336962529349</v>
      </c>
      <c r="Y788" s="6">
        <f t="shared" si="3961"/>
        <v>39.231199999999987</v>
      </c>
      <c r="Z788" s="6">
        <f t="shared" ref="Z788" si="3974">AVERAGE(E782:E788)</f>
        <v>84.45</v>
      </c>
      <c r="AA788" s="6">
        <f t="shared" ref="AA788" si="3975">AVERAGE(N782:N788)</f>
        <v>12.258321428571429</v>
      </c>
      <c r="AB788" s="6">
        <f t="shared" ref="AB788" si="3976">AVERAGE(R782:R788)</f>
        <v>22.759042857142852</v>
      </c>
      <c r="AC788" s="6">
        <f t="shared" si="3965"/>
        <v>0.24994320902664846</v>
      </c>
      <c r="AD788" s="42">
        <f>Tabla1[[#This Row],[Avg Agua)]]/Tabla1[[#This Row],[Avg Musculo]]</f>
        <v>2.0138208799893049</v>
      </c>
    </row>
    <row r="789" spans="1:31" x14ac:dyDescent="0.3">
      <c r="A789" t="s">
        <v>223</v>
      </c>
      <c r="B789">
        <v>16</v>
      </c>
      <c r="C789" t="s">
        <v>121</v>
      </c>
      <c r="D789" s="4">
        <v>46137</v>
      </c>
      <c r="E789" s="6">
        <v>85.25</v>
      </c>
      <c r="F789" s="7">
        <f t="shared" si="3950"/>
        <v>24.120076957899503</v>
      </c>
      <c r="G789" s="9">
        <v>0.14799999999999999</v>
      </c>
      <c r="H789" s="6">
        <f t="shared" si="3951"/>
        <v>72.632999999999996</v>
      </c>
      <c r="I789" s="6">
        <f t="shared" si="3952"/>
        <v>23.509499999999989</v>
      </c>
      <c r="J789">
        <v>3.6</v>
      </c>
      <c r="K789" s="5">
        <v>7.0000000000000007E-2</v>
      </c>
      <c r="L789" s="17">
        <v>2087</v>
      </c>
      <c r="M789" s="5">
        <v>0.53400000000000003</v>
      </c>
      <c r="N789" s="6">
        <f t="shared" si="3953"/>
        <v>12.616999999999999</v>
      </c>
      <c r="O789" s="21">
        <f t="shared" si="3954"/>
        <v>45.523500000000006</v>
      </c>
      <c r="P789" s="8">
        <f t="shared" si="3679"/>
        <v>45.705571428571432</v>
      </c>
      <c r="Q789" s="8">
        <f t="shared" si="3955"/>
        <v>61.740500000000011</v>
      </c>
      <c r="R789" s="6">
        <f t="shared" si="3956"/>
        <v>23.509499999999989</v>
      </c>
      <c r="S789" s="6">
        <f t="shared" si="3957"/>
        <v>5.9675000000000002</v>
      </c>
      <c r="T789" s="6">
        <f t="shared" si="3958"/>
        <v>-0.11560000000000059</v>
      </c>
      <c r="U789" s="6">
        <f t="shared" si="3959"/>
        <v>0.61090000000000089</v>
      </c>
      <c r="V789" s="6">
        <f t="shared" si="3960"/>
        <v>0.70000000000000284</v>
      </c>
      <c r="W789" s="9">
        <f>Tabla1[[#This Row],[Protein]]/Tabla1[[#This Row],[Peso (Kg)]]</f>
        <v>0.27577126099706734</v>
      </c>
      <c r="X789" s="9">
        <f t="shared" si="3770"/>
        <v>0.27168466602330871</v>
      </c>
      <c r="Y789" s="6">
        <f t="shared" si="3961"/>
        <v>39.726499999999987</v>
      </c>
      <c r="Z789" s="6">
        <f t="shared" ref="Z789" si="3977">AVERAGE(E783:E789)</f>
        <v>84.507142857142853</v>
      </c>
      <c r="AA789" s="6">
        <f t="shared" ref="AA789" si="3978">AVERAGE(N783:N789)</f>
        <v>12.242535714285717</v>
      </c>
      <c r="AB789" s="6">
        <f t="shared" ref="AB789" si="3979">AVERAGE(R783:R789)</f>
        <v>22.959035714285708</v>
      </c>
      <c r="AC789" s="6">
        <f t="shared" si="3965"/>
        <v>0.87874019306610762</v>
      </c>
      <c r="AD789" s="42">
        <f>Tabla1[[#This Row],[Avg Agua)]]/Tabla1[[#This Row],[Avg Musculo]]</f>
        <v>1.9907443847971471</v>
      </c>
    </row>
    <row r="790" spans="1:31" x14ac:dyDescent="0.3">
      <c r="A790" t="s">
        <v>223</v>
      </c>
      <c r="B790">
        <v>16</v>
      </c>
      <c r="C790" t="s">
        <v>26</v>
      </c>
      <c r="D790" s="4">
        <v>46138</v>
      </c>
      <c r="E790" s="6">
        <v>85</v>
      </c>
      <c r="F790" s="7">
        <f t="shared" si="3950"/>
        <v>24.049343594386603</v>
      </c>
      <c r="G790" s="9">
        <v>0.154</v>
      </c>
      <c r="H790" s="6">
        <f t="shared" si="3951"/>
        <v>71.91</v>
      </c>
      <c r="I790" s="6">
        <f t="shared" si="3952"/>
        <v>22.834999999999994</v>
      </c>
      <c r="J790">
        <v>3.6</v>
      </c>
      <c r="K790" s="5">
        <v>7.0000000000000007E-2</v>
      </c>
      <c r="L790" s="17">
        <v>2068</v>
      </c>
      <c r="M790" s="5">
        <v>0.53500000000000003</v>
      </c>
      <c r="N790" s="6">
        <f t="shared" si="3953"/>
        <v>13.09</v>
      </c>
      <c r="O790" s="21">
        <f t="shared" si="3954"/>
        <v>45.475000000000001</v>
      </c>
      <c r="P790" s="8">
        <f t="shared" si="3679"/>
        <v>45.588035714285716</v>
      </c>
      <c r="Q790" s="8">
        <f t="shared" si="3955"/>
        <v>62.165000000000006</v>
      </c>
      <c r="R790" s="6">
        <f t="shared" si="3956"/>
        <v>22.834999999999994</v>
      </c>
      <c r="S790" s="6">
        <f t="shared" si="3957"/>
        <v>5.95</v>
      </c>
      <c r="T790" s="6">
        <f t="shared" si="3958"/>
        <v>-0.67449999999999477</v>
      </c>
      <c r="U790" s="6">
        <f t="shared" si="3959"/>
        <v>0.47300000000000075</v>
      </c>
      <c r="V790" s="6">
        <f t="shared" si="3960"/>
        <v>-0.25</v>
      </c>
      <c r="W790" s="9">
        <f>Tabla1[[#This Row],[Protein]]/Tabla1[[#This Row],[Peso (Kg)]]</f>
        <v>0.26864705882352935</v>
      </c>
      <c r="X790" s="9">
        <f t="shared" si="3770"/>
        <v>0.27240251290308476</v>
      </c>
      <c r="Y790" s="6">
        <f t="shared" si="3961"/>
        <v>39.524999999999999</v>
      </c>
      <c r="Z790" s="6">
        <f t="shared" ref="Z790" si="3980">AVERAGE(E784:E790)</f>
        <v>84.51428571428572</v>
      </c>
      <c r="AA790" s="6">
        <f t="shared" ref="AA790" si="3981">AVERAGE(N784:N790)</f>
        <v>12.304314285714286</v>
      </c>
      <c r="AB790" s="6">
        <f t="shared" ref="AB790" si="3982">AVERAGE(R784:R790)</f>
        <v>23.021935714285707</v>
      </c>
      <c r="AC790" s="6">
        <f t="shared" si="3965"/>
        <v>0.27396621000446153</v>
      </c>
      <c r="AD790" s="42">
        <f>Tabla1[[#This Row],[Avg Agua)]]/Tabla1[[#This Row],[Avg Musculo]]</f>
        <v>1.9801999397469068</v>
      </c>
    </row>
    <row r="791" spans="1:31" x14ac:dyDescent="0.3">
      <c r="A791" t="s">
        <v>244</v>
      </c>
      <c r="B791">
        <v>17</v>
      </c>
      <c r="C791" t="s">
        <v>21</v>
      </c>
      <c r="D791" s="4">
        <v>46139</v>
      </c>
      <c r="E791" s="6">
        <v>84.7</v>
      </c>
      <c r="F791" s="7">
        <f t="shared" ref="F791:F797" si="3983">E791/(1.88^2)</f>
        <v>23.964463558171122</v>
      </c>
      <c r="G791" s="9">
        <v>0.14899999999999999</v>
      </c>
      <c r="H791" s="6">
        <f t="shared" ref="H791:H797" si="3984">E791-N791</f>
        <v>72.079700000000003</v>
      </c>
      <c r="I791" s="6">
        <f t="shared" ref="I791:I797" si="3985">E791-N791-O791-J791</f>
        <v>22.995799999999996</v>
      </c>
      <c r="J791">
        <v>3.6</v>
      </c>
      <c r="K791" s="5">
        <v>7.0000000000000007E-2</v>
      </c>
      <c r="L791" s="17">
        <v>2071</v>
      </c>
      <c r="M791" s="5">
        <v>0.53700000000000003</v>
      </c>
      <c r="N791" s="6">
        <f t="shared" ref="N791:N797" si="3986">E791*G791</f>
        <v>12.6203</v>
      </c>
      <c r="O791" s="21">
        <f t="shared" ref="O791:O797" si="3987">M791*E791</f>
        <v>45.483900000000006</v>
      </c>
      <c r="P791" s="8">
        <f t="shared" si="3679"/>
        <v>45.55810000000001</v>
      </c>
      <c r="Q791" s="8">
        <f t="shared" ref="Q791:Q797" si="3988">E791-R791</f>
        <v>61.704200000000007</v>
      </c>
      <c r="R791" s="6">
        <f t="shared" ref="R791:R797" si="3989">I791</f>
        <v>22.995799999999996</v>
      </c>
      <c r="S791" s="6">
        <f t="shared" ref="S791:S797" si="3990">K791*E791</f>
        <v>5.9290000000000012</v>
      </c>
      <c r="T791" s="6">
        <f t="shared" ref="T791:T797" si="3991">I791-I790</f>
        <v>0.16080000000000183</v>
      </c>
      <c r="U791" s="6">
        <f t="shared" ref="U791:U797" si="3992">N791-N790</f>
        <v>-0.46969999999999956</v>
      </c>
      <c r="V791" s="6">
        <f t="shared" ref="V791:V797" si="3993">E791-E790</f>
        <v>-0.29999999999999716</v>
      </c>
      <c r="W791" s="9">
        <f>Tabla1[[#This Row],[Protein]]/Tabla1[[#This Row],[Peso (Kg)]]</f>
        <v>0.27149704840613925</v>
      </c>
      <c r="X791" s="9">
        <f t="shared" si="3770"/>
        <v>0.27229934105583337</v>
      </c>
      <c r="Y791" s="6">
        <f t="shared" ref="Y791:Y797" si="3994">R791+N791+J791</f>
        <v>39.216099999999997</v>
      </c>
      <c r="Z791" s="6">
        <f t="shared" ref="Z791" si="3995">AVERAGE(E785:E791)</f>
        <v>84.592857142857142</v>
      </c>
      <c r="AA791" s="6">
        <f t="shared" ref="AA791" si="3996">AVERAGE(N785:N791)</f>
        <v>12.400171428571428</v>
      </c>
      <c r="AB791" s="6">
        <f t="shared" ref="AB791" si="3997">AVERAGE(R785:R791)</f>
        <v>23.034585714285708</v>
      </c>
      <c r="AC791" s="6">
        <f t="shared" ref="AC791:AC797" si="3998">100*(AB791/AB790-1)</f>
        <v>5.4947595011101136E-2</v>
      </c>
      <c r="AD791" s="42">
        <f>Tabla1[[#This Row],[Avg Agua)]]/Tabla1[[#This Row],[Avg Musculo]]</f>
        <v>1.9778128664908243</v>
      </c>
    </row>
    <row r="792" spans="1:31" x14ac:dyDescent="0.3">
      <c r="A792" t="s">
        <v>244</v>
      </c>
      <c r="B792">
        <v>17</v>
      </c>
      <c r="C792" t="s">
        <v>23</v>
      </c>
      <c r="D792" s="4">
        <v>46140</v>
      </c>
      <c r="E792" s="6">
        <v>84.8</v>
      </c>
      <c r="F792" s="7">
        <f t="shared" si="3983"/>
        <v>23.992756903576279</v>
      </c>
      <c r="G792" s="9">
        <v>0.151</v>
      </c>
      <c r="H792" s="6">
        <f t="shared" si="3984"/>
        <v>71.995199999999997</v>
      </c>
      <c r="I792" s="6">
        <f t="shared" si="3985"/>
        <v>22.348799999999997</v>
      </c>
      <c r="J792">
        <v>3.6</v>
      </c>
      <c r="K792" s="5">
        <v>7.0000000000000007E-2</v>
      </c>
      <c r="L792" s="17">
        <v>2068</v>
      </c>
      <c r="M792" s="5">
        <v>0.54300000000000004</v>
      </c>
      <c r="N792" s="6">
        <f t="shared" si="3986"/>
        <v>12.804799999999998</v>
      </c>
      <c r="O792" s="21">
        <f t="shared" si="3987"/>
        <v>46.046399999999998</v>
      </c>
      <c r="P792" s="8">
        <f t="shared" si="3679"/>
        <v>45.639900000000004</v>
      </c>
      <c r="Q792" s="8">
        <f t="shared" si="3988"/>
        <v>62.4512</v>
      </c>
      <c r="R792" s="6">
        <f t="shared" si="3989"/>
        <v>22.348799999999997</v>
      </c>
      <c r="S792" s="6">
        <f t="shared" si="3990"/>
        <v>5.9359999999999999</v>
      </c>
      <c r="T792" s="6">
        <f t="shared" si="3991"/>
        <v>-0.64699999999999847</v>
      </c>
      <c r="U792" s="6">
        <f t="shared" si="3992"/>
        <v>0.18449999999999811</v>
      </c>
      <c r="V792" s="6">
        <f t="shared" si="3993"/>
        <v>9.9999999999994316E-2</v>
      </c>
      <c r="W792" s="9">
        <f>Tabla1[[#This Row],[Protein]]/Tabla1[[#This Row],[Peso (Kg)]]</f>
        <v>0.2635471698113207</v>
      </c>
      <c r="X792" s="9">
        <f t="shared" si="3770"/>
        <v>0.27065011161120517</v>
      </c>
      <c r="Y792" s="6">
        <f t="shared" si="3994"/>
        <v>38.753599999999999</v>
      </c>
      <c r="Z792" s="6">
        <f t="shared" ref="Z792:Z793" si="3999">AVERAGE(E786:E792)</f>
        <v>84.721428571428561</v>
      </c>
      <c r="AA792" s="6">
        <f t="shared" ref="AA792:AA793" si="4000">AVERAGE(N786:N792)</f>
        <v>12.551428571428572</v>
      </c>
      <c r="AB792" s="6">
        <f t="shared" ref="AB792:AB793" si="4001">AVERAGE(R786:R792)</f>
        <v>22.930099999999999</v>
      </c>
      <c r="AC792" s="6">
        <f t="shared" si="3998"/>
        <v>-0.45360361840980357</v>
      </c>
      <c r="AD792" s="42">
        <f>Tabla1[[#This Row],[Avg Agua)]]/Tabla1[[#This Row],[Avg Musculo]]</f>
        <v>1.9903925408088061</v>
      </c>
    </row>
    <row r="793" spans="1:31" x14ac:dyDescent="0.3">
      <c r="A793" t="s">
        <v>244</v>
      </c>
      <c r="B793">
        <v>17</v>
      </c>
      <c r="C793" t="s">
        <v>24</v>
      </c>
      <c r="D793" s="4">
        <v>46141</v>
      </c>
      <c r="E793" s="6">
        <v>84.35</v>
      </c>
      <c r="F793" s="7">
        <f t="shared" si="3983"/>
        <v>23.865436849253054</v>
      </c>
      <c r="G793" s="9">
        <v>0.152</v>
      </c>
      <c r="H793" s="6">
        <f t="shared" si="3984"/>
        <v>71.52879999999999</v>
      </c>
      <c r="I793" s="6">
        <f t="shared" si="3985"/>
        <v>22.648499999999991</v>
      </c>
      <c r="J793">
        <v>3.5</v>
      </c>
      <c r="K793" s="5">
        <v>7.0000000000000007E-2</v>
      </c>
      <c r="L793" s="17">
        <v>2055</v>
      </c>
      <c r="M793" s="5">
        <v>0.53800000000000003</v>
      </c>
      <c r="N793" s="6">
        <f t="shared" si="3986"/>
        <v>12.821199999999999</v>
      </c>
      <c r="O793" s="21">
        <f t="shared" si="3987"/>
        <v>45.380299999999998</v>
      </c>
      <c r="P793" s="8">
        <f t="shared" ref="P793:P798" si="4002">AVERAGE(O787:O793)</f>
        <v>45.619657142857143</v>
      </c>
      <c r="Q793" s="8">
        <f t="shared" si="3988"/>
        <v>61.701500000000003</v>
      </c>
      <c r="R793" s="6">
        <f t="shared" si="3989"/>
        <v>22.648499999999991</v>
      </c>
      <c r="S793" s="6">
        <f t="shared" si="3990"/>
        <v>5.9045000000000005</v>
      </c>
      <c r="T793" s="6">
        <f t="shared" si="3991"/>
        <v>0.2996999999999943</v>
      </c>
      <c r="U793" s="6">
        <f t="shared" si="3992"/>
        <v>1.6400000000000858E-2</v>
      </c>
      <c r="V793" s="6">
        <f t="shared" si="3993"/>
        <v>-0.45000000000000284</v>
      </c>
      <c r="W793" s="9">
        <f>Tabla1[[#This Row],[Protein]]/Tabla1[[#This Row],[Peso (Kg)]]</f>
        <v>0.26850622406638996</v>
      </c>
      <c r="X793" s="9">
        <f t="shared" si="3770"/>
        <v>0.27039451881133514</v>
      </c>
      <c r="Y793" s="6">
        <f t="shared" si="3994"/>
        <v>38.969699999999989</v>
      </c>
      <c r="Z793" s="6">
        <f t="shared" si="3999"/>
        <v>84.728571428571428</v>
      </c>
      <c r="AA793" s="6">
        <f t="shared" si="4000"/>
        <v>12.612728571428573</v>
      </c>
      <c r="AB793" s="6">
        <f t="shared" si="4001"/>
        <v>22.910471428571419</v>
      </c>
      <c r="AC793" s="6">
        <f t="shared" si="3998"/>
        <v>-8.5601769850895959E-2</v>
      </c>
      <c r="AD793" s="42">
        <f>Tabla1[[#This Row],[Avg Agua)]]/Tabla1[[#This Row],[Avg Musculo]]</f>
        <v>1.9912142482570361</v>
      </c>
    </row>
    <row r="794" spans="1:31" x14ac:dyDescent="0.3">
      <c r="A794" t="s">
        <v>244</v>
      </c>
      <c r="B794">
        <v>17</v>
      </c>
      <c r="C794" t="s">
        <v>22</v>
      </c>
      <c r="D794" s="4">
        <v>46142</v>
      </c>
      <c r="E794" s="6">
        <v>84.1</v>
      </c>
      <c r="F794" s="7">
        <f t="shared" si="3983"/>
        <v>23.794703485740154</v>
      </c>
      <c r="G794" s="9">
        <v>0.14599999999999999</v>
      </c>
      <c r="H794" s="6">
        <f t="shared" si="3984"/>
        <v>71.821399999999997</v>
      </c>
      <c r="I794" s="6">
        <f t="shared" si="3985"/>
        <v>22.991499999999995</v>
      </c>
      <c r="J794">
        <v>3.5</v>
      </c>
      <c r="K794" s="5">
        <v>7.0000000000000007E-2</v>
      </c>
      <c r="L794" s="17">
        <v>2060</v>
      </c>
      <c r="M794" s="5">
        <v>0.53900000000000003</v>
      </c>
      <c r="N794" s="6">
        <f t="shared" si="3986"/>
        <v>12.278599999999999</v>
      </c>
      <c r="O794" s="21">
        <f t="shared" si="3987"/>
        <v>45.329900000000002</v>
      </c>
      <c r="P794" s="8">
        <f t="shared" si="4002"/>
        <v>45.508257142857147</v>
      </c>
      <c r="Q794" s="8">
        <f t="shared" si="3988"/>
        <v>61.108499999999999</v>
      </c>
      <c r="R794" s="6">
        <f t="shared" si="3989"/>
        <v>22.991499999999995</v>
      </c>
      <c r="S794" s="6">
        <f t="shared" si="3990"/>
        <v>5.8870000000000005</v>
      </c>
      <c r="T794" s="6">
        <f t="shared" si="3991"/>
        <v>0.34300000000000352</v>
      </c>
      <c r="U794" s="6">
        <f t="shared" si="3992"/>
        <v>-0.54260000000000019</v>
      </c>
      <c r="V794" s="6">
        <f t="shared" si="3993"/>
        <v>-0.25</v>
      </c>
      <c r="W794" s="9">
        <f>Tabla1[[#This Row],[Protein]]/Tabla1[[#This Row],[Peso (Kg)]]</f>
        <v>0.27338287752675383</v>
      </c>
      <c r="X794" s="9">
        <f t="shared" si="3770"/>
        <v>0.27153904051840499</v>
      </c>
      <c r="Y794" s="6">
        <f t="shared" si="3994"/>
        <v>38.770099999999992</v>
      </c>
      <c r="Z794" s="6">
        <f t="shared" ref="Z794" si="4003">AVERAGE(E788:E794)</f>
        <v>84.678571428571431</v>
      </c>
      <c r="AA794" s="6">
        <f t="shared" ref="AA794" si="4004">AVERAGE(N788:N794)</f>
        <v>12.605428571428572</v>
      </c>
      <c r="AB794" s="6">
        <f t="shared" ref="AB794" si="4005">AVERAGE(R788:R794)</f>
        <v>22.993457142857135</v>
      </c>
      <c r="AC794" s="6">
        <f t="shared" si="3998"/>
        <v>0.36221740152506676</v>
      </c>
      <c r="AD794" s="42">
        <f>Tabla1[[#This Row],[Avg Agua)]]/Tabla1[[#This Row],[Avg Musculo]]</f>
        <v>1.9791828979921005</v>
      </c>
    </row>
    <row r="795" spans="1:31" x14ac:dyDescent="0.3">
      <c r="A795" t="s">
        <v>244</v>
      </c>
      <c r="B795">
        <v>17</v>
      </c>
      <c r="C795" t="s">
        <v>20</v>
      </c>
      <c r="D795" s="4">
        <v>46143</v>
      </c>
      <c r="E795" s="6">
        <v>83.75</v>
      </c>
      <c r="F795" s="7">
        <f t="shared" si="3983"/>
        <v>23.695676776822094</v>
      </c>
      <c r="G795" s="9">
        <v>0.14499999999999999</v>
      </c>
      <c r="H795" s="6">
        <f t="shared" si="3984"/>
        <v>71.606250000000003</v>
      </c>
      <c r="I795" s="6">
        <f t="shared" si="3985"/>
        <v>23.299999999999997</v>
      </c>
      <c r="J795">
        <v>3.5</v>
      </c>
      <c r="K795" s="5">
        <v>7.0000000000000007E-2</v>
      </c>
      <c r="L795" s="17">
        <v>2054</v>
      </c>
      <c r="M795" s="5">
        <v>0.53500000000000003</v>
      </c>
      <c r="N795" s="6">
        <f t="shared" si="3986"/>
        <v>12.143749999999999</v>
      </c>
      <c r="O795" s="21">
        <f t="shared" si="3987"/>
        <v>44.806250000000006</v>
      </c>
      <c r="P795" s="8">
        <f t="shared" si="4002"/>
        <v>45.435035714285718</v>
      </c>
      <c r="Q795" s="8">
        <f t="shared" si="3988"/>
        <v>60.45</v>
      </c>
      <c r="R795" s="6">
        <f t="shared" si="3989"/>
        <v>23.299999999999997</v>
      </c>
      <c r="S795" s="6">
        <f t="shared" si="3990"/>
        <v>5.8625000000000007</v>
      </c>
      <c r="T795" s="6">
        <f t="shared" si="3991"/>
        <v>0.30850000000000222</v>
      </c>
      <c r="U795" s="6">
        <f t="shared" si="3992"/>
        <v>-0.13485000000000014</v>
      </c>
      <c r="V795" s="6">
        <f t="shared" si="3993"/>
        <v>-0.34999999999999432</v>
      </c>
      <c r="W795" s="9">
        <f>Tabla1[[#This Row],[Protein]]/Tabla1[[#This Row],[Peso (Kg)]]</f>
        <v>0.27820895522388056</v>
      </c>
      <c r="X795" s="9">
        <f t="shared" si="3770"/>
        <v>0.27136579926501164</v>
      </c>
      <c r="Y795" s="6">
        <f t="shared" si="3994"/>
        <v>38.943749999999994</v>
      </c>
      <c r="Z795" s="6">
        <f t="shared" ref="Z795" si="4006">AVERAGE(E789:E795)</f>
        <v>84.564285714285717</v>
      </c>
      <c r="AA795" s="6">
        <f t="shared" ref="AA795" si="4007">AVERAGE(N789:N795)</f>
        <v>12.625092857142857</v>
      </c>
      <c r="AB795" s="6">
        <f t="shared" ref="AB795" si="4008">AVERAGE(R789:R795)</f>
        <v>22.947014285714285</v>
      </c>
      <c r="AC795" s="6">
        <f t="shared" si="3998"/>
        <v>-0.20198292433496468</v>
      </c>
      <c r="AD795" s="42">
        <f>Tabla1[[#This Row],[Avg Agua)]]/Tabla1[[#This Row],[Avg Musculo]]</f>
        <v>1.9799977090078948</v>
      </c>
    </row>
    <row r="796" spans="1:31" x14ac:dyDescent="0.3">
      <c r="A796" t="s">
        <v>244</v>
      </c>
      <c r="B796">
        <v>17</v>
      </c>
      <c r="C796" t="s">
        <v>121</v>
      </c>
      <c r="D796" s="4">
        <v>46144</v>
      </c>
      <c r="E796" s="6">
        <v>83.5</v>
      </c>
      <c r="F796" s="7">
        <f t="shared" si="3983"/>
        <v>23.62494341330919</v>
      </c>
      <c r="G796" s="9">
        <v>0.13500000000000001</v>
      </c>
      <c r="H796" s="6">
        <f t="shared" si="3984"/>
        <v>72.227499999999992</v>
      </c>
      <c r="I796" s="6">
        <f t="shared" si="3985"/>
        <v>23.537499999999987</v>
      </c>
      <c r="J796">
        <v>3.6</v>
      </c>
      <c r="K796" s="5">
        <v>6.5000000000000002E-2</v>
      </c>
      <c r="L796" s="17">
        <v>2069</v>
      </c>
      <c r="M796" s="5">
        <v>0.54</v>
      </c>
      <c r="N796" s="6">
        <f t="shared" si="3986"/>
        <v>11.272500000000001</v>
      </c>
      <c r="O796" s="21">
        <f t="shared" si="3987"/>
        <v>45.09</v>
      </c>
      <c r="P796" s="8">
        <f t="shared" si="4002"/>
        <v>45.373107142857144</v>
      </c>
      <c r="Q796" s="8">
        <f t="shared" si="3988"/>
        <v>59.962500000000013</v>
      </c>
      <c r="R796" s="6">
        <f t="shared" si="3989"/>
        <v>23.537499999999987</v>
      </c>
      <c r="S796" s="6">
        <f t="shared" si="3990"/>
        <v>5.4275000000000002</v>
      </c>
      <c r="T796" s="6">
        <f t="shared" si="3991"/>
        <v>0.23749999999999005</v>
      </c>
      <c r="U796" s="6">
        <f t="shared" si="3992"/>
        <v>-0.87124999999999808</v>
      </c>
      <c r="V796" s="6">
        <f t="shared" si="3993"/>
        <v>-0.25</v>
      </c>
      <c r="W796" s="9">
        <f>Tabla1[[#This Row],[Protein]]/Tabla1[[#This Row],[Peso (Kg)]]</f>
        <v>0.28188622754491005</v>
      </c>
      <c r="X796" s="9">
        <f t="shared" si="3770"/>
        <v>0.27223936591470344</v>
      </c>
      <c r="Y796" s="6">
        <f t="shared" si="3994"/>
        <v>38.409999999999989</v>
      </c>
      <c r="Z796" s="6">
        <f t="shared" ref="Z796" si="4009">AVERAGE(E790:E796)</f>
        <v>84.314285714285717</v>
      </c>
      <c r="AA796" s="6">
        <f t="shared" ref="AA796" si="4010">AVERAGE(N790:N796)</f>
        <v>12.433021428571427</v>
      </c>
      <c r="AB796" s="6">
        <f t="shared" ref="AB796" si="4011">AVERAGE(R790:R796)</f>
        <v>22.951014285714283</v>
      </c>
      <c r="AC796" s="6">
        <f t="shared" si="3998"/>
        <v>1.743146167163534E-2</v>
      </c>
      <c r="AD796" s="42">
        <f>Tabla1[[#This Row],[Avg Agua)]]/Tabla1[[#This Row],[Avg Musculo]]</f>
        <v>1.9769543331729507</v>
      </c>
    </row>
    <row r="797" spans="1:31" x14ac:dyDescent="0.3">
      <c r="A797" t="s">
        <v>244</v>
      </c>
      <c r="B797">
        <v>18</v>
      </c>
      <c r="C797" t="s">
        <v>23</v>
      </c>
      <c r="D797" s="4">
        <v>46147</v>
      </c>
      <c r="E797" s="6">
        <v>85.45</v>
      </c>
      <c r="F797" s="7">
        <f t="shared" si="3983"/>
        <v>24.176663648709827</v>
      </c>
      <c r="G797" s="9">
        <v>0.153</v>
      </c>
      <c r="H797" s="6">
        <f t="shared" si="3984"/>
        <v>72.376149999999996</v>
      </c>
      <c r="I797" s="6">
        <f t="shared" si="3985"/>
        <v>22.205899999999993</v>
      </c>
      <c r="J797">
        <v>3.6</v>
      </c>
      <c r="K797" s="5">
        <v>7.0000000000000007E-2</v>
      </c>
      <c r="L797" s="17">
        <v>2079</v>
      </c>
      <c r="M797" s="5">
        <v>0.54500000000000004</v>
      </c>
      <c r="N797" s="6">
        <f t="shared" si="3986"/>
        <v>13.07385</v>
      </c>
      <c r="O797" s="21">
        <f t="shared" si="3987"/>
        <v>46.570250000000001</v>
      </c>
      <c r="P797" s="8">
        <f t="shared" si="4002"/>
        <v>45.52957142857143</v>
      </c>
      <c r="Q797" s="8">
        <f t="shared" si="3988"/>
        <v>63.24410000000001</v>
      </c>
      <c r="R797" s="6">
        <f t="shared" si="3989"/>
        <v>22.205899999999993</v>
      </c>
      <c r="S797" s="6">
        <f t="shared" si="3990"/>
        <v>5.9815000000000005</v>
      </c>
      <c r="T797" s="6">
        <f t="shared" si="3991"/>
        <v>-1.3315999999999946</v>
      </c>
      <c r="U797" s="6">
        <f t="shared" si="3992"/>
        <v>1.8013499999999993</v>
      </c>
      <c r="V797" s="6">
        <f t="shared" si="3993"/>
        <v>1.9500000000000028</v>
      </c>
      <c r="W797" s="9">
        <f>Tabla1[[#This Row],[Protein]]/Tabla1[[#This Row],[Peso (Kg)]]</f>
        <v>0.25987009947337614</v>
      </c>
      <c r="X797" s="9">
        <f t="shared" si="3770"/>
        <v>0.27098551457896719</v>
      </c>
      <c r="Y797" s="6">
        <f t="shared" si="3994"/>
        <v>38.879749999999994</v>
      </c>
      <c r="Z797" s="6">
        <f t="shared" ref="Z797" si="4012">AVERAGE(E791:E797)</f>
        <v>84.378571428571419</v>
      </c>
      <c r="AA797" s="6">
        <f t="shared" ref="AA797" si="4013">AVERAGE(N791:N797)</f>
        <v>12.430714285714284</v>
      </c>
      <c r="AB797" s="6">
        <f t="shared" ref="AB797" si="4014">AVERAGE(R791:R797)</f>
        <v>22.861142857142848</v>
      </c>
      <c r="AC797" s="6">
        <f t="shared" si="3998"/>
        <v>-0.39157933262834455</v>
      </c>
      <c r="AD797" s="42">
        <f>Tabla1[[#This Row],[Avg Agua)]]/Tabla1[[#This Row],[Avg Musculo]]</f>
        <v>1.9915702252105889</v>
      </c>
    </row>
    <row r="798" spans="1:31" x14ac:dyDescent="0.3">
      <c r="A798" t="s">
        <v>244</v>
      </c>
      <c r="B798">
        <v>18</v>
      </c>
      <c r="C798" t="s">
        <v>24</v>
      </c>
      <c r="D798" s="4">
        <v>46148</v>
      </c>
      <c r="E798" s="6">
        <v>85.85</v>
      </c>
      <c r="F798" s="7">
        <f>E798/(1.88^2)</f>
        <v>24.289837030330467</v>
      </c>
      <c r="G798" s="9">
        <v>0.157</v>
      </c>
      <c r="H798" s="6">
        <f>E798-N798</f>
        <v>72.371549999999999</v>
      </c>
      <c r="I798" s="6">
        <f>E798-N798-O798-J798</f>
        <v>21.554049999999997</v>
      </c>
      <c r="J798">
        <v>3.6</v>
      </c>
      <c r="K798" s="5">
        <v>7.4999999999999997E-2</v>
      </c>
      <c r="L798" s="17">
        <v>2082</v>
      </c>
      <c r="M798" s="5">
        <v>0.55000000000000004</v>
      </c>
      <c r="N798" s="6">
        <f>E798*G798</f>
        <v>13.478449999999999</v>
      </c>
      <c r="O798" s="21">
        <f>M798*E798</f>
        <v>47.217500000000001</v>
      </c>
      <c r="P798" s="8">
        <f t="shared" si="4002"/>
        <v>45.777228571428573</v>
      </c>
      <c r="Q798" s="8">
        <f>E798-R798</f>
        <v>64.295950000000005</v>
      </c>
      <c r="R798" s="6">
        <f>I798</f>
        <v>21.554049999999997</v>
      </c>
      <c r="S798" s="6">
        <f>K798*E798</f>
        <v>6.4387499999999998</v>
      </c>
      <c r="T798" s="6">
        <f>I798-I797</f>
        <v>-0.65184999999999604</v>
      </c>
      <c r="U798" s="6">
        <f>N798-N797</f>
        <v>0.40459999999999852</v>
      </c>
      <c r="V798" s="6">
        <f>E798-E797</f>
        <v>0.39999999999999147</v>
      </c>
      <c r="W798" s="9">
        <f>Tabla1[[#This Row],[Protein]]/Tabla1[[#This Row],[Peso (Kg)]]</f>
        <v>0.25106639487478155</v>
      </c>
      <c r="X798" s="9">
        <f t="shared" si="3770"/>
        <v>0.26806684978877326</v>
      </c>
      <c r="Y798" s="6">
        <f>R798+N798+J798</f>
        <v>38.6325</v>
      </c>
      <c r="Z798" s="6">
        <f t="shared" ref="Z798" si="4015">AVERAGE(E792:E798)</f>
        <v>84.54285714285713</v>
      </c>
      <c r="AA798" s="6">
        <f t="shared" ref="AA798" si="4016">AVERAGE(N792:N798)</f>
        <v>12.553307142857141</v>
      </c>
      <c r="AB798" s="6">
        <f t="shared" ref="AB798" si="4017">AVERAGE(R792:R798)</f>
        <v>22.655178571428564</v>
      </c>
      <c r="AC798" s="6">
        <f>100*(AB798/AB797-1)</f>
        <v>-0.90093608618491139</v>
      </c>
      <c r="AD798" s="42">
        <f>Tabla1[[#This Row],[Avg Agua)]]/Tabla1[[#This Row],[Avg Musculo]]</f>
        <v>2.0206077134682237</v>
      </c>
    </row>
  </sheetData>
  <phoneticPr fontId="3" type="noConversion"/>
  <conditionalFormatting sqref="E2:E798">
    <cfRule type="colorScale" priority="142">
      <colorScale>
        <cfvo type="min"/>
        <cfvo type="max"/>
        <color theme="9"/>
        <color rgb="FFFF0000"/>
      </colorScale>
    </cfRule>
  </conditionalFormatting>
  <conditionalFormatting sqref="G2:G798">
    <cfRule type="colorScale" priority="143">
      <colorScale>
        <cfvo type="min"/>
        <cfvo type="max"/>
        <color theme="9"/>
        <color rgb="FFFF0000"/>
      </colorScale>
    </cfRule>
  </conditionalFormatting>
  <conditionalFormatting sqref="H1">
    <cfRule type="colorScale" priority="120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I1">
    <cfRule type="colorScale" priority="119">
      <colorScale>
        <cfvo type="min"/>
        <cfvo type="max"/>
        <color rgb="FFFF0000"/>
        <color rgb="FF92D050"/>
      </colorScale>
    </cfRule>
  </conditionalFormatting>
  <conditionalFormatting sqref="I2:I798">
    <cfRule type="colorScale" priority="144">
      <colorScale>
        <cfvo type="min"/>
        <cfvo type="max"/>
        <color rgb="FFFF0000"/>
        <color theme="9"/>
      </colorScale>
    </cfRule>
  </conditionalFormatting>
  <conditionalFormatting sqref="L1">
    <cfRule type="colorScale" priority="30">
      <colorScale>
        <cfvo type="min"/>
        <cfvo type="max"/>
        <color rgb="FFFF0000"/>
        <color rgb="FF92D050"/>
      </colorScale>
    </cfRule>
  </conditionalFormatting>
  <conditionalFormatting sqref="L2:L798">
    <cfRule type="colorScale" priority="145">
      <colorScale>
        <cfvo type="min"/>
        <cfvo type="max"/>
        <color rgb="FFFF0000"/>
        <color theme="9"/>
      </colorScale>
    </cfRule>
  </conditionalFormatting>
  <conditionalFormatting sqref="M1">
    <cfRule type="colorScale" priority="127">
      <colorScale>
        <cfvo type="min"/>
        <cfvo type="max"/>
        <color rgb="FFFF0000"/>
        <color rgb="FF92D050"/>
      </colorScale>
    </cfRule>
  </conditionalFormatting>
  <conditionalFormatting sqref="N2:N798">
    <cfRule type="colorScale" priority="146">
      <colorScale>
        <cfvo type="min"/>
        <cfvo type="max"/>
        <color theme="9"/>
        <color rgb="FFFF0000"/>
      </colorScale>
    </cfRule>
  </conditionalFormatting>
  <conditionalFormatting sqref="O1">
    <cfRule type="colorScale" priority="27">
      <colorScale>
        <cfvo type="min"/>
        <cfvo type="max"/>
        <color rgb="FFFF0000"/>
        <color rgb="FF92D050"/>
      </colorScale>
    </cfRule>
  </conditionalFormatting>
  <conditionalFormatting sqref="O2:O798">
    <cfRule type="colorScale" priority="147">
      <colorScale>
        <cfvo type="min"/>
        <cfvo type="max"/>
        <color rgb="FFFF0000"/>
        <color theme="9"/>
      </colorScale>
    </cfRule>
  </conditionalFormatting>
  <conditionalFormatting sqref="R1">
    <cfRule type="colorScale" priority="25">
      <colorScale>
        <cfvo type="min"/>
        <cfvo type="max"/>
        <color rgb="FFFF0000"/>
        <color rgb="FF92D050"/>
      </colorScale>
    </cfRule>
  </conditionalFormatting>
  <conditionalFormatting sqref="R2:R798">
    <cfRule type="colorScale" priority="148">
      <colorScale>
        <cfvo type="min"/>
        <cfvo type="max"/>
        <color rgb="FFFF0000"/>
        <color theme="9"/>
      </colorScale>
    </cfRule>
  </conditionalFormatting>
  <conditionalFormatting sqref="S1">
    <cfRule type="colorScale" priority="126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Y2:Y798">
    <cfRule type="colorScale" priority="149">
      <colorScale>
        <cfvo type="min"/>
        <cfvo type="max"/>
        <color theme="9"/>
        <color rgb="FFFF0000"/>
      </colorScale>
    </cfRule>
  </conditionalFormatting>
  <conditionalFormatting sqref="Z1:Z1048576">
    <cfRule type="top10" dxfId="10" priority="3" rank="1"/>
  </conditionalFormatting>
  <conditionalFormatting sqref="Z2:Z798">
    <cfRule type="colorScale" priority="153">
      <colorScale>
        <cfvo type="min"/>
        <cfvo type="max"/>
        <color theme="9"/>
        <color rgb="FFFF0000"/>
      </colorScale>
    </cfRule>
  </conditionalFormatting>
  <conditionalFormatting sqref="AA2:AA798">
    <cfRule type="colorScale" priority="154">
      <colorScale>
        <cfvo type="min"/>
        <cfvo type="max"/>
        <color theme="9"/>
        <color rgb="FFFF0000"/>
      </colorScale>
    </cfRule>
  </conditionalFormatting>
  <conditionalFormatting sqref="AB1">
    <cfRule type="colorScale" priority="20">
      <colorScale>
        <cfvo type="min"/>
        <cfvo type="max"/>
        <color rgb="FFFF0000"/>
        <color rgb="FF92D050"/>
      </colorScale>
    </cfRule>
  </conditionalFormatting>
  <conditionalFormatting sqref="AB2:AB798">
    <cfRule type="colorScale" priority="155">
      <colorScale>
        <cfvo type="min"/>
        <cfvo type="max"/>
        <color rgb="FFFF0000"/>
        <color theme="9"/>
      </colorScale>
    </cfRule>
  </conditionalFormatting>
  <conditionalFormatting sqref="AC1:AD1048576">
    <cfRule type="iconSet" priority="108">
      <iconSet iconSet="3Symbols">
        <cfvo type="percent" val="0"/>
        <cfvo type="num" val="0"/>
        <cfvo type="num" val="0.2"/>
      </iconSet>
    </cfRule>
  </conditionalFormatting>
  <conditionalFormatting sqref="AG23">
    <cfRule type="iconSet" priority="97">
      <iconSet iconSet="3Arrows" reverse="1">
        <cfvo type="percent" val="0"/>
        <cfvo type="num" val="0"/>
        <cfvo type="num" val="0.5"/>
      </iconSet>
    </cfRule>
  </conditionalFormatting>
  <conditionalFormatting sqref="AG24">
    <cfRule type="iconSet" priority="14">
      <iconSet iconSet="3Arrows" reverse="1">
        <cfvo type="percent" val="0"/>
        <cfvo type="num" val="0"/>
        <cfvo type="num" val="0.5"/>
      </iconSet>
    </cfRule>
  </conditionalFormatting>
  <conditionalFormatting sqref="AG99">
    <cfRule type="iconSet" priority="35">
      <iconSet iconSet="3Arrows" reverse="1">
        <cfvo type="percent" val="0"/>
        <cfvo type="num" val="0"/>
        <cfvo type="num" val="0.5"/>
      </iconSet>
    </cfRule>
  </conditionalFormatting>
  <conditionalFormatting sqref="AG103">
    <cfRule type="iconSet" priority="17">
      <iconSet iconSet="3Arrows" reverse="1">
        <cfvo type="percent" val="0"/>
        <cfvo type="num" val="0"/>
        <cfvo type="num" val="0.5"/>
      </iconSet>
    </cfRule>
  </conditionalFormatting>
  <conditionalFormatting sqref="AH23">
    <cfRule type="iconSet" priority="98">
      <iconSet iconSet="3Arrows">
        <cfvo type="percent" val="0"/>
        <cfvo type="num" val="0"/>
        <cfvo type="num" val="0.5"/>
      </iconSet>
    </cfRule>
  </conditionalFormatting>
  <conditionalFormatting sqref="AH24">
    <cfRule type="iconSet" priority="15">
      <iconSet iconSet="3Arrows">
        <cfvo type="percent" val="0"/>
        <cfvo type="num" val="0"/>
        <cfvo type="num" val="0.5"/>
      </iconSet>
    </cfRule>
  </conditionalFormatting>
  <conditionalFormatting sqref="AH46:AH95">
    <cfRule type="iconSet" priority="92">
      <iconSet iconSet="3Arrows">
        <cfvo type="percent" val="0"/>
        <cfvo type="num" val="0"/>
        <cfvo type="num" val="0.5"/>
      </iconSet>
    </cfRule>
  </conditionalFormatting>
  <conditionalFormatting sqref="AH99">
    <cfRule type="iconSet" priority="36">
      <iconSet iconSet="3Arrows">
        <cfvo type="percent" val="0"/>
        <cfvo type="num" val="0"/>
        <cfvo type="num" val="0.5"/>
      </iconSet>
    </cfRule>
  </conditionalFormatting>
  <conditionalFormatting sqref="AH103">
    <cfRule type="iconSet" priority="18">
      <iconSet iconSet="3Arrows">
        <cfvo type="percent" val="0"/>
        <cfvo type="num" val="0"/>
        <cfvo type="num" val="0.5"/>
      </iconSet>
    </cfRule>
  </conditionalFormatting>
  <conditionalFormatting sqref="AH56:AM56 AG46:AG95">
    <cfRule type="iconSet" priority="91">
      <iconSet iconSet="3Arrows" reverse="1">
        <cfvo type="percent" val="0"/>
        <cfvo type="num" val="0"/>
        <cfvo type="num" val="0.5"/>
      </iconSet>
    </cfRule>
  </conditionalFormatting>
  <conditionalFormatting sqref="AI23:AL23">
    <cfRule type="iconSet" priority="96">
      <iconSet iconSet="3Arrows" reverse="1">
        <cfvo type="percent" val="0"/>
        <cfvo type="num" val="0"/>
        <cfvo type="num" val="0.5"/>
      </iconSet>
    </cfRule>
  </conditionalFormatting>
  <conditionalFormatting sqref="AI24:AL24">
    <cfRule type="iconSet" priority="13">
      <iconSet iconSet="3Arrows" reverse="1">
        <cfvo type="percent" val="0"/>
        <cfvo type="num" val="0"/>
        <cfvo type="num" val="0.5"/>
      </iconSet>
    </cfRule>
  </conditionalFormatting>
  <conditionalFormatting sqref="AI46:AL46">
    <cfRule type="iconSet" priority="90">
      <iconSet iconSet="3Arrows" reverse="1">
        <cfvo type="percent" val="0"/>
        <cfvo type="num" val="0"/>
        <cfvo type="num" val="0.5"/>
      </iconSet>
    </cfRule>
  </conditionalFormatting>
  <conditionalFormatting sqref="AI47:AL47">
    <cfRule type="iconSet" priority="89">
      <iconSet iconSet="3Arrows" reverse="1">
        <cfvo type="percent" val="0"/>
        <cfvo type="num" val="0"/>
        <cfvo type="num" val="0.5"/>
      </iconSet>
    </cfRule>
  </conditionalFormatting>
  <conditionalFormatting sqref="AI48:AL48">
    <cfRule type="iconSet" priority="86">
      <iconSet iconSet="3Arrows" reverse="1">
        <cfvo type="percent" val="0"/>
        <cfvo type="num" val="0"/>
        <cfvo type="num" val="0.5"/>
      </iconSet>
    </cfRule>
  </conditionalFormatting>
  <conditionalFormatting sqref="AI49:AL49">
    <cfRule type="iconSet" priority="85">
      <iconSet iconSet="3Arrows" reverse="1">
        <cfvo type="percent" val="0"/>
        <cfvo type="num" val="0"/>
        <cfvo type="num" val="0.5"/>
      </iconSet>
    </cfRule>
  </conditionalFormatting>
  <conditionalFormatting sqref="AI50:AL50">
    <cfRule type="iconSet" priority="84">
      <iconSet iconSet="3Arrows" reverse="1">
        <cfvo type="percent" val="0"/>
        <cfvo type="num" val="0"/>
        <cfvo type="num" val="0.5"/>
      </iconSet>
    </cfRule>
  </conditionalFormatting>
  <conditionalFormatting sqref="AI51:AL51">
    <cfRule type="iconSet" priority="83">
      <iconSet iconSet="3Arrows" reverse="1">
        <cfvo type="percent" val="0"/>
        <cfvo type="num" val="0"/>
        <cfvo type="num" val="0.5"/>
      </iconSet>
    </cfRule>
  </conditionalFormatting>
  <conditionalFormatting sqref="AI52:AL52">
    <cfRule type="iconSet" priority="82">
      <iconSet iconSet="3Arrows" reverse="1">
        <cfvo type="percent" val="0"/>
        <cfvo type="num" val="0"/>
        <cfvo type="num" val="0.5"/>
      </iconSet>
    </cfRule>
  </conditionalFormatting>
  <conditionalFormatting sqref="AI53:AL53">
    <cfRule type="iconSet" priority="81">
      <iconSet iconSet="3Arrows" reverse="1">
        <cfvo type="percent" val="0"/>
        <cfvo type="num" val="0"/>
        <cfvo type="num" val="0.5"/>
      </iconSet>
    </cfRule>
  </conditionalFormatting>
  <conditionalFormatting sqref="AI54:AL54">
    <cfRule type="iconSet" priority="80">
      <iconSet iconSet="3Arrows" reverse="1">
        <cfvo type="percent" val="0"/>
        <cfvo type="num" val="0"/>
        <cfvo type="num" val="0.5"/>
      </iconSet>
    </cfRule>
  </conditionalFormatting>
  <conditionalFormatting sqref="AI54:AL61">
    <cfRule type="iconSet" priority="73">
      <iconSet iconSet="3Arrows" reverse="1">
        <cfvo type="percent" val="0"/>
        <cfvo type="num" val="0"/>
        <cfvo type="num" val="0.5"/>
      </iconSet>
    </cfRule>
  </conditionalFormatting>
  <conditionalFormatting sqref="AI55:AL55">
    <cfRule type="iconSet" priority="79">
      <iconSet iconSet="3Arrows" reverse="1">
        <cfvo type="percent" val="0"/>
        <cfvo type="num" val="0"/>
        <cfvo type="num" val="0.5"/>
      </iconSet>
    </cfRule>
  </conditionalFormatting>
  <conditionalFormatting sqref="AI57:AL57">
    <cfRule type="iconSet" priority="77">
      <iconSet iconSet="3Arrows" reverse="1">
        <cfvo type="percent" val="0"/>
        <cfvo type="num" val="0"/>
        <cfvo type="num" val="0.5"/>
      </iconSet>
    </cfRule>
  </conditionalFormatting>
  <conditionalFormatting sqref="AI58:AL58">
    <cfRule type="iconSet" priority="76">
      <iconSet iconSet="3Arrows" reverse="1">
        <cfvo type="percent" val="0"/>
        <cfvo type="num" val="0"/>
        <cfvo type="num" val="0.5"/>
      </iconSet>
    </cfRule>
  </conditionalFormatting>
  <conditionalFormatting sqref="AI59:AL59">
    <cfRule type="iconSet" priority="75">
      <iconSet iconSet="3Arrows" reverse="1">
        <cfvo type="percent" val="0"/>
        <cfvo type="num" val="0"/>
        <cfvo type="num" val="0.5"/>
      </iconSet>
    </cfRule>
  </conditionalFormatting>
  <conditionalFormatting sqref="AI60:AL60">
    <cfRule type="iconSet" priority="74">
      <iconSet iconSet="3Arrows" reverse="1">
        <cfvo type="percent" val="0"/>
        <cfvo type="num" val="0"/>
        <cfvo type="num" val="0.5"/>
      </iconSet>
    </cfRule>
  </conditionalFormatting>
  <conditionalFormatting sqref="AI62:AL62">
    <cfRule type="iconSet" priority="72">
      <iconSet iconSet="3Arrows" reverse="1">
        <cfvo type="percent" val="0"/>
        <cfvo type="num" val="0"/>
        <cfvo type="num" val="0.5"/>
      </iconSet>
    </cfRule>
  </conditionalFormatting>
  <conditionalFormatting sqref="AI63:AL63">
    <cfRule type="iconSet" priority="71">
      <iconSet iconSet="3Arrows" reverse="1">
        <cfvo type="percent" val="0"/>
        <cfvo type="num" val="0"/>
        <cfvo type="num" val="0.5"/>
      </iconSet>
    </cfRule>
  </conditionalFormatting>
  <conditionalFormatting sqref="AI64:AL65">
    <cfRule type="iconSet" priority="70">
      <iconSet iconSet="3Arrows" reverse="1">
        <cfvo type="percent" val="0"/>
        <cfvo type="num" val="0"/>
        <cfvo type="num" val="0.5"/>
      </iconSet>
    </cfRule>
  </conditionalFormatting>
  <conditionalFormatting sqref="AI66:AL66">
    <cfRule type="iconSet" priority="69">
      <iconSet iconSet="3Arrows" reverse="1">
        <cfvo type="percent" val="0"/>
        <cfvo type="num" val="0"/>
        <cfvo type="num" val="0.5"/>
      </iconSet>
    </cfRule>
  </conditionalFormatting>
  <conditionalFormatting sqref="AI67:AL67">
    <cfRule type="iconSet" priority="68">
      <iconSet iconSet="3Arrows" reverse="1">
        <cfvo type="percent" val="0"/>
        <cfvo type="num" val="0"/>
        <cfvo type="num" val="0.5"/>
      </iconSet>
    </cfRule>
  </conditionalFormatting>
  <conditionalFormatting sqref="AI68:AL68">
    <cfRule type="iconSet" priority="67">
      <iconSet iconSet="3Arrows" reverse="1">
        <cfvo type="percent" val="0"/>
        <cfvo type="num" val="0"/>
        <cfvo type="num" val="0.5"/>
      </iconSet>
    </cfRule>
  </conditionalFormatting>
  <conditionalFormatting sqref="AI69:AL69">
    <cfRule type="iconSet" priority="66">
      <iconSet iconSet="3Arrows" reverse="1">
        <cfvo type="percent" val="0"/>
        <cfvo type="num" val="0"/>
        <cfvo type="num" val="0.5"/>
      </iconSet>
    </cfRule>
  </conditionalFormatting>
  <conditionalFormatting sqref="AI70:AL70">
    <cfRule type="iconSet" priority="65">
      <iconSet iconSet="3Arrows" reverse="1">
        <cfvo type="percent" val="0"/>
        <cfvo type="num" val="0"/>
        <cfvo type="num" val="0.5"/>
      </iconSet>
    </cfRule>
  </conditionalFormatting>
  <conditionalFormatting sqref="AI71:AL71">
    <cfRule type="iconSet" priority="64">
      <iconSet iconSet="3Arrows" reverse="1">
        <cfvo type="percent" val="0"/>
        <cfvo type="num" val="0"/>
        <cfvo type="num" val="0.5"/>
      </iconSet>
    </cfRule>
  </conditionalFormatting>
  <conditionalFormatting sqref="AI72:AL72">
    <cfRule type="iconSet" priority="63">
      <iconSet iconSet="3Arrows" reverse="1">
        <cfvo type="percent" val="0"/>
        <cfvo type="num" val="0"/>
        <cfvo type="num" val="0.5"/>
      </iconSet>
    </cfRule>
  </conditionalFormatting>
  <conditionalFormatting sqref="AI73:AL73">
    <cfRule type="iconSet" priority="62">
      <iconSet iconSet="3Arrows" reverse="1">
        <cfvo type="percent" val="0"/>
        <cfvo type="num" val="0"/>
        <cfvo type="num" val="0.5"/>
      </iconSet>
    </cfRule>
  </conditionalFormatting>
  <conditionalFormatting sqref="AI74:AL74">
    <cfRule type="iconSet" priority="61">
      <iconSet iconSet="3Arrows" reverse="1">
        <cfvo type="percent" val="0"/>
        <cfvo type="num" val="0"/>
        <cfvo type="num" val="0.5"/>
      </iconSet>
    </cfRule>
  </conditionalFormatting>
  <conditionalFormatting sqref="AI75:AL75">
    <cfRule type="iconSet" priority="60">
      <iconSet iconSet="3Arrows" reverse="1">
        <cfvo type="percent" val="0"/>
        <cfvo type="num" val="0"/>
        <cfvo type="num" val="0.5"/>
      </iconSet>
    </cfRule>
  </conditionalFormatting>
  <conditionalFormatting sqref="AI76:AL77">
    <cfRule type="iconSet" priority="59">
      <iconSet iconSet="3Arrows" reverse="1">
        <cfvo type="percent" val="0"/>
        <cfvo type="num" val="0"/>
        <cfvo type="num" val="0.5"/>
      </iconSet>
    </cfRule>
  </conditionalFormatting>
  <conditionalFormatting sqref="AI78:AL78">
    <cfRule type="iconSet" priority="58">
      <iconSet iconSet="3Arrows" reverse="1">
        <cfvo type="percent" val="0"/>
        <cfvo type="num" val="0"/>
        <cfvo type="num" val="0.5"/>
      </iconSet>
    </cfRule>
  </conditionalFormatting>
  <conditionalFormatting sqref="AI79:AL79">
    <cfRule type="iconSet" priority="57">
      <iconSet iconSet="3Arrows" reverse="1">
        <cfvo type="percent" val="0"/>
        <cfvo type="num" val="0"/>
        <cfvo type="num" val="0.5"/>
      </iconSet>
    </cfRule>
  </conditionalFormatting>
  <conditionalFormatting sqref="AI80:AL80">
    <cfRule type="iconSet" priority="56">
      <iconSet iconSet="3Arrows" reverse="1">
        <cfvo type="percent" val="0"/>
        <cfvo type="num" val="0"/>
        <cfvo type="num" val="0.5"/>
      </iconSet>
    </cfRule>
  </conditionalFormatting>
  <conditionalFormatting sqref="AI81:AL81">
    <cfRule type="iconSet" priority="55">
      <iconSet iconSet="3Arrows" reverse="1">
        <cfvo type="percent" val="0"/>
        <cfvo type="num" val="0"/>
        <cfvo type="num" val="0.5"/>
      </iconSet>
    </cfRule>
  </conditionalFormatting>
  <conditionalFormatting sqref="AI82:AL82">
    <cfRule type="iconSet" priority="54">
      <iconSet iconSet="3Arrows" reverse="1">
        <cfvo type="percent" val="0"/>
        <cfvo type="num" val="0"/>
        <cfvo type="num" val="0.5"/>
      </iconSet>
    </cfRule>
  </conditionalFormatting>
  <conditionalFormatting sqref="AI83:AL83">
    <cfRule type="iconSet" priority="53">
      <iconSet iconSet="3Arrows" reverse="1">
        <cfvo type="percent" val="0"/>
        <cfvo type="num" val="0"/>
        <cfvo type="num" val="0.5"/>
      </iconSet>
    </cfRule>
  </conditionalFormatting>
  <conditionalFormatting sqref="AI84:AL84">
    <cfRule type="iconSet" priority="52">
      <iconSet iconSet="3Arrows" reverse="1">
        <cfvo type="percent" val="0"/>
        <cfvo type="num" val="0"/>
        <cfvo type="num" val="0.5"/>
      </iconSet>
    </cfRule>
  </conditionalFormatting>
  <conditionalFormatting sqref="AI85:AL85">
    <cfRule type="iconSet" priority="51">
      <iconSet iconSet="3Arrows" reverse="1">
        <cfvo type="percent" val="0"/>
        <cfvo type="num" val="0"/>
        <cfvo type="num" val="0.5"/>
      </iconSet>
    </cfRule>
  </conditionalFormatting>
  <conditionalFormatting sqref="AI86:AL86">
    <cfRule type="iconSet" priority="50">
      <iconSet iconSet="3Arrows" reverse="1">
        <cfvo type="percent" val="0"/>
        <cfvo type="num" val="0"/>
        <cfvo type="num" val="0.5"/>
      </iconSet>
    </cfRule>
  </conditionalFormatting>
  <conditionalFormatting sqref="AI87:AL87">
    <cfRule type="iconSet" priority="49">
      <iconSet iconSet="3Arrows" reverse="1">
        <cfvo type="percent" val="0"/>
        <cfvo type="num" val="0"/>
        <cfvo type="num" val="0.5"/>
      </iconSet>
    </cfRule>
  </conditionalFormatting>
  <conditionalFormatting sqref="AI88:AL88">
    <cfRule type="iconSet" priority="48">
      <iconSet iconSet="3Arrows" reverse="1">
        <cfvo type="percent" val="0"/>
        <cfvo type="num" val="0"/>
        <cfvo type="num" val="0.5"/>
      </iconSet>
    </cfRule>
  </conditionalFormatting>
  <conditionalFormatting sqref="AI89:AL89">
    <cfRule type="iconSet" priority="47">
      <iconSet iconSet="3Arrows" reverse="1">
        <cfvo type="percent" val="0"/>
        <cfvo type="num" val="0"/>
        <cfvo type="num" val="0.5"/>
      </iconSet>
    </cfRule>
  </conditionalFormatting>
  <conditionalFormatting sqref="AI90:AL90">
    <cfRule type="iconSet" priority="46">
      <iconSet iconSet="3Arrows" reverse="1">
        <cfvo type="percent" val="0"/>
        <cfvo type="num" val="0"/>
        <cfvo type="num" val="0.5"/>
      </iconSet>
    </cfRule>
  </conditionalFormatting>
  <conditionalFormatting sqref="AI91:AL91">
    <cfRule type="iconSet" priority="45">
      <iconSet iconSet="3Arrows" reverse="1">
        <cfvo type="percent" val="0"/>
        <cfvo type="num" val="0"/>
        <cfvo type="num" val="0.5"/>
      </iconSet>
    </cfRule>
  </conditionalFormatting>
  <conditionalFormatting sqref="AI92:AL92">
    <cfRule type="iconSet" priority="44">
      <iconSet iconSet="3Arrows" reverse="1">
        <cfvo type="percent" val="0"/>
        <cfvo type="num" val="0"/>
        <cfvo type="num" val="0.5"/>
      </iconSet>
    </cfRule>
  </conditionalFormatting>
  <conditionalFormatting sqref="AI93:AL93">
    <cfRule type="iconSet" priority="43">
      <iconSet iconSet="3Arrows" reverse="1">
        <cfvo type="percent" val="0"/>
        <cfvo type="num" val="0"/>
        <cfvo type="num" val="0.5"/>
      </iconSet>
    </cfRule>
  </conditionalFormatting>
  <conditionalFormatting sqref="AI94:AL94">
    <cfRule type="iconSet" priority="42">
      <iconSet iconSet="3Arrows" reverse="1">
        <cfvo type="percent" val="0"/>
        <cfvo type="num" val="0"/>
        <cfvo type="num" val="0.5"/>
      </iconSet>
    </cfRule>
  </conditionalFormatting>
  <conditionalFormatting sqref="AI95:AL95">
    <cfRule type="iconSet" priority="41">
      <iconSet iconSet="3Arrows" reverse="1">
        <cfvo type="percent" val="0"/>
        <cfvo type="num" val="0"/>
        <cfvo type="num" val="0.5"/>
      </iconSet>
    </cfRule>
  </conditionalFormatting>
  <conditionalFormatting sqref="AI99:AL99">
    <cfRule type="iconSet" priority="34">
      <iconSet iconSet="3Arrows" reverse="1">
        <cfvo type="percent" val="0"/>
        <cfvo type="num" val="0"/>
        <cfvo type="num" val="0.5"/>
      </iconSet>
    </cfRule>
  </conditionalFormatting>
  <conditionalFormatting sqref="AI103:AL103">
    <cfRule type="iconSet" priority="16">
      <iconSet iconSet="3Arrows" reverse="1">
        <cfvo type="percent" val="0"/>
        <cfvo type="num" val="0"/>
        <cfvo type="num" val="0.5"/>
      </iconSet>
    </cfRule>
  </conditionalFormatting>
  <pageMargins left="0.7" right="0.7" top="0.75" bottom="0.75" header="0.3" footer="0.3"/>
  <pageSetup orientation="portrait" r:id="rId1"/>
  <ignoredErrors>
    <ignoredError sqref="AA339:AB340 AA393:AB394 AA410:AB411 Z8 Z9:Z41 Z428:Z490 Z491:AB492 Z493:Z500 Z501:AB502 Z503:Z513 Z514:AB515 Z516:Z547 Z548:Z549 Z550:Z551 Z552:AB553 Z554:Z616 Z617:AB618 Z619:Z620 Z621:AB622 Z623:Z713 Z714:AB715 Z716:Z717 Z718:Z719 Z720:AB721 Z722:Z737 Z738:AB739 Z740:Z777 Z778:AB779 Z780:Z795 Z796:Z797" formulaRange="1"/>
    <ignoredError sqref="P2:P673 P674:P675 P676:P692 P693:P694 P695:P701 P702:P704 P705:P733 P734:P736 P737:P739 P740:P745 P746:P747 P748:P749 P750:P754 P755:P756 P757:P758 P759:P761 P762:P795 P796:P797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20B0F-6E98-4440-8534-ABD44519183C}">
  <dimension ref="A1:V26"/>
  <sheetViews>
    <sheetView tabSelected="1" topLeftCell="B1" workbookViewId="0">
      <selection activeCell="D10" sqref="D10"/>
    </sheetView>
  </sheetViews>
  <sheetFormatPr baseColWidth="10" defaultRowHeight="14.4" x14ac:dyDescent="0.3"/>
  <cols>
    <col min="1" max="1" width="16.5546875" bestFit="1" customWidth="1"/>
    <col min="2" max="2" width="20.21875" bestFit="1" customWidth="1"/>
    <col min="3" max="3" width="20.88671875" bestFit="1" customWidth="1"/>
    <col min="4" max="4" width="23.21875" bestFit="1" customWidth="1"/>
    <col min="5" max="5" width="17" bestFit="1" customWidth="1"/>
    <col min="6" max="6" width="7" bestFit="1" customWidth="1"/>
    <col min="7" max="7" width="16.5546875" bestFit="1" customWidth="1"/>
    <col min="8" max="9" width="10.77734375" bestFit="1" customWidth="1"/>
    <col min="10" max="10" width="20.21875" bestFit="1" customWidth="1"/>
    <col min="11" max="11" width="20.88671875" bestFit="1" customWidth="1"/>
    <col min="12" max="12" width="23.21875" bestFit="1" customWidth="1"/>
    <col min="13" max="13" width="17" bestFit="1" customWidth="1"/>
    <col min="14" max="14" width="4.44140625" bestFit="1" customWidth="1"/>
    <col min="15" max="16" width="5.6640625" bestFit="1" customWidth="1"/>
    <col min="17" max="17" width="16.5546875" bestFit="1" customWidth="1"/>
    <col min="18" max="19" width="10.77734375" bestFit="1" customWidth="1"/>
    <col min="20" max="20" width="20.21875" bestFit="1" customWidth="1"/>
    <col min="21" max="21" width="15.77734375" bestFit="1" customWidth="1"/>
    <col min="22" max="22" width="6" bestFit="1" customWidth="1"/>
    <col min="23" max="23" width="17" bestFit="1" customWidth="1"/>
    <col min="24" max="24" width="7.6640625" bestFit="1" customWidth="1"/>
    <col min="25" max="47" width="6.6640625" bestFit="1" customWidth="1"/>
    <col min="48" max="48" width="8.6640625" bestFit="1" customWidth="1"/>
    <col min="49" max="76" width="6.5546875" bestFit="1" customWidth="1"/>
    <col min="77" max="77" width="8.5546875" bestFit="1" customWidth="1"/>
    <col min="78" max="78" width="11" bestFit="1" customWidth="1"/>
    <col min="79" max="79" width="8.33203125" bestFit="1" customWidth="1"/>
    <col min="80" max="106" width="6.33203125" bestFit="1" customWidth="1"/>
    <col min="107" max="107" width="8.33203125" bestFit="1" customWidth="1"/>
    <col min="108" max="131" width="6.88671875" bestFit="1" customWidth="1"/>
    <col min="132" max="132" width="8.88671875" bestFit="1" customWidth="1"/>
    <col min="133" max="159" width="6.109375" bestFit="1" customWidth="1"/>
    <col min="160" max="160" width="8.109375" bestFit="1" customWidth="1"/>
    <col min="161" max="161" width="11" bestFit="1" customWidth="1"/>
    <col min="162" max="162" width="9.6640625" bestFit="1" customWidth="1"/>
    <col min="163" max="163" width="8.33203125" bestFit="1" customWidth="1"/>
    <col min="164" max="192" width="6.6640625" bestFit="1" customWidth="1"/>
    <col min="193" max="193" width="8.6640625" bestFit="1" customWidth="1"/>
    <col min="194" max="220" width="6.44140625" bestFit="1" customWidth="1"/>
    <col min="221" max="221" width="8.44140625" bestFit="1" customWidth="1"/>
    <col min="222" max="242" width="7" bestFit="1" customWidth="1"/>
    <col min="243" max="243" width="9" bestFit="1" customWidth="1"/>
    <col min="244" max="244" width="11" bestFit="1" customWidth="1"/>
    <col min="245" max="245" width="8.33203125" bestFit="1" customWidth="1"/>
    <col min="246" max="271" width="6.44140625" bestFit="1" customWidth="1"/>
    <col min="272" max="272" width="8.44140625" bestFit="1" customWidth="1"/>
    <col min="273" max="300" width="7.33203125" bestFit="1" customWidth="1"/>
    <col min="301" max="301" width="9.33203125" bestFit="1" customWidth="1"/>
    <col min="302" max="327" width="6.44140625" bestFit="1" customWidth="1"/>
    <col min="328" max="328" width="8.44140625" bestFit="1" customWidth="1"/>
    <col min="329" max="329" width="11" bestFit="1" customWidth="1"/>
    <col min="330" max="330" width="8.33203125" bestFit="1" customWidth="1"/>
    <col min="331" max="340" width="5.6640625" bestFit="1" customWidth="1"/>
    <col min="341" max="341" width="7.6640625" bestFit="1" customWidth="1"/>
    <col min="342" max="362" width="6.6640625" bestFit="1" customWidth="1"/>
    <col min="363" max="363" width="8.6640625" bestFit="1" customWidth="1"/>
    <col min="364" max="389" width="6.5546875" bestFit="1" customWidth="1"/>
    <col min="390" max="390" width="8.5546875" bestFit="1" customWidth="1"/>
    <col min="391" max="391" width="11" bestFit="1" customWidth="1"/>
    <col min="392" max="392" width="8.33203125" bestFit="1" customWidth="1"/>
    <col min="393" max="415" width="6.33203125" bestFit="1" customWidth="1"/>
    <col min="416" max="416" width="8.33203125" bestFit="1" customWidth="1"/>
    <col min="417" max="435" width="6.88671875" bestFit="1" customWidth="1"/>
    <col min="436" max="436" width="8.88671875" bestFit="1" customWidth="1"/>
    <col min="437" max="455" width="6.109375" bestFit="1" customWidth="1"/>
    <col min="456" max="456" width="8.109375" bestFit="1" customWidth="1"/>
    <col min="457" max="457" width="11" bestFit="1" customWidth="1"/>
    <col min="458" max="458" width="9.6640625" bestFit="1" customWidth="1"/>
    <col min="459" max="459" width="8.33203125" bestFit="1" customWidth="1"/>
    <col min="460" max="463" width="6.6640625" bestFit="1" customWidth="1"/>
    <col min="464" max="464" width="8.6640625" bestFit="1" customWidth="1"/>
    <col min="465" max="465" width="11" bestFit="1" customWidth="1"/>
    <col min="466" max="466" width="9.6640625" bestFit="1" customWidth="1"/>
    <col min="467" max="467" width="11.88671875" bestFit="1" customWidth="1"/>
  </cols>
  <sheetData>
    <row r="1" spans="1:22" x14ac:dyDescent="0.3">
      <c r="A1" s="12" t="s">
        <v>31</v>
      </c>
      <c r="B1" t="s">
        <v>36</v>
      </c>
      <c r="G1" s="12" t="s">
        <v>2</v>
      </c>
      <c r="H1" t="s">
        <v>36</v>
      </c>
    </row>
    <row r="2" spans="1:22" x14ac:dyDescent="0.3">
      <c r="A2" s="12" t="s">
        <v>214</v>
      </c>
      <c r="B2" t="s">
        <v>36</v>
      </c>
    </row>
    <row r="3" spans="1:22" x14ac:dyDescent="0.3">
      <c r="G3" s="12" t="s">
        <v>37</v>
      </c>
      <c r="H3" t="s">
        <v>137</v>
      </c>
      <c r="I3" t="s">
        <v>136</v>
      </c>
      <c r="J3" t="s">
        <v>39</v>
      </c>
      <c r="K3" t="s">
        <v>41</v>
      </c>
      <c r="L3" t="s">
        <v>42</v>
      </c>
      <c r="M3" t="s">
        <v>40</v>
      </c>
      <c r="N3" s="38" t="s">
        <v>138</v>
      </c>
      <c r="Q3" s="12" t="s">
        <v>31</v>
      </c>
      <c r="R3" t="s">
        <v>36</v>
      </c>
    </row>
    <row r="4" spans="1:22" x14ac:dyDescent="0.3">
      <c r="A4" s="12" t="s">
        <v>37</v>
      </c>
      <c r="B4" t="s">
        <v>39</v>
      </c>
      <c r="C4" t="s">
        <v>41</v>
      </c>
      <c r="D4" t="s">
        <v>42</v>
      </c>
      <c r="E4" t="s">
        <v>40</v>
      </c>
      <c r="G4" s="13">
        <v>1</v>
      </c>
      <c r="H4" s="4">
        <v>45110</v>
      </c>
      <c r="I4" s="4">
        <v>45138</v>
      </c>
      <c r="J4" s="15">
        <v>93.61818181818181</v>
      </c>
      <c r="K4" s="15">
        <v>17.703513636363638</v>
      </c>
      <c r="L4" s="15">
        <v>24.035311363636364</v>
      </c>
      <c r="M4" s="14">
        <v>0.18909090909090909</v>
      </c>
      <c r="N4" s="39">
        <f>I4-H4</f>
        <v>28</v>
      </c>
    </row>
    <row r="5" spans="1:22" x14ac:dyDescent="0.3">
      <c r="A5" s="13" t="s">
        <v>73</v>
      </c>
      <c r="B5" s="15">
        <v>91.266447368421055</v>
      </c>
      <c r="C5" s="15">
        <v>16.178371381578941</v>
      </c>
      <c r="D5" s="15">
        <v>23.702003618421056</v>
      </c>
      <c r="E5" s="14">
        <v>0.177138157894737</v>
      </c>
      <c r="G5" s="13">
        <v>2</v>
      </c>
      <c r="H5" s="4">
        <v>45139</v>
      </c>
      <c r="I5" s="4">
        <v>45179</v>
      </c>
      <c r="J5" s="15">
        <v>92.281818181818167</v>
      </c>
      <c r="K5" s="15">
        <v>16.965860606060613</v>
      </c>
      <c r="L5" s="15">
        <v>23.727503030303033</v>
      </c>
      <c r="M5" s="14">
        <v>0.18378787878787875</v>
      </c>
      <c r="N5" s="39">
        <f t="shared" ref="N5:N17" si="0">I5-H5</f>
        <v>40</v>
      </c>
      <c r="Q5" s="12" t="s">
        <v>37</v>
      </c>
      <c r="R5" t="s">
        <v>137</v>
      </c>
      <c r="S5" t="s">
        <v>136</v>
      </c>
      <c r="T5" t="s">
        <v>39</v>
      </c>
      <c r="U5" t="s">
        <v>186</v>
      </c>
      <c r="V5" s="1" t="s">
        <v>187</v>
      </c>
    </row>
    <row r="6" spans="1:22" x14ac:dyDescent="0.3">
      <c r="A6" s="13" t="s">
        <v>74</v>
      </c>
      <c r="B6" s="15">
        <v>87.789426523297408</v>
      </c>
      <c r="C6" s="15">
        <v>13.921662724014347</v>
      </c>
      <c r="D6" s="15">
        <v>23.183086559139785</v>
      </c>
      <c r="E6" s="14">
        <v>0.15848745519713286</v>
      </c>
      <c r="G6" s="13">
        <v>3</v>
      </c>
      <c r="H6" s="4">
        <v>45180</v>
      </c>
      <c r="I6" s="4">
        <v>45221</v>
      </c>
      <c r="J6" s="15">
        <v>90.797368421052639</v>
      </c>
      <c r="K6" s="15">
        <v>15.92994078947368</v>
      </c>
      <c r="L6" s="15">
        <v>23.684542105263155</v>
      </c>
      <c r="M6" s="14">
        <v>0.17542105263157892</v>
      </c>
      <c r="N6" s="39">
        <f t="shared" si="0"/>
        <v>41</v>
      </c>
      <c r="O6" s="15"/>
      <c r="P6" s="6"/>
      <c r="Q6" s="13" t="s">
        <v>73</v>
      </c>
      <c r="R6" s="4">
        <v>45110</v>
      </c>
      <c r="S6" s="4">
        <v>45291</v>
      </c>
      <c r="T6" s="23">
        <v>91.266447368421055</v>
      </c>
      <c r="U6" s="23">
        <v>75.088075986842099</v>
      </c>
      <c r="V6" s="40">
        <v>0.82273473058208679</v>
      </c>
    </row>
    <row r="7" spans="1:22" x14ac:dyDescent="0.3">
      <c r="A7" s="13" t="s">
        <v>127</v>
      </c>
      <c r="B7" s="15">
        <v>83.567517730496476</v>
      </c>
      <c r="C7" s="15">
        <v>11.59917244680851</v>
      </c>
      <c r="D7" s="15">
        <v>22.373589326241131</v>
      </c>
      <c r="E7" s="14">
        <v>0.13868085106382977</v>
      </c>
      <c r="G7" s="13">
        <v>4</v>
      </c>
      <c r="H7" s="4">
        <v>45222</v>
      </c>
      <c r="I7" s="4">
        <v>45270</v>
      </c>
      <c r="J7" s="15">
        <v>90.209523809523802</v>
      </c>
      <c r="K7" s="15">
        <v>15.434158333333331</v>
      </c>
      <c r="L7" s="15">
        <v>23.680710714285709</v>
      </c>
      <c r="M7" s="14">
        <v>0.17107142857142849</v>
      </c>
      <c r="N7" s="39">
        <f t="shared" si="0"/>
        <v>48</v>
      </c>
      <c r="O7" s="15"/>
      <c r="P7" s="6"/>
      <c r="Q7" s="13" t="s">
        <v>74</v>
      </c>
      <c r="R7" s="4">
        <v>45292</v>
      </c>
      <c r="S7" s="4">
        <v>45657</v>
      </c>
      <c r="T7" s="23">
        <v>87.789426523297408</v>
      </c>
      <c r="U7" s="23">
        <v>73.867763799283182</v>
      </c>
      <c r="V7" s="40">
        <v>0.84141982382901515</v>
      </c>
    </row>
    <row r="8" spans="1:22" x14ac:dyDescent="0.3">
      <c r="A8" s="24" t="s">
        <v>146</v>
      </c>
      <c r="B8" s="15">
        <v>85.565000000000012</v>
      </c>
      <c r="C8" s="15">
        <v>12.557334999999998</v>
      </c>
      <c r="D8" s="15">
        <v>22.777258333333325</v>
      </c>
      <c r="E8" s="14">
        <v>0.14673333333333327</v>
      </c>
      <c r="G8" s="13">
        <v>5</v>
      </c>
      <c r="H8" s="4">
        <v>45271</v>
      </c>
      <c r="I8" s="4">
        <v>45312</v>
      </c>
      <c r="J8" s="15">
        <v>89.841891891891891</v>
      </c>
      <c r="K8" s="15">
        <v>15.039249999999999</v>
      </c>
      <c r="L8" s="15">
        <v>23.476317567567566</v>
      </c>
      <c r="M8" s="14">
        <v>0.16737837837837835</v>
      </c>
      <c r="N8" s="39">
        <f t="shared" si="0"/>
        <v>41</v>
      </c>
      <c r="O8" s="15"/>
      <c r="P8" s="6"/>
      <c r="Q8" s="13" t="s">
        <v>127</v>
      </c>
      <c r="R8" s="4">
        <v>45658</v>
      </c>
      <c r="S8" s="4">
        <v>46022</v>
      </c>
      <c r="T8" s="23">
        <v>83.567517730496476</v>
      </c>
      <c r="U8" s="23">
        <v>71.968345283687981</v>
      </c>
      <c r="V8" s="40">
        <v>0.86119998820336396</v>
      </c>
    </row>
    <row r="9" spans="1:22" x14ac:dyDescent="0.3">
      <c r="A9" s="24" t="s">
        <v>216</v>
      </c>
      <c r="B9" s="15">
        <v>84.241176470588229</v>
      </c>
      <c r="C9" s="15">
        <v>12.190302941176471</v>
      </c>
      <c r="D9" s="15">
        <v>22.334723529411765</v>
      </c>
      <c r="E9" s="14">
        <v>0.14470588235294116</v>
      </c>
      <c r="G9" s="13">
        <v>6</v>
      </c>
      <c r="H9" s="4">
        <v>45313</v>
      </c>
      <c r="I9" s="4">
        <v>45368</v>
      </c>
      <c r="J9" s="15">
        <v>88.486274509803891</v>
      </c>
      <c r="K9" s="15">
        <v>14.251121568627452</v>
      </c>
      <c r="L9" s="15">
        <v>23.448662745098041</v>
      </c>
      <c r="M9" s="14">
        <v>0.16101960784313726</v>
      </c>
      <c r="N9" s="39">
        <f t="shared" si="0"/>
        <v>55</v>
      </c>
      <c r="O9" s="15"/>
      <c r="P9" s="6"/>
      <c r="Q9" s="13" t="s">
        <v>213</v>
      </c>
      <c r="R9" s="4">
        <v>46024</v>
      </c>
      <c r="S9" s="4">
        <v>46148</v>
      </c>
      <c r="T9" s="23">
        <v>83.672023809523793</v>
      </c>
      <c r="U9" s="23">
        <v>72.086887499999989</v>
      </c>
      <c r="V9" s="40">
        <v>0.8615411008117011</v>
      </c>
    </row>
    <row r="10" spans="1:22" x14ac:dyDescent="0.3">
      <c r="A10" s="24" t="s">
        <v>229</v>
      </c>
      <c r="B10" s="15">
        <v>82.817307692307679</v>
      </c>
      <c r="C10" s="15">
        <v>12.058832692307691</v>
      </c>
      <c r="D10" s="15">
        <v>21.657663461538462</v>
      </c>
      <c r="E10" s="14">
        <v>0.14557692307692305</v>
      </c>
      <c r="G10" s="13">
        <v>7</v>
      </c>
      <c r="H10" s="4">
        <v>45369</v>
      </c>
      <c r="I10" s="4">
        <v>45396</v>
      </c>
      <c r="J10" s="15">
        <v>88.589473684210532</v>
      </c>
      <c r="K10" s="15">
        <v>14.316831578947371</v>
      </c>
      <c r="L10" s="15">
        <v>23.346555263157892</v>
      </c>
      <c r="M10" s="14">
        <v>0.16157894736842104</v>
      </c>
      <c r="N10" s="39">
        <f t="shared" si="0"/>
        <v>27</v>
      </c>
      <c r="O10" s="15"/>
      <c r="P10" s="6"/>
      <c r="Q10" s="13" t="s">
        <v>38</v>
      </c>
      <c r="R10" s="4">
        <v>45110</v>
      </c>
      <c r="S10" s="4">
        <v>46148</v>
      </c>
      <c r="T10" s="23">
        <v>86.524767879548179</v>
      </c>
      <c r="U10" s="23">
        <v>73.240734717691396</v>
      </c>
      <c r="V10" s="40">
        <v>0.84647132275061876</v>
      </c>
    </row>
    <row r="11" spans="1:22" x14ac:dyDescent="0.3">
      <c r="A11" s="24" t="s">
        <v>230</v>
      </c>
      <c r="B11" s="15">
        <v>83.663157894736855</v>
      </c>
      <c r="C11" s="15">
        <v>12.002676315789472</v>
      </c>
      <c r="D11" s="15">
        <v>22.261352631578944</v>
      </c>
      <c r="E11" s="14">
        <v>0.14342105263157895</v>
      </c>
      <c r="G11" s="13">
        <v>8</v>
      </c>
      <c r="H11" s="4">
        <v>45397</v>
      </c>
      <c r="I11" s="4">
        <v>45431</v>
      </c>
      <c r="J11" s="15">
        <v>88.393939393939391</v>
      </c>
      <c r="K11" s="15">
        <v>14.203428787878785</v>
      </c>
      <c r="L11" s="15">
        <v>23.366346969696963</v>
      </c>
      <c r="M11" s="14">
        <v>0.16066666666666662</v>
      </c>
      <c r="N11" s="39">
        <f t="shared" si="0"/>
        <v>34</v>
      </c>
      <c r="O11" s="15"/>
      <c r="P11" s="6"/>
    </row>
    <row r="12" spans="1:22" x14ac:dyDescent="0.3">
      <c r="A12" s="24" t="s">
        <v>231</v>
      </c>
      <c r="B12" s="15">
        <v>84.133749999999992</v>
      </c>
      <c r="C12" s="15">
        <v>12.637020624999998</v>
      </c>
      <c r="D12" s="15">
        <v>22.226527499999996</v>
      </c>
      <c r="E12" s="14">
        <v>0.1501875</v>
      </c>
      <c r="G12" s="13" t="s">
        <v>65</v>
      </c>
      <c r="H12" s="4">
        <v>45432</v>
      </c>
      <c r="I12" s="4">
        <v>45473</v>
      </c>
      <c r="J12" s="15">
        <v>88.186111111111131</v>
      </c>
      <c r="K12" s="15">
        <v>13.954538888888885</v>
      </c>
      <c r="L12" s="15">
        <v>23.288399999999992</v>
      </c>
      <c r="M12" s="14">
        <v>0.15822222222222215</v>
      </c>
      <c r="N12" s="39">
        <f t="shared" si="0"/>
        <v>41</v>
      </c>
      <c r="O12" s="15"/>
      <c r="P12" s="6"/>
    </row>
    <row r="13" spans="1:22" x14ac:dyDescent="0.3">
      <c r="A13" s="24" t="s">
        <v>232</v>
      </c>
      <c r="B13" s="15">
        <v>84.057692307692321</v>
      </c>
      <c r="C13" s="15">
        <v>12.099996153846153</v>
      </c>
      <c r="D13" s="15">
        <v>22.545826923076923</v>
      </c>
      <c r="E13" s="14">
        <v>0.1439230769230769</v>
      </c>
      <c r="G13" s="13" t="s">
        <v>75</v>
      </c>
      <c r="H13" s="4">
        <v>45474</v>
      </c>
      <c r="I13" s="4">
        <v>45557</v>
      </c>
      <c r="J13" s="15">
        <v>87.933000000000007</v>
      </c>
      <c r="K13" s="15">
        <v>14.163574000000008</v>
      </c>
      <c r="L13" s="15">
        <v>23.174363</v>
      </c>
      <c r="M13" s="14">
        <v>0.16103999999999993</v>
      </c>
      <c r="N13" s="39">
        <f t="shared" si="0"/>
        <v>83</v>
      </c>
      <c r="O13" s="15"/>
      <c r="P13" s="6"/>
    </row>
    <row r="14" spans="1:22" x14ac:dyDescent="0.3">
      <c r="A14" s="24" t="s">
        <v>233</v>
      </c>
      <c r="B14" s="15">
        <v>83.390909090909091</v>
      </c>
      <c r="C14" s="15">
        <v>11.559581818181819</v>
      </c>
      <c r="D14" s="15">
        <v>22.01106363636363</v>
      </c>
      <c r="E14" s="14">
        <v>0.1385909090909091</v>
      </c>
      <c r="G14" s="13" t="s">
        <v>109</v>
      </c>
      <c r="H14" s="4">
        <v>45558</v>
      </c>
      <c r="I14" s="4">
        <v>45641</v>
      </c>
      <c r="J14" s="15">
        <v>85.866949152542333</v>
      </c>
      <c r="K14" s="15">
        <v>12.933926271186445</v>
      </c>
      <c r="L14" s="15">
        <v>22.725082203389821</v>
      </c>
      <c r="M14" s="14">
        <v>0.15059322033898298</v>
      </c>
      <c r="N14" s="39">
        <f t="shared" si="0"/>
        <v>83</v>
      </c>
      <c r="O14" s="15"/>
      <c r="P14" s="6"/>
    </row>
    <row r="15" spans="1:22" x14ac:dyDescent="0.3">
      <c r="A15" s="24" t="s">
        <v>234</v>
      </c>
      <c r="B15" s="15">
        <v>84.121052631578934</v>
      </c>
      <c r="C15" s="15">
        <v>12.124515789473682</v>
      </c>
      <c r="D15" s="15">
        <v>22.463315789473679</v>
      </c>
      <c r="E15" s="14">
        <v>0.14410526315789468</v>
      </c>
      <c r="G15" s="13" t="s">
        <v>120</v>
      </c>
      <c r="H15" s="4">
        <v>45642</v>
      </c>
      <c r="I15" s="4">
        <v>45725</v>
      </c>
      <c r="J15" s="15">
        <v>84.968461538461554</v>
      </c>
      <c r="K15" s="15">
        <v>12.503299230769235</v>
      </c>
      <c r="L15" s="15">
        <v>22.455175384615369</v>
      </c>
      <c r="M15" s="14">
        <v>0.14712307692307691</v>
      </c>
      <c r="N15" s="39">
        <f t="shared" si="0"/>
        <v>83</v>
      </c>
      <c r="O15" s="15"/>
      <c r="P15" s="6"/>
    </row>
    <row r="16" spans="1:22" x14ac:dyDescent="0.3">
      <c r="A16" s="24" t="s">
        <v>235</v>
      </c>
      <c r="B16" s="15">
        <v>83.813461538461539</v>
      </c>
      <c r="C16" s="15">
        <v>11.729565384615382</v>
      </c>
      <c r="D16" s="15">
        <v>22.425365384615379</v>
      </c>
      <c r="E16" s="14">
        <v>0.13992307692307693</v>
      </c>
      <c r="G16" s="13" t="s">
        <v>141</v>
      </c>
      <c r="H16" s="4">
        <v>45726</v>
      </c>
      <c r="I16" s="4">
        <v>45809</v>
      </c>
      <c r="J16" s="15">
        <v>83.568000000000012</v>
      </c>
      <c r="K16" s="15">
        <v>12.176906000000001</v>
      </c>
      <c r="L16" s="15">
        <v>22.093773454545452</v>
      </c>
      <c r="M16" s="14">
        <v>0.14567272727272729</v>
      </c>
      <c r="N16" s="39">
        <f t="shared" si="0"/>
        <v>83</v>
      </c>
      <c r="O16" s="15"/>
      <c r="P16" s="6"/>
    </row>
    <row r="17" spans="1:14" x14ac:dyDescent="0.3">
      <c r="A17" s="24" t="s">
        <v>236</v>
      </c>
      <c r="B17" s="15">
        <v>83.075806451612934</v>
      </c>
      <c r="C17" s="15">
        <v>11.023272580645161</v>
      </c>
      <c r="D17" s="15">
        <v>22.656688709677404</v>
      </c>
      <c r="E17" s="14">
        <v>0.13264516129032261</v>
      </c>
      <c r="G17" s="13" t="s">
        <v>157</v>
      </c>
      <c r="H17" s="4">
        <v>45810</v>
      </c>
      <c r="I17" s="4">
        <v>45891</v>
      </c>
      <c r="J17" s="15">
        <v>83.836440677966124</v>
      </c>
      <c r="K17" s="15">
        <v>11.903609322033903</v>
      </c>
      <c r="L17" s="15">
        <v>22.332257627118636</v>
      </c>
      <c r="M17" s="14">
        <v>0.14194915254237289</v>
      </c>
      <c r="N17" s="39">
        <f t="shared" si="0"/>
        <v>81</v>
      </c>
    </row>
    <row r="18" spans="1:14" x14ac:dyDescent="0.3">
      <c r="A18" s="24" t="s">
        <v>237</v>
      </c>
      <c r="B18" s="15">
        <v>82.539999999999978</v>
      </c>
      <c r="C18" s="15">
        <v>10.303218000000001</v>
      </c>
      <c r="D18" s="15">
        <v>22.438369999999999</v>
      </c>
      <c r="E18" s="14">
        <v>0.12479999999999997</v>
      </c>
      <c r="G18" s="13" t="s">
        <v>174</v>
      </c>
      <c r="H18" s="4">
        <v>45894</v>
      </c>
      <c r="I18" s="4">
        <v>45977</v>
      </c>
      <c r="J18" s="15">
        <v>83.312658227848075</v>
      </c>
      <c r="K18" s="15">
        <v>11.226670253164558</v>
      </c>
      <c r="L18" s="15">
        <v>22.523073417721516</v>
      </c>
      <c r="M18" s="14">
        <v>0.13468354430379742</v>
      </c>
      <c r="N18" s="39">
        <f>I18-H18</f>
        <v>83</v>
      </c>
    </row>
    <row r="19" spans="1:14" x14ac:dyDescent="0.3">
      <c r="A19" s="24" t="s">
        <v>238</v>
      </c>
      <c r="B19" s="15">
        <v>81.664000000000001</v>
      </c>
      <c r="C19" s="15">
        <v>9.5876599999999979</v>
      </c>
      <c r="D19" s="15">
        <v>22.441630000000004</v>
      </c>
      <c r="E19" s="14">
        <v>0.11736000000000005</v>
      </c>
      <c r="G19" s="13" t="s">
        <v>199</v>
      </c>
      <c r="H19" s="4">
        <v>45978</v>
      </c>
      <c r="I19" s="4">
        <v>46061</v>
      </c>
      <c r="J19" s="15">
        <v>82.268032786885229</v>
      </c>
      <c r="K19" s="15">
        <v>10.179552459016394</v>
      </c>
      <c r="L19" s="15">
        <v>22.442445901639349</v>
      </c>
      <c r="M19" s="14">
        <v>0.12365573770491806</v>
      </c>
      <c r="N19" s="39">
        <f t="shared" ref="N19:N21" si="1">I19-H19</f>
        <v>83</v>
      </c>
    </row>
    <row r="20" spans="1:14" x14ac:dyDescent="0.3">
      <c r="A20" s="13" t="s">
        <v>213</v>
      </c>
      <c r="B20" s="15">
        <v>83.672023809523793</v>
      </c>
      <c r="C20" s="15">
        <v>11.585136309523808</v>
      </c>
      <c r="D20" s="15">
        <v>22.468485714285709</v>
      </c>
      <c r="E20" s="14">
        <v>0.13835714285714285</v>
      </c>
      <c r="G20" s="13" t="s">
        <v>223</v>
      </c>
      <c r="H20" s="4">
        <v>46062</v>
      </c>
      <c r="I20" s="4">
        <v>46138</v>
      </c>
      <c r="J20" s="15">
        <v>83.989999999999981</v>
      </c>
      <c r="K20" s="15">
        <v>11.874096999999997</v>
      </c>
      <c r="L20" s="15">
        <v>22.436052999999994</v>
      </c>
      <c r="M20" s="14">
        <v>0.14131999999999997</v>
      </c>
      <c r="N20" s="39">
        <f t="shared" si="1"/>
        <v>76</v>
      </c>
    </row>
    <row r="21" spans="1:14" x14ac:dyDescent="0.3">
      <c r="A21" s="24" t="s">
        <v>146</v>
      </c>
      <c r="B21" s="15">
        <v>82.436111111111131</v>
      </c>
      <c r="C21" s="15">
        <v>10.379066666666667</v>
      </c>
      <c r="D21" s="15">
        <v>22.463758333333327</v>
      </c>
      <c r="E21" s="14">
        <v>0.12588888888888888</v>
      </c>
      <c r="G21" s="13" t="s">
        <v>244</v>
      </c>
      <c r="H21" s="4">
        <v>46139</v>
      </c>
      <c r="I21" s="4">
        <v>46148</v>
      </c>
      <c r="J21" s="15">
        <v>84.5625</v>
      </c>
      <c r="K21" s="15">
        <v>12.561681249999998</v>
      </c>
      <c r="L21" s="15">
        <v>22.697756249999991</v>
      </c>
      <c r="M21" s="14">
        <v>0.14849999999999999</v>
      </c>
      <c r="N21" s="39">
        <f t="shared" si="1"/>
        <v>9</v>
      </c>
    </row>
    <row r="22" spans="1:14" x14ac:dyDescent="0.3">
      <c r="A22" s="24" t="s">
        <v>216</v>
      </c>
      <c r="B22" s="15">
        <v>83.489583333333314</v>
      </c>
      <c r="C22" s="15">
        <v>11.520802083333336</v>
      </c>
      <c r="D22" s="15">
        <v>22.274216666666661</v>
      </c>
      <c r="E22" s="14">
        <v>0.13795833333333332</v>
      </c>
      <c r="G22" s="13" t="s">
        <v>38</v>
      </c>
      <c r="H22" s="4">
        <v>45110</v>
      </c>
      <c r="I22" s="4">
        <v>46148</v>
      </c>
      <c r="J22" s="15">
        <v>86.524767879548179</v>
      </c>
      <c r="K22" s="15">
        <v>13.284033161856966</v>
      </c>
      <c r="L22" s="15">
        <v>22.920314542032632</v>
      </c>
      <c r="M22" s="14">
        <v>0.15291468005018841</v>
      </c>
    </row>
    <row r="23" spans="1:14" x14ac:dyDescent="0.3">
      <c r="A23" s="24" t="s">
        <v>229</v>
      </c>
      <c r="B23" s="15">
        <v>83.759375000000006</v>
      </c>
      <c r="C23" s="15">
        <v>11.534553125000002</v>
      </c>
      <c r="D23" s="15">
        <v>22.370412499999997</v>
      </c>
      <c r="E23" s="14">
        <v>0.13768750000000002</v>
      </c>
    </row>
    <row r="24" spans="1:14" x14ac:dyDescent="0.3">
      <c r="A24" s="24" t="s">
        <v>230</v>
      </c>
      <c r="B24" s="15">
        <v>84.643181818181816</v>
      </c>
      <c r="C24" s="15">
        <v>12.513981818181815</v>
      </c>
      <c r="D24" s="15">
        <v>22.722722727272721</v>
      </c>
      <c r="E24" s="14">
        <v>0.14781818181818179</v>
      </c>
      <c r="I24" s="4"/>
    </row>
    <row r="25" spans="1:14" x14ac:dyDescent="0.3">
      <c r="A25" s="24" t="s">
        <v>231</v>
      </c>
      <c r="B25" s="15">
        <v>84.637499999999989</v>
      </c>
      <c r="C25" s="15">
        <v>12.492137499999998</v>
      </c>
      <c r="D25" s="15">
        <v>22.649362499999995</v>
      </c>
      <c r="E25" s="14">
        <v>0.14750000000000002</v>
      </c>
      <c r="I25" s="6"/>
    </row>
    <row r="26" spans="1:14" x14ac:dyDescent="0.3">
      <c r="A26" s="13" t="s">
        <v>38</v>
      </c>
      <c r="B26" s="15">
        <v>86.524767879548179</v>
      </c>
      <c r="C26" s="15">
        <v>13.284033161856966</v>
      </c>
      <c r="D26" s="15">
        <v>22.920314542032632</v>
      </c>
      <c r="E26" s="14">
        <v>0.15291468005018841</v>
      </c>
    </row>
  </sheetData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68ABE-70D1-4A9D-9A60-A961D28DDD72}">
  <dimension ref="B4:X21"/>
  <sheetViews>
    <sheetView workbookViewId="0">
      <selection activeCell="H26" sqref="H26"/>
    </sheetView>
  </sheetViews>
  <sheetFormatPr baseColWidth="10" defaultRowHeight="14.4" x14ac:dyDescent="0.3"/>
  <cols>
    <col min="1" max="1" width="6.6640625" customWidth="1"/>
    <col min="2" max="2" width="17.21875" bestFit="1" customWidth="1"/>
    <col min="3" max="3" width="21.44140625" bestFit="1" customWidth="1"/>
    <col min="4" max="6" width="6.6640625" bestFit="1" customWidth="1"/>
    <col min="7" max="7" width="9.33203125" bestFit="1" customWidth="1"/>
    <col min="8" max="8" width="6.6640625" bestFit="1" customWidth="1"/>
    <col min="9" max="9" width="11.88671875" bestFit="1" customWidth="1"/>
    <col min="10" max="10" width="13.33203125" bestFit="1" customWidth="1"/>
    <col min="11" max="11" width="14.88671875" bestFit="1" customWidth="1"/>
    <col min="12" max="12" width="4.6640625" customWidth="1"/>
    <col min="13" max="13" width="4.109375" customWidth="1"/>
    <col min="14" max="14" width="3.33203125" customWidth="1"/>
    <col min="15" max="15" width="6.6640625" bestFit="1" customWidth="1"/>
    <col min="16" max="16" width="7.88671875" bestFit="1" customWidth="1"/>
    <col min="17" max="19" width="3" bestFit="1" customWidth="1"/>
    <col min="21" max="21" width="6.88671875" bestFit="1" customWidth="1"/>
    <col min="22" max="22" width="2.33203125" bestFit="1" customWidth="1"/>
    <col min="23" max="24" width="3.6640625" bestFit="1" customWidth="1"/>
  </cols>
  <sheetData>
    <row r="4" spans="2:24" x14ac:dyDescent="0.3">
      <c r="B4" s="12" t="s">
        <v>95</v>
      </c>
      <c r="C4" s="12" t="s">
        <v>94</v>
      </c>
      <c r="P4" s="33" t="s">
        <v>99</v>
      </c>
      <c r="Q4" s="33" t="s">
        <v>89</v>
      </c>
      <c r="R4" s="33" t="s">
        <v>90</v>
      </c>
      <c r="S4" s="33" t="s">
        <v>0</v>
      </c>
      <c r="U4" s="33" t="s">
        <v>99</v>
      </c>
      <c r="V4" s="33" t="s">
        <v>89</v>
      </c>
      <c r="W4" s="33" t="s">
        <v>90</v>
      </c>
      <c r="X4" s="33" t="s">
        <v>0</v>
      </c>
    </row>
    <row r="5" spans="2:24" x14ac:dyDescent="0.3">
      <c r="B5" s="12" t="s">
        <v>37</v>
      </c>
      <c r="C5" s="4" t="s">
        <v>98</v>
      </c>
      <c r="D5" s="4" t="s">
        <v>103</v>
      </c>
      <c r="E5" s="4" t="s">
        <v>185</v>
      </c>
      <c r="F5" s="4" t="s">
        <v>197</v>
      </c>
      <c r="G5" s="43" t="s">
        <v>222</v>
      </c>
      <c r="H5" s="4" t="s">
        <v>97</v>
      </c>
      <c r="I5" s="4" t="s">
        <v>38</v>
      </c>
      <c r="J5" s="37" t="s">
        <v>112</v>
      </c>
      <c r="K5" s="36" t="s">
        <v>227</v>
      </c>
      <c r="O5" s="32" t="s">
        <v>97</v>
      </c>
      <c r="P5" s="34">
        <f>GETPIVOTDATA("TOTAL",$B$4,"Fecha ","2023-1")</f>
        <v>42250</v>
      </c>
      <c r="Q5" s="29">
        <f t="shared" ref="Q5:Q10" si="0">TRUNC(P5/3600)</f>
        <v>11</v>
      </c>
      <c r="R5" s="29">
        <f t="shared" ref="R5:R10" si="1">TRUNC((P5/60)-(Q5*60))</f>
        <v>44</v>
      </c>
      <c r="S5" s="29">
        <f t="shared" ref="S5:S10" si="2">P5-(Q5*3600)-(R5*60)</f>
        <v>10</v>
      </c>
      <c r="V5" s="29">
        <f>TRUNC(U5/3600)</f>
        <v>0</v>
      </c>
      <c r="W5" s="29">
        <f>TRUNC((U5/60)-(V5*60))</f>
        <v>0</v>
      </c>
      <c r="X5" s="29">
        <f>U5-(V5*3600)-(W5*60)</f>
        <v>0</v>
      </c>
    </row>
    <row r="6" spans="2:24" x14ac:dyDescent="0.3">
      <c r="B6" s="13" t="s">
        <v>80</v>
      </c>
      <c r="C6" s="27">
        <v>7991</v>
      </c>
      <c r="D6" s="27">
        <v>7693</v>
      </c>
      <c r="E6" s="27">
        <v>8121</v>
      </c>
      <c r="F6" s="27">
        <v>7977</v>
      </c>
      <c r="G6" s="44">
        <v>8065</v>
      </c>
      <c r="H6" s="27">
        <v>8082</v>
      </c>
      <c r="I6" s="27">
        <v>47929</v>
      </c>
      <c r="J6" s="19">
        <f>C6/D6-1</f>
        <v>3.8736513713765852E-2</v>
      </c>
      <c r="K6" s="19">
        <f>H6/C6-1</f>
        <v>1.1387811287698613E-2</v>
      </c>
      <c r="O6" s="32" t="s">
        <v>98</v>
      </c>
      <c r="P6" s="34">
        <f>GETPIVOTDATA("TOTAL",$B$4,"Fecha ","2024-1")</f>
        <v>38426</v>
      </c>
      <c r="Q6" s="29">
        <f t="shared" si="0"/>
        <v>10</v>
      </c>
      <c r="R6" s="29">
        <f t="shared" si="1"/>
        <v>40</v>
      </c>
      <c r="S6" s="29">
        <f t="shared" si="2"/>
        <v>26</v>
      </c>
      <c r="U6" s="26">
        <f>P5-P6</f>
        <v>3824</v>
      </c>
      <c r="V6" s="29">
        <f>TRUNC(U6/3600)</f>
        <v>1</v>
      </c>
      <c r="W6" s="29">
        <f>TRUNC((U6/60)-(V6*60))</f>
        <v>3</v>
      </c>
      <c r="X6" s="29">
        <f>U6-(V6*3600)-(W6*60)</f>
        <v>44</v>
      </c>
    </row>
    <row r="7" spans="2:24" x14ac:dyDescent="0.3">
      <c r="B7" s="13" t="s">
        <v>81</v>
      </c>
      <c r="C7" s="27">
        <v>6099</v>
      </c>
      <c r="D7" s="27">
        <v>5896</v>
      </c>
      <c r="E7" s="27">
        <v>6261</v>
      </c>
      <c r="F7" s="27">
        <v>6408</v>
      </c>
      <c r="G7" s="44">
        <v>6255</v>
      </c>
      <c r="H7" s="27">
        <v>6337</v>
      </c>
      <c r="I7" s="27">
        <v>37256</v>
      </c>
      <c r="J7" s="19">
        <f t="shared" ref="J7:J15" si="3">C7/D7-1</f>
        <v>3.4430122116689388E-2</v>
      </c>
      <c r="K7" s="19">
        <f t="shared" ref="K7:K15" si="4">H7/C7-1</f>
        <v>3.9022790621413339E-2</v>
      </c>
      <c r="O7" s="32" t="s">
        <v>103</v>
      </c>
      <c r="P7" s="34">
        <f>GETPIVOTDATA("TOTAL",$B$4,"Fecha ","2024-2")</f>
        <v>39468</v>
      </c>
      <c r="Q7" s="29">
        <f t="shared" si="0"/>
        <v>10</v>
      </c>
      <c r="R7" s="29">
        <f t="shared" si="1"/>
        <v>57</v>
      </c>
      <c r="S7" s="29">
        <f t="shared" si="2"/>
        <v>48</v>
      </c>
      <c r="U7" s="26">
        <f>P6-P7</f>
        <v>-1042</v>
      </c>
      <c r="V7" s="29">
        <f>TRUNC(U7/3600)</f>
        <v>0</v>
      </c>
      <c r="W7" s="29">
        <f>TRUNC((U7/60)-(V7*60))</f>
        <v>-17</v>
      </c>
      <c r="X7" s="29">
        <f>U7-(V7*3600)-(W7*60)</f>
        <v>-22</v>
      </c>
    </row>
    <row r="8" spans="2:24" x14ac:dyDescent="0.3">
      <c r="B8" s="13" t="s">
        <v>82</v>
      </c>
      <c r="C8" s="27">
        <v>1676</v>
      </c>
      <c r="D8" s="27">
        <v>1600</v>
      </c>
      <c r="E8" s="27">
        <v>1795</v>
      </c>
      <c r="F8" s="27">
        <v>1770</v>
      </c>
      <c r="G8" s="44">
        <v>1682</v>
      </c>
      <c r="H8" s="27">
        <v>1915</v>
      </c>
      <c r="I8" s="27">
        <v>10438</v>
      </c>
      <c r="J8" s="19">
        <f t="shared" si="3"/>
        <v>4.7500000000000098E-2</v>
      </c>
      <c r="K8" s="19">
        <f t="shared" si="4"/>
        <v>0.14260143198090702</v>
      </c>
      <c r="O8" s="32" t="s">
        <v>185</v>
      </c>
      <c r="P8" s="34">
        <f>GETPIVOTDATA("TOTAL",$B$4,"Fecha ","2025-1")</f>
        <v>40874</v>
      </c>
      <c r="Q8" s="29">
        <f t="shared" si="0"/>
        <v>11</v>
      </c>
      <c r="R8" s="29">
        <f t="shared" si="1"/>
        <v>21</v>
      </c>
      <c r="S8" s="29">
        <f t="shared" si="2"/>
        <v>14</v>
      </c>
      <c r="U8" s="26">
        <f>P7-P8</f>
        <v>-1406</v>
      </c>
      <c r="V8" s="29">
        <f>TRUNC(U8/3600)</f>
        <v>0</v>
      </c>
      <c r="W8" s="29">
        <f>TRUNC((U8/60)-(V8*60))</f>
        <v>-23</v>
      </c>
      <c r="X8" s="29">
        <f>U8-(V8*3600)-(W8*60)</f>
        <v>-26</v>
      </c>
    </row>
    <row r="9" spans="2:24" x14ac:dyDescent="0.3">
      <c r="B9" s="13" t="s">
        <v>83</v>
      </c>
      <c r="C9" s="27">
        <v>1917</v>
      </c>
      <c r="D9" s="27">
        <v>1868</v>
      </c>
      <c r="E9" s="27">
        <v>2084</v>
      </c>
      <c r="F9" s="27">
        <v>2173</v>
      </c>
      <c r="G9" s="44">
        <v>2167</v>
      </c>
      <c r="H9" s="27">
        <v>2326</v>
      </c>
      <c r="I9" s="27">
        <v>12535</v>
      </c>
      <c r="J9" s="19">
        <f t="shared" si="3"/>
        <v>2.6231263383297732E-2</v>
      </c>
      <c r="K9" s="19">
        <f t="shared" si="4"/>
        <v>0.21335419926969212</v>
      </c>
      <c r="O9" s="32" t="s">
        <v>197</v>
      </c>
      <c r="P9" s="34">
        <f>GETPIVOTDATA("TOTAL",$B$4,"Fecha ","2025-2")</f>
        <v>40964</v>
      </c>
      <c r="Q9" s="29">
        <f t="shared" si="0"/>
        <v>11</v>
      </c>
      <c r="R9" s="29">
        <f t="shared" si="1"/>
        <v>22</v>
      </c>
      <c r="S9" s="29">
        <f t="shared" si="2"/>
        <v>44</v>
      </c>
    </row>
    <row r="10" spans="2:24" x14ac:dyDescent="0.3">
      <c r="B10" s="13" t="s">
        <v>84</v>
      </c>
      <c r="C10" s="27">
        <v>4823</v>
      </c>
      <c r="D10" s="27">
        <v>4869</v>
      </c>
      <c r="E10" s="27">
        <v>4920</v>
      </c>
      <c r="F10" s="27">
        <v>5026</v>
      </c>
      <c r="G10" s="44">
        <v>5046</v>
      </c>
      <c r="H10" s="27">
        <v>5123</v>
      </c>
      <c r="I10" s="27">
        <v>29807</v>
      </c>
      <c r="J10" s="19">
        <f t="shared" si="3"/>
        <v>-9.4475251591702447E-3</v>
      </c>
      <c r="K10" s="19">
        <f t="shared" si="4"/>
        <v>6.2201948994401901E-2</v>
      </c>
      <c r="O10" s="32" t="s">
        <v>222</v>
      </c>
      <c r="P10" s="34">
        <f>GETPIVOTDATA("TOTAL",$B$4,"Fecha ","2026-1")</f>
        <v>41417</v>
      </c>
      <c r="Q10" s="29">
        <f t="shared" si="0"/>
        <v>11</v>
      </c>
      <c r="R10" s="29">
        <f t="shared" si="1"/>
        <v>30</v>
      </c>
      <c r="S10" s="29">
        <f t="shared" si="2"/>
        <v>17</v>
      </c>
    </row>
    <row r="11" spans="2:24" x14ac:dyDescent="0.3">
      <c r="B11" s="13" t="s">
        <v>85</v>
      </c>
      <c r="C11" s="27">
        <v>5939</v>
      </c>
      <c r="D11" s="27">
        <v>6653</v>
      </c>
      <c r="E11" s="27">
        <v>6804</v>
      </c>
      <c r="F11" s="27">
        <v>6638</v>
      </c>
      <c r="G11" s="44">
        <v>7036</v>
      </c>
      <c r="H11" s="27">
        <v>7311</v>
      </c>
      <c r="I11" s="27">
        <v>40381</v>
      </c>
      <c r="J11" s="19">
        <f t="shared" si="3"/>
        <v>-0.10732000601232528</v>
      </c>
      <c r="K11" s="19">
        <f t="shared" si="4"/>
        <v>0.23101532244485612</v>
      </c>
    </row>
    <row r="12" spans="2:24" x14ac:dyDescent="0.3">
      <c r="B12" s="13" t="s">
        <v>86</v>
      </c>
      <c r="C12" s="27">
        <v>3900</v>
      </c>
      <c r="D12" s="27">
        <v>4542</v>
      </c>
      <c r="E12" s="27">
        <v>4510</v>
      </c>
      <c r="F12" s="27">
        <v>4503</v>
      </c>
      <c r="G12" s="44">
        <v>4591</v>
      </c>
      <c r="H12" s="27">
        <v>4659</v>
      </c>
      <c r="I12" s="27">
        <v>26705</v>
      </c>
      <c r="J12" s="19">
        <f t="shared" si="3"/>
        <v>-0.14134742404227207</v>
      </c>
      <c r="K12" s="19">
        <f t="shared" si="4"/>
        <v>0.19461538461538463</v>
      </c>
    </row>
    <row r="13" spans="2:24" x14ac:dyDescent="0.3">
      <c r="B13" s="13" t="s">
        <v>87</v>
      </c>
      <c r="C13" s="27">
        <v>3234</v>
      </c>
      <c r="D13" s="27">
        <v>3420</v>
      </c>
      <c r="E13" s="27">
        <v>3448</v>
      </c>
      <c r="F13" s="27">
        <v>3462</v>
      </c>
      <c r="G13" s="44">
        <v>3613</v>
      </c>
      <c r="H13" s="27">
        <v>3505</v>
      </c>
      <c r="I13" s="27">
        <v>20682</v>
      </c>
      <c r="J13" s="19">
        <f t="shared" si="3"/>
        <v>-5.4385964912280649E-2</v>
      </c>
      <c r="K13" s="19">
        <f t="shared" si="4"/>
        <v>8.3797155225726616E-2</v>
      </c>
    </row>
    <row r="14" spans="2:24" x14ac:dyDescent="0.3">
      <c r="B14" s="13" t="s">
        <v>88</v>
      </c>
      <c r="C14" s="27">
        <v>2847</v>
      </c>
      <c r="D14" s="27">
        <v>2927</v>
      </c>
      <c r="E14" s="27">
        <v>2931</v>
      </c>
      <c r="F14" s="27">
        <v>3007</v>
      </c>
      <c r="G14" s="44">
        <v>2962</v>
      </c>
      <c r="H14" s="27">
        <v>2992</v>
      </c>
      <c r="I14" s="27">
        <v>17666</v>
      </c>
      <c r="J14" s="19">
        <f t="shared" si="3"/>
        <v>-2.7331738981892673E-2</v>
      </c>
      <c r="K14" s="19">
        <f t="shared" si="4"/>
        <v>5.0930804355461934E-2</v>
      </c>
    </row>
    <row r="15" spans="2:24" x14ac:dyDescent="0.3">
      <c r="B15" s="13" t="s">
        <v>38</v>
      </c>
      <c r="C15" s="27">
        <v>38426</v>
      </c>
      <c r="D15" s="27">
        <v>39468</v>
      </c>
      <c r="E15" s="27">
        <v>40874</v>
      </c>
      <c r="F15" s="27">
        <v>40964</v>
      </c>
      <c r="G15" s="44">
        <v>41417</v>
      </c>
      <c r="H15" s="27">
        <v>42250</v>
      </c>
      <c r="I15" s="27">
        <v>243399</v>
      </c>
      <c r="J15" s="19">
        <f t="shared" si="3"/>
        <v>-2.640113509678732E-2</v>
      </c>
      <c r="K15" s="19">
        <f t="shared" si="4"/>
        <v>9.9515952740331981E-2</v>
      </c>
    </row>
    <row r="17" spans="3:7" x14ac:dyDescent="0.3">
      <c r="D17" s="27"/>
      <c r="F17">
        <f>GETPIVOTDATA("TOTAL",$B$4,"Fecha ","2026-1")-GETPIVOTDATA("TOTAL",$B$4,"Fecha ","2025-2")</f>
        <v>453</v>
      </c>
      <c r="G17" s="25">
        <f>GETPIVOTDATA("TOTAL",$B$4,"Fecha ","2026-1")-GETPIVOTDATA("TOTAL",$B$4,"Fecha ","2024-1")</f>
        <v>2991</v>
      </c>
    </row>
    <row r="18" spans="3:7" x14ac:dyDescent="0.3">
      <c r="F18" s="26">
        <f>F17/60</f>
        <v>7.55</v>
      </c>
      <c r="G18" s="26">
        <f>G17/60</f>
        <v>49.85</v>
      </c>
    </row>
    <row r="20" spans="3:7" x14ac:dyDescent="0.3">
      <c r="C20" s="7"/>
      <c r="D20" s="7"/>
    </row>
    <row r="21" spans="3:7" x14ac:dyDescent="0.3">
      <c r="C21" s="28"/>
      <c r="D21" s="28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5553C-FCAE-4B65-9A97-8C77D3AAC285}">
  <dimension ref="A1:H55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17.21875" bestFit="1" customWidth="1"/>
    <col min="3" max="3" width="2.21875" bestFit="1" customWidth="1"/>
    <col min="4" max="5" width="3" bestFit="1" customWidth="1"/>
    <col min="6" max="6" width="6.44140625" bestFit="1" customWidth="1"/>
    <col min="7" max="7" width="6.6640625" bestFit="1" customWidth="1"/>
    <col min="8" max="8" width="4.44140625" bestFit="1" customWidth="1"/>
  </cols>
  <sheetData>
    <row r="1" spans="1:8" x14ac:dyDescent="0.3">
      <c r="A1" s="31" t="s">
        <v>93</v>
      </c>
      <c r="B1" s="31" t="s">
        <v>79</v>
      </c>
      <c r="C1" s="31" t="s">
        <v>89</v>
      </c>
      <c r="D1" s="31" t="s">
        <v>90</v>
      </c>
      <c r="E1" s="31" t="s">
        <v>0</v>
      </c>
      <c r="F1" s="31" t="s">
        <v>91</v>
      </c>
      <c r="G1" s="31" t="s">
        <v>96</v>
      </c>
      <c r="H1" s="31" t="s">
        <v>92</v>
      </c>
    </row>
    <row r="2" spans="1:8" x14ac:dyDescent="0.3">
      <c r="A2" t="s">
        <v>84</v>
      </c>
      <c r="B2" s="30" t="s">
        <v>97</v>
      </c>
      <c r="C2">
        <v>1</v>
      </c>
      <c r="D2">
        <v>25</v>
      </c>
      <c r="E2">
        <v>23</v>
      </c>
      <c r="F2">
        <f t="shared" ref="F2:F33" si="0">(C2*3600)+(D2*60)+E2</f>
        <v>5123</v>
      </c>
      <c r="G2">
        <v>387</v>
      </c>
      <c r="H2" s="35">
        <v>42.9</v>
      </c>
    </row>
    <row r="3" spans="1:8" x14ac:dyDescent="0.3">
      <c r="A3" t="s">
        <v>84</v>
      </c>
      <c r="B3" s="30" t="s">
        <v>98</v>
      </c>
      <c r="C3">
        <v>1</v>
      </c>
      <c r="D3">
        <v>20</v>
      </c>
      <c r="E3">
        <v>23</v>
      </c>
      <c r="F3">
        <f t="shared" si="0"/>
        <v>4823</v>
      </c>
      <c r="G3">
        <v>387</v>
      </c>
      <c r="H3" s="35">
        <v>42.9</v>
      </c>
    </row>
    <row r="4" spans="1:8" x14ac:dyDescent="0.3">
      <c r="A4" t="s">
        <v>84</v>
      </c>
      <c r="B4" s="30" t="s">
        <v>103</v>
      </c>
      <c r="C4">
        <v>1</v>
      </c>
      <c r="D4">
        <v>21</v>
      </c>
      <c r="E4">
        <v>9</v>
      </c>
      <c r="F4">
        <f t="shared" si="0"/>
        <v>4869</v>
      </c>
      <c r="G4">
        <v>387</v>
      </c>
      <c r="H4" s="35">
        <v>42.9</v>
      </c>
    </row>
    <row r="5" spans="1:8" x14ac:dyDescent="0.3">
      <c r="A5" t="s">
        <v>84</v>
      </c>
      <c r="B5" s="30" t="s">
        <v>185</v>
      </c>
      <c r="C5">
        <v>1</v>
      </c>
      <c r="D5">
        <v>22</v>
      </c>
      <c r="E5">
        <v>0</v>
      </c>
      <c r="F5">
        <f t="shared" si="0"/>
        <v>4920</v>
      </c>
      <c r="G5">
        <v>387</v>
      </c>
      <c r="H5" s="35">
        <v>42.9</v>
      </c>
    </row>
    <row r="6" spans="1:8" x14ac:dyDescent="0.3">
      <c r="A6" t="s">
        <v>84</v>
      </c>
      <c r="B6" s="30" t="s">
        <v>197</v>
      </c>
      <c r="C6">
        <v>1</v>
      </c>
      <c r="D6">
        <v>23</v>
      </c>
      <c r="E6">
        <v>46</v>
      </c>
      <c r="F6">
        <f t="shared" si="0"/>
        <v>5026</v>
      </c>
      <c r="G6">
        <v>387</v>
      </c>
      <c r="H6" s="35">
        <v>42.9</v>
      </c>
    </row>
    <row r="7" spans="1:8" x14ac:dyDescent="0.3">
      <c r="A7" t="s">
        <v>84</v>
      </c>
      <c r="B7" s="30" t="s">
        <v>222</v>
      </c>
      <c r="C7">
        <v>1</v>
      </c>
      <c r="D7">
        <v>24</v>
      </c>
      <c r="E7">
        <v>6</v>
      </c>
      <c r="F7">
        <f t="shared" si="0"/>
        <v>5046</v>
      </c>
      <c r="G7">
        <v>387</v>
      </c>
      <c r="H7" s="35">
        <v>42.9</v>
      </c>
    </row>
    <row r="8" spans="1:8" x14ac:dyDescent="0.3">
      <c r="A8" t="s">
        <v>87</v>
      </c>
      <c r="B8" s="30" t="s">
        <v>97</v>
      </c>
      <c r="C8">
        <v>0</v>
      </c>
      <c r="D8">
        <v>58</v>
      </c>
      <c r="E8">
        <v>25</v>
      </c>
      <c r="F8">
        <f t="shared" si="0"/>
        <v>3505</v>
      </c>
      <c r="G8">
        <v>501</v>
      </c>
      <c r="H8" s="35">
        <v>25.3</v>
      </c>
    </row>
    <row r="9" spans="1:8" x14ac:dyDescent="0.3">
      <c r="A9" t="s">
        <v>87</v>
      </c>
      <c r="B9" s="30" t="s">
        <v>98</v>
      </c>
      <c r="C9">
        <v>0</v>
      </c>
      <c r="D9">
        <v>53</v>
      </c>
      <c r="E9">
        <v>54</v>
      </c>
      <c r="F9">
        <f t="shared" si="0"/>
        <v>3234</v>
      </c>
      <c r="G9">
        <v>501</v>
      </c>
      <c r="H9" s="35">
        <v>25.3</v>
      </c>
    </row>
    <row r="10" spans="1:8" x14ac:dyDescent="0.3">
      <c r="A10" t="s">
        <v>87</v>
      </c>
      <c r="B10" s="30" t="s">
        <v>103</v>
      </c>
      <c r="C10">
        <v>0</v>
      </c>
      <c r="D10">
        <v>57</v>
      </c>
      <c r="E10">
        <v>0</v>
      </c>
      <c r="F10">
        <f t="shared" si="0"/>
        <v>3420</v>
      </c>
      <c r="G10">
        <v>501</v>
      </c>
      <c r="H10" s="35">
        <v>25.3</v>
      </c>
    </row>
    <row r="11" spans="1:8" x14ac:dyDescent="0.3">
      <c r="A11" t="s">
        <v>87</v>
      </c>
      <c r="B11" s="30" t="s">
        <v>185</v>
      </c>
      <c r="C11">
        <v>0</v>
      </c>
      <c r="D11">
        <v>57</v>
      </c>
      <c r="E11">
        <v>28</v>
      </c>
      <c r="F11">
        <f t="shared" si="0"/>
        <v>3448</v>
      </c>
      <c r="G11">
        <v>501</v>
      </c>
      <c r="H11" s="35">
        <v>25.3</v>
      </c>
    </row>
    <row r="12" spans="1:8" x14ac:dyDescent="0.3">
      <c r="A12" t="s">
        <v>87</v>
      </c>
      <c r="B12" s="30" t="s">
        <v>197</v>
      </c>
      <c r="C12">
        <v>0</v>
      </c>
      <c r="D12">
        <v>57</v>
      </c>
      <c r="E12">
        <v>42</v>
      </c>
      <c r="F12">
        <f t="shared" si="0"/>
        <v>3462</v>
      </c>
      <c r="G12">
        <v>501</v>
      </c>
      <c r="H12" s="35">
        <v>25.3</v>
      </c>
    </row>
    <row r="13" spans="1:8" x14ac:dyDescent="0.3">
      <c r="A13" t="s">
        <v>87</v>
      </c>
      <c r="B13" s="30" t="s">
        <v>222</v>
      </c>
      <c r="C13">
        <v>1</v>
      </c>
      <c r="D13">
        <v>0</v>
      </c>
      <c r="E13">
        <v>13</v>
      </c>
      <c r="F13">
        <f t="shared" si="0"/>
        <v>3613</v>
      </c>
      <c r="G13">
        <v>501</v>
      </c>
      <c r="H13" s="35">
        <v>25.3</v>
      </c>
    </row>
    <row r="14" spans="1:8" x14ac:dyDescent="0.3">
      <c r="A14" t="s">
        <v>88</v>
      </c>
      <c r="B14" s="30" t="s">
        <v>97</v>
      </c>
      <c r="C14">
        <v>0</v>
      </c>
      <c r="D14">
        <v>49</v>
      </c>
      <c r="E14">
        <v>52</v>
      </c>
      <c r="F14">
        <f t="shared" si="0"/>
        <v>2992</v>
      </c>
      <c r="G14">
        <v>261</v>
      </c>
      <c r="H14" s="35">
        <v>29.1</v>
      </c>
    </row>
    <row r="15" spans="1:8" x14ac:dyDescent="0.3">
      <c r="A15" t="s">
        <v>88</v>
      </c>
      <c r="B15" s="30" t="s">
        <v>98</v>
      </c>
      <c r="C15">
        <v>0</v>
      </c>
      <c r="D15">
        <v>47</v>
      </c>
      <c r="E15">
        <v>27</v>
      </c>
      <c r="F15">
        <f t="shared" si="0"/>
        <v>2847</v>
      </c>
      <c r="G15">
        <v>261</v>
      </c>
      <c r="H15" s="35">
        <v>29.1</v>
      </c>
    </row>
    <row r="16" spans="1:8" x14ac:dyDescent="0.3">
      <c r="A16" t="s">
        <v>88</v>
      </c>
      <c r="B16" s="30" t="s">
        <v>103</v>
      </c>
      <c r="C16">
        <v>0</v>
      </c>
      <c r="D16">
        <v>48</v>
      </c>
      <c r="E16">
        <v>47</v>
      </c>
      <c r="F16">
        <f t="shared" si="0"/>
        <v>2927</v>
      </c>
      <c r="G16">
        <v>261</v>
      </c>
      <c r="H16" s="35">
        <v>29.1</v>
      </c>
    </row>
    <row r="17" spans="1:8" x14ac:dyDescent="0.3">
      <c r="A17" t="s">
        <v>88</v>
      </c>
      <c r="B17" s="30" t="s">
        <v>185</v>
      </c>
      <c r="C17">
        <v>0</v>
      </c>
      <c r="D17">
        <v>48</v>
      </c>
      <c r="E17">
        <v>51</v>
      </c>
      <c r="F17">
        <f t="shared" si="0"/>
        <v>2931</v>
      </c>
      <c r="G17">
        <v>261</v>
      </c>
      <c r="H17" s="35">
        <v>29.1</v>
      </c>
    </row>
    <row r="18" spans="1:8" x14ac:dyDescent="0.3">
      <c r="A18" t="s">
        <v>88</v>
      </c>
      <c r="B18" s="30" t="s">
        <v>197</v>
      </c>
      <c r="C18">
        <v>0</v>
      </c>
      <c r="D18">
        <v>50</v>
      </c>
      <c r="E18">
        <v>7</v>
      </c>
      <c r="F18">
        <f t="shared" si="0"/>
        <v>3007</v>
      </c>
      <c r="G18">
        <v>261</v>
      </c>
      <c r="H18" s="35">
        <v>29.1</v>
      </c>
    </row>
    <row r="19" spans="1:8" x14ac:dyDescent="0.3">
      <c r="A19" t="s">
        <v>88</v>
      </c>
      <c r="B19" s="30" t="s">
        <v>222</v>
      </c>
      <c r="C19">
        <v>0</v>
      </c>
      <c r="D19">
        <v>49</v>
      </c>
      <c r="E19">
        <v>22</v>
      </c>
      <c r="F19">
        <f t="shared" si="0"/>
        <v>2962</v>
      </c>
      <c r="G19">
        <v>261</v>
      </c>
      <c r="H19" s="35">
        <v>29.1</v>
      </c>
    </row>
    <row r="20" spans="1:8" x14ac:dyDescent="0.3">
      <c r="A20" t="s">
        <v>81</v>
      </c>
      <c r="B20" s="30" t="s">
        <v>97</v>
      </c>
      <c r="C20">
        <v>1</v>
      </c>
      <c r="D20">
        <v>45</v>
      </c>
      <c r="E20">
        <v>37</v>
      </c>
      <c r="F20">
        <f t="shared" si="0"/>
        <v>6337</v>
      </c>
      <c r="G20">
        <v>482</v>
      </c>
      <c r="H20" s="35">
        <v>53.1</v>
      </c>
    </row>
    <row r="21" spans="1:8" x14ac:dyDescent="0.3">
      <c r="A21" t="s">
        <v>81</v>
      </c>
      <c r="B21" s="30" t="s">
        <v>98</v>
      </c>
      <c r="C21">
        <v>1</v>
      </c>
      <c r="D21">
        <v>41</v>
      </c>
      <c r="E21">
        <v>39</v>
      </c>
      <c r="F21">
        <f t="shared" si="0"/>
        <v>6099</v>
      </c>
      <c r="G21">
        <v>482</v>
      </c>
      <c r="H21" s="35">
        <v>53.1</v>
      </c>
    </row>
    <row r="22" spans="1:8" x14ac:dyDescent="0.3">
      <c r="A22" t="s">
        <v>81</v>
      </c>
      <c r="B22" s="30" t="s">
        <v>103</v>
      </c>
      <c r="C22">
        <v>1</v>
      </c>
      <c r="D22">
        <v>38</v>
      </c>
      <c r="E22">
        <v>16</v>
      </c>
      <c r="F22">
        <f t="shared" si="0"/>
        <v>5896</v>
      </c>
      <c r="G22">
        <v>482</v>
      </c>
      <c r="H22" s="35">
        <v>53.1</v>
      </c>
    </row>
    <row r="23" spans="1:8" x14ac:dyDescent="0.3">
      <c r="A23" t="s">
        <v>81</v>
      </c>
      <c r="B23" s="30" t="s">
        <v>185</v>
      </c>
      <c r="C23">
        <v>1</v>
      </c>
      <c r="D23">
        <v>44</v>
      </c>
      <c r="E23">
        <v>21</v>
      </c>
      <c r="F23">
        <f t="shared" si="0"/>
        <v>6261</v>
      </c>
      <c r="G23">
        <v>482</v>
      </c>
      <c r="H23" s="35">
        <v>53.1</v>
      </c>
    </row>
    <row r="24" spans="1:8" x14ac:dyDescent="0.3">
      <c r="A24" t="s">
        <v>81</v>
      </c>
      <c r="B24" s="30" t="s">
        <v>197</v>
      </c>
      <c r="C24">
        <v>1</v>
      </c>
      <c r="D24">
        <v>46</v>
      </c>
      <c r="E24">
        <v>48</v>
      </c>
      <c r="F24">
        <f t="shared" si="0"/>
        <v>6408</v>
      </c>
      <c r="G24">
        <v>482</v>
      </c>
      <c r="H24" s="35">
        <v>53.1</v>
      </c>
    </row>
    <row r="25" spans="1:8" x14ac:dyDescent="0.3">
      <c r="A25" t="s">
        <v>81</v>
      </c>
      <c r="B25" s="30" t="s">
        <v>222</v>
      </c>
      <c r="C25">
        <v>1</v>
      </c>
      <c r="D25">
        <v>44</v>
      </c>
      <c r="E25">
        <v>15</v>
      </c>
      <c r="F25">
        <f t="shared" si="0"/>
        <v>6255</v>
      </c>
      <c r="G25">
        <v>482</v>
      </c>
      <c r="H25" s="35">
        <v>53.1</v>
      </c>
    </row>
    <row r="26" spans="1:8" x14ac:dyDescent="0.3">
      <c r="A26" t="s">
        <v>80</v>
      </c>
      <c r="B26" s="30" t="s">
        <v>97</v>
      </c>
      <c r="C26">
        <v>2</v>
      </c>
      <c r="D26">
        <v>14</v>
      </c>
      <c r="E26">
        <v>42</v>
      </c>
      <c r="F26">
        <f t="shared" si="0"/>
        <v>8082</v>
      </c>
      <c r="G26">
        <v>627</v>
      </c>
      <c r="H26" s="35">
        <v>70.52</v>
      </c>
    </row>
    <row r="27" spans="1:8" x14ac:dyDescent="0.3">
      <c r="A27" t="s">
        <v>80</v>
      </c>
      <c r="B27" s="30" t="s">
        <v>98</v>
      </c>
      <c r="C27">
        <v>2</v>
      </c>
      <c r="D27">
        <v>13</v>
      </c>
      <c r="E27">
        <v>11</v>
      </c>
      <c r="F27">
        <f t="shared" si="0"/>
        <v>7991</v>
      </c>
      <c r="G27">
        <v>627</v>
      </c>
      <c r="H27" s="35">
        <v>70.5</v>
      </c>
    </row>
    <row r="28" spans="1:8" x14ac:dyDescent="0.3">
      <c r="A28" t="s">
        <v>80</v>
      </c>
      <c r="B28" s="30" t="s">
        <v>103</v>
      </c>
      <c r="C28">
        <v>2</v>
      </c>
      <c r="D28">
        <v>8</v>
      </c>
      <c r="E28">
        <v>13</v>
      </c>
      <c r="F28">
        <f t="shared" si="0"/>
        <v>7693</v>
      </c>
      <c r="G28">
        <v>627</v>
      </c>
      <c r="H28" s="35">
        <v>70.5</v>
      </c>
    </row>
    <row r="29" spans="1:8" x14ac:dyDescent="0.3">
      <c r="A29" t="s">
        <v>80</v>
      </c>
      <c r="B29" s="30" t="s">
        <v>185</v>
      </c>
      <c r="C29">
        <v>2</v>
      </c>
      <c r="D29">
        <v>15</v>
      </c>
      <c r="E29">
        <v>21</v>
      </c>
      <c r="F29">
        <f t="shared" si="0"/>
        <v>8121</v>
      </c>
      <c r="G29">
        <v>627</v>
      </c>
      <c r="H29" s="35">
        <v>70.52</v>
      </c>
    </row>
    <row r="30" spans="1:8" x14ac:dyDescent="0.3">
      <c r="A30" t="s">
        <v>80</v>
      </c>
      <c r="B30" s="30" t="s">
        <v>197</v>
      </c>
      <c r="C30">
        <v>2</v>
      </c>
      <c r="D30">
        <v>12</v>
      </c>
      <c r="E30">
        <v>57</v>
      </c>
      <c r="F30">
        <f t="shared" si="0"/>
        <v>7977</v>
      </c>
      <c r="G30">
        <v>627</v>
      </c>
      <c r="H30" s="35">
        <v>70.52</v>
      </c>
    </row>
    <row r="31" spans="1:8" x14ac:dyDescent="0.3">
      <c r="A31" t="s">
        <v>80</v>
      </c>
      <c r="B31" s="30" t="s">
        <v>222</v>
      </c>
      <c r="C31">
        <v>2</v>
      </c>
      <c r="D31">
        <v>14</v>
      </c>
      <c r="E31">
        <v>25</v>
      </c>
      <c r="F31">
        <f t="shared" si="0"/>
        <v>8065</v>
      </c>
      <c r="G31">
        <v>627</v>
      </c>
      <c r="H31" s="35">
        <v>70.52</v>
      </c>
    </row>
    <row r="32" spans="1:8" x14ac:dyDescent="0.3">
      <c r="A32" t="s">
        <v>83</v>
      </c>
      <c r="B32" s="30" t="s">
        <v>97</v>
      </c>
      <c r="C32">
        <v>0</v>
      </c>
      <c r="D32">
        <v>38</v>
      </c>
      <c r="E32">
        <v>46</v>
      </c>
      <c r="F32">
        <f t="shared" si="0"/>
        <v>2326</v>
      </c>
      <c r="G32">
        <v>417</v>
      </c>
      <c r="H32" s="35">
        <v>11.4</v>
      </c>
    </row>
    <row r="33" spans="1:8" x14ac:dyDescent="0.3">
      <c r="A33" t="s">
        <v>83</v>
      </c>
      <c r="B33" s="30" t="s">
        <v>98</v>
      </c>
      <c r="C33">
        <v>0</v>
      </c>
      <c r="D33">
        <v>31</v>
      </c>
      <c r="E33">
        <v>57</v>
      </c>
      <c r="F33">
        <f t="shared" si="0"/>
        <v>1917</v>
      </c>
      <c r="G33">
        <v>417</v>
      </c>
      <c r="H33" s="35">
        <v>11.4</v>
      </c>
    </row>
    <row r="34" spans="1:8" x14ac:dyDescent="0.3">
      <c r="A34" t="s">
        <v>83</v>
      </c>
      <c r="B34" s="30" t="s">
        <v>103</v>
      </c>
      <c r="C34">
        <v>0</v>
      </c>
      <c r="D34">
        <v>31</v>
      </c>
      <c r="E34">
        <v>8</v>
      </c>
      <c r="F34">
        <f t="shared" ref="F34:F55" si="1">(C34*3600)+(D34*60)+E34</f>
        <v>1868</v>
      </c>
      <c r="G34">
        <v>417</v>
      </c>
      <c r="H34" s="35">
        <v>11.4</v>
      </c>
    </row>
    <row r="35" spans="1:8" x14ac:dyDescent="0.3">
      <c r="A35" t="s">
        <v>83</v>
      </c>
      <c r="B35" s="30" t="s">
        <v>185</v>
      </c>
      <c r="C35">
        <v>0</v>
      </c>
      <c r="D35">
        <v>34</v>
      </c>
      <c r="E35">
        <v>44</v>
      </c>
      <c r="F35">
        <f t="shared" si="1"/>
        <v>2084</v>
      </c>
      <c r="G35">
        <v>417</v>
      </c>
      <c r="H35" s="35">
        <v>11.4</v>
      </c>
    </row>
    <row r="36" spans="1:8" x14ac:dyDescent="0.3">
      <c r="A36" t="s">
        <v>83</v>
      </c>
      <c r="B36" s="30" t="s">
        <v>197</v>
      </c>
      <c r="C36">
        <v>0</v>
      </c>
      <c r="D36">
        <v>36</v>
      </c>
      <c r="E36">
        <v>13</v>
      </c>
      <c r="F36">
        <f t="shared" si="1"/>
        <v>2173</v>
      </c>
      <c r="G36">
        <v>417</v>
      </c>
      <c r="H36" s="35">
        <v>11.4</v>
      </c>
    </row>
    <row r="37" spans="1:8" x14ac:dyDescent="0.3">
      <c r="A37" t="s">
        <v>83</v>
      </c>
      <c r="B37" s="30" t="s">
        <v>222</v>
      </c>
      <c r="C37">
        <v>0</v>
      </c>
      <c r="D37">
        <v>36</v>
      </c>
      <c r="E37">
        <v>7</v>
      </c>
      <c r="F37">
        <f t="shared" si="1"/>
        <v>2167</v>
      </c>
      <c r="G37">
        <v>417</v>
      </c>
      <c r="H37" s="35">
        <v>11.4</v>
      </c>
    </row>
    <row r="38" spans="1:8" x14ac:dyDescent="0.3">
      <c r="A38" t="s">
        <v>86</v>
      </c>
      <c r="B38" s="30" t="s">
        <v>97</v>
      </c>
      <c r="C38">
        <v>1</v>
      </c>
      <c r="D38">
        <v>17</v>
      </c>
      <c r="E38">
        <v>39</v>
      </c>
      <c r="F38">
        <f t="shared" si="1"/>
        <v>4659</v>
      </c>
      <c r="G38">
        <v>836</v>
      </c>
      <c r="H38" s="35">
        <v>29.94</v>
      </c>
    </row>
    <row r="39" spans="1:8" x14ac:dyDescent="0.3">
      <c r="A39" t="s">
        <v>86</v>
      </c>
      <c r="B39" s="30" t="s">
        <v>98</v>
      </c>
      <c r="C39">
        <v>1</v>
      </c>
      <c r="D39">
        <v>5</v>
      </c>
      <c r="E39">
        <v>0</v>
      </c>
      <c r="F39">
        <f t="shared" si="1"/>
        <v>3900</v>
      </c>
      <c r="G39">
        <v>836</v>
      </c>
      <c r="H39" s="35">
        <v>29.9</v>
      </c>
    </row>
    <row r="40" spans="1:8" x14ac:dyDescent="0.3">
      <c r="A40" t="s">
        <v>86</v>
      </c>
      <c r="B40" s="30" t="s">
        <v>103</v>
      </c>
      <c r="C40">
        <v>1</v>
      </c>
      <c r="D40">
        <v>15</v>
      </c>
      <c r="E40">
        <v>42</v>
      </c>
      <c r="F40">
        <f t="shared" si="1"/>
        <v>4542</v>
      </c>
      <c r="G40">
        <v>836</v>
      </c>
      <c r="H40" s="35">
        <v>29.9</v>
      </c>
    </row>
    <row r="41" spans="1:8" x14ac:dyDescent="0.3">
      <c r="A41" t="s">
        <v>86</v>
      </c>
      <c r="B41" s="30" t="s">
        <v>185</v>
      </c>
      <c r="C41">
        <v>1</v>
      </c>
      <c r="D41">
        <v>15</v>
      </c>
      <c r="E41">
        <v>10</v>
      </c>
      <c r="F41">
        <f t="shared" si="1"/>
        <v>4510</v>
      </c>
      <c r="G41">
        <v>836</v>
      </c>
      <c r="H41" s="35">
        <v>29.9</v>
      </c>
    </row>
    <row r="42" spans="1:8" x14ac:dyDescent="0.3">
      <c r="A42" t="s">
        <v>86</v>
      </c>
      <c r="B42" s="30" t="s">
        <v>197</v>
      </c>
      <c r="C42">
        <v>1</v>
      </c>
      <c r="D42">
        <v>15</v>
      </c>
      <c r="E42">
        <v>3</v>
      </c>
      <c r="F42">
        <f t="shared" si="1"/>
        <v>4503</v>
      </c>
      <c r="G42">
        <v>836</v>
      </c>
      <c r="H42" s="35">
        <v>29.9</v>
      </c>
    </row>
    <row r="43" spans="1:8" x14ac:dyDescent="0.3">
      <c r="A43" t="s">
        <v>86</v>
      </c>
      <c r="B43" s="30" t="s">
        <v>222</v>
      </c>
      <c r="C43">
        <v>1</v>
      </c>
      <c r="D43">
        <v>16</v>
      </c>
      <c r="E43">
        <v>31</v>
      </c>
      <c r="F43">
        <f t="shared" si="1"/>
        <v>4591</v>
      </c>
      <c r="G43">
        <v>836</v>
      </c>
      <c r="H43" s="35">
        <v>29.94</v>
      </c>
    </row>
    <row r="44" spans="1:8" x14ac:dyDescent="0.3">
      <c r="A44" t="s">
        <v>82</v>
      </c>
      <c r="B44" s="30" t="s">
        <v>97</v>
      </c>
      <c r="C44">
        <v>0</v>
      </c>
      <c r="D44">
        <v>31</v>
      </c>
      <c r="E44">
        <v>55</v>
      </c>
      <c r="F44">
        <f t="shared" si="1"/>
        <v>1915</v>
      </c>
      <c r="G44">
        <v>349</v>
      </c>
      <c r="H44" s="35">
        <v>11.25</v>
      </c>
    </row>
    <row r="45" spans="1:8" x14ac:dyDescent="0.3">
      <c r="A45" t="s">
        <v>82</v>
      </c>
      <c r="B45" s="30" t="s">
        <v>98</v>
      </c>
      <c r="C45">
        <v>0</v>
      </c>
      <c r="D45">
        <v>27</v>
      </c>
      <c r="E45">
        <v>56</v>
      </c>
      <c r="F45">
        <f t="shared" si="1"/>
        <v>1676</v>
      </c>
      <c r="G45">
        <v>349</v>
      </c>
      <c r="H45" s="35">
        <v>11.3</v>
      </c>
    </row>
    <row r="46" spans="1:8" x14ac:dyDescent="0.3">
      <c r="A46" t="s">
        <v>82</v>
      </c>
      <c r="B46" s="30" t="s">
        <v>103</v>
      </c>
      <c r="C46">
        <v>0</v>
      </c>
      <c r="D46">
        <v>26</v>
      </c>
      <c r="E46">
        <v>40</v>
      </c>
      <c r="F46">
        <f t="shared" si="1"/>
        <v>1600</v>
      </c>
      <c r="G46">
        <v>349</v>
      </c>
      <c r="H46" s="35">
        <v>11.3</v>
      </c>
    </row>
    <row r="47" spans="1:8" x14ac:dyDescent="0.3">
      <c r="A47" t="s">
        <v>82</v>
      </c>
      <c r="B47" s="30" t="s">
        <v>185</v>
      </c>
      <c r="C47">
        <v>0</v>
      </c>
      <c r="D47">
        <v>29</v>
      </c>
      <c r="E47">
        <v>55</v>
      </c>
      <c r="F47">
        <f t="shared" si="1"/>
        <v>1795</v>
      </c>
      <c r="G47">
        <v>349</v>
      </c>
      <c r="H47" s="35">
        <v>11.3</v>
      </c>
    </row>
    <row r="48" spans="1:8" x14ac:dyDescent="0.3">
      <c r="A48" t="s">
        <v>82</v>
      </c>
      <c r="B48" s="30" t="s">
        <v>197</v>
      </c>
      <c r="C48">
        <v>0</v>
      </c>
      <c r="D48">
        <v>29</v>
      </c>
      <c r="E48">
        <v>30</v>
      </c>
      <c r="F48">
        <f t="shared" si="1"/>
        <v>1770</v>
      </c>
      <c r="G48">
        <v>349</v>
      </c>
      <c r="H48" s="35">
        <v>11.25</v>
      </c>
    </row>
    <row r="49" spans="1:8" x14ac:dyDescent="0.3">
      <c r="A49" t="s">
        <v>82</v>
      </c>
      <c r="B49" s="30" t="s">
        <v>222</v>
      </c>
      <c r="C49">
        <v>0</v>
      </c>
      <c r="D49">
        <v>28</v>
      </c>
      <c r="E49">
        <v>2</v>
      </c>
      <c r="F49">
        <f t="shared" si="1"/>
        <v>1682</v>
      </c>
      <c r="G49">
        <v>349</v>
      </c>
      <c r="H49" s="35">
        <v>11.25</v>
      </c>
    </row>
    <row r="50" spans="1:8" x14ac:dyDescent="0.3">
      <c r="A50" t="s">
        <v>85</v>
      </c>
      <c r="B50" s="30" t="s">
        <v>97</v>
      </c>
      <c r="C50">
        <v>2</v>
      </c>
      <c r="D50">
        <v>1</v>
      </c>
      <c r="E50">
        <v>51</v>
      </c>
      <c r="F50">
        <f t="shared" si="1"/>
        <v>7311</v>
      </c>
      <c r="G50">
        <v>1255</v>
      </c>
      <c r="H50" s="35">
        <v>39</v>
      </c>
    </row>
    <row r="51" spans="1:8" x14ac:dyDescent="0.3">
      <c r="A51" t="s">
        <v>85</v>
      </c>
      <c r="B51" s="30" t="s">
        <v>98</v>
      </c>
      <c r="C51">
        <v>1</v>
      </c>
      <c r="D51">
        <v>38</v>
      </c>
      <c r="E51">
        <v>59</v>
      </c>
      <c r="F51">
        <f t="shared" si="1"/>
        <v>5939</v>
      </c>
      <c r="G51">
        <v>1255</v>
      </c>
      <c r="H51" s="35">
        <v>39</v>
      </c>
    </row>
    <row r="52" spans="1:8" x14ac:dyDescent="0.3">
      <c r="A52" t="s">
        <v>85</v>
      </c>
      <c r="B52" s="30" t="s">
        <v>103</v>
      </c>
      <c r="C52">
        <v>1</v>
      </c>
      <c r="D52">
        <v>50</v>
      </c>
      <c r="E52">
        <v>53</v>
      </c>
      <c r="F52">
        <f t="shared" si="1"/>
        <v>6653</v>
      </c>
      <c r="G52">
        <v>1255</v>
      </c>
      <c r="H52" s="35">
        <v>39</v>
      </c>
    </row>
    <row r="53" spans="1:8" x14ac:dyDescent="0.3">
      <c r="A53" t="s">
        <v>85</v>
      </c>
      <c r="B53" s="30" t="s">
        <v>185</v>
      </c>
      <c r="C53">
        <v>1</v>
      </c>
      <c r="D53">
        <v>53</v>
      </c>
      <c r="E53">
        <v>24</v>
      </c>
      <c r="F53">
        <f t="shared" si="1"/>
        <v>6804</v>
      </c>
      <c r="G53">
        <v>1255</v>
      </c>
      <c r="H53" s="35">
        <v>39</v>
      </c>
    </row>
    <row r="54" spans="1:8" x14ac:dyDescent="0.3">
      <c r="A54" t="s">
        <v>85</v>
      </c>
      <c r="B54" s="30" t="s">
        <v>197</v>
      </c>
      <c r="C54">
        <v>1</v>
      </c>
      <c r="D54">
        <v>50</v>
      </c>
      <c r="E54">
        <v>38</v>
      </c>
      <c r="F54">
        <f t="shared" si="1"/>
        <v>6638</v>
      </c>
      <c r="G54">
        <v>1255</v>
      </c>
      <c r="H54" s="35">
        <v>39</v>
      </c>
    </row>
    <row r="55" spans="1:8" x14ac:dyDescent="0.3">
      <c r="A55" t="s">
        <v>85</v>
      </c>
      <c r="B55" s="30" t="s">
        <v>222</v>
      </c>
      <c r="C55">
        <v>1</v>
      </c>
      <c r="D55">
        <v>57</v>
      </c>
      <c r="E55">
        <v>16</v>
      </c>
      <c r="F55">
        <f t="shared" si="1"/>
        <v>7036</v>
      </c>
      <c r="G55">
        <v>1255</v>
      </c>
      <c r="H55" s="35">
        <v>39</v>
      </c>
    </row>
  </sheetData>
  <sortState xmlns:xlrd2="http://schemas.microsoft.com/office/spreadsheetml/2017/richdata2" ref="A2:H55">
    <sortCondition ref="A2:A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Gráficos</vt:lpstr>
      </vt:variant>
      <vt:variant>
        <vt:i4>7</vt:i4>
      </vt:variant>
    </vt:vector>
  </HeadingPairs>
  <TitlesOfParts>
    <vt:vector size="11" baseType="lpstr">
      <vt:lpstr>Pesos_R</vt:lpstr>
      <vt:lpstr>TD</vt:lpstr>
      <vt:lpstr>Tour de Mallorca</vt:lpstr>
      <vt:lpstr>Tour de Mallorca Datos</vt:lpstr>
      <vt:lpstr>Dispersión</vt:lpstr>
      <vt:lpstr>Gráfico1</vt:lpstr>
      <vt:lpstr>AVG_7Days</vt:lpstr>
      <vt:lpstr>Real</vt:lpstr>
      <vt:lpstr>Histograma</vt:lpstr>
      <vt:lpstr>agua vs musculo </vt:lpstr>
      <vt:lpstr>%Musculo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Plaza Morales</dc:creator>
  <cp:lastModifiedBy>Plaza Morales, David (Madrid)</cp:lastModifiedBy>
  <dcterms:created xsi:type="dcterms:W3CDTF">2022-01-04T11:35:56Z</dcterms:created>
  <dcterms:modified xsi:type="dcterms:W3CDTF">2026-05-06T14:46:37Z</dcterms:modified>
</cp:coreProperties>
</file>